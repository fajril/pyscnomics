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ctrlProps/ctrlProp32.xml" ContentType="application/vnd.ms-excel.controlproperties+xml"/>
  <Override PartName="/xl/ctrlProps/ctrlProp3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5.xml" ContentType="application/vnd.openxmlformats-officedocument.drawing+xml"/>
  <Override PartName="/xl/ctrlProps/ctrlProp34.xml" ContentType="application/vnd.ms-excel.controlproperties+xml"/>
  <Override PartName="/xl/drawings/drawing6.xml" ContentType="application/vnd.openxmlformats-officedocument.drawing+xml"/>
  <Override PartName="/xl/ctrlProps/ctrlProp3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FC768E0D-B8C5-4B38-B934-6A8970166C90}" xr6:coauthVersionLast="47" xr6:coauthVersionMax="47" xr10:uidLastSave="{00000000-0000-0000-0000-000000000000}"/>
  <bookViews>
    <workbookView xWindow="28695" yWindow="0" windowWidth="19410" windowHeight="15585" tabRatio="912" firstSheet="6" activeTab="6" xr2:uid="{F41B6BF2-4712-40A6-B007-CDDECCED21AA}"/>
  </bookViews>
  <sheets>
    <sheet name="Cover" sheetId="19" state="hidden" r:id="rId1"/>
    <sheet name="UserGuide" sheetId="8" state="hidden" r:id="rId2"/>
    <sheet name="Summary" sheetId="18" state="hidden" r:id="rId3"/>
    <sheet name="General Config" sheetId="4" state="hidden" r:id="rId4"/>
    <sheet name="Optimization" sheetId="375" state="hidden" r:id="rId5"/>
    <sheet name="Monte Carlo" sheetId="378" state="hidden" r:id="rId6"/>
    <sheet name="Uncertainity" sheetId="377" r:id="rId7"/>
    <sheet name="Result Table GS" sheetId="347" state="hidden" r:id="rId8"/>
    <sheet name="Result Table CR" sheetId="346" state="hidden" r:id="rId9"/>
    <sheet name="Fiscal Config" sheetId="345" state="hidden" r:id="rId10"/>
    <sheet name="Prod Oil" sheetId="54" state="hidden" r:id="rId11"/>
    <sheet name="Prod Gas" sheetId="5" state="hidden" r:id="rId12"/>
    <sheet name="Prod LPG Propane" sheetId="6" state="hidden" r:id="rId13"/>
    <sheet name="Prod LPG Butane" sheetId="7" state="hidden" r:id="rId14"/>
    <sheet name="Prod CO2" sheetId="10" state="hidden" r:id="rId15"/>
    <sheet name="Prod Sulfur" sheetId="9" state="hidden" r:id="rId16"/>
    <sheet name="Prod Electricity" sheetId="353" state="hidden" r:id="rId17"/>
    <sheet name="Cost Tangible" sheetId="72" state="hidden" r:id="rId18"/>
    <sheet name="Cost Intangible" sheetId="73" state="hidden" r:id="rId19"/>
    <sheet name="Cost OPEX" sheetId="74" state="hidden" r:id="rId20"/>
    <sheet name="Cost ASR" sheetId="75" state="hidden" r:id="rId21"/>
    <sheet name="Gross Split Config (2)" sheetId="103" state="hidden" r:id="rId22"/>
    <sheet name="Cost Recovery Config" sheetId="16" state="hidden" r:id="rId23"/>
    <sheet name="Gross Split Config" sheetId="15" state="hidden" r:id="rId24"/>
    <sheet name="Cost Recovery Config (2)" sheetId="343" state="hidden" r:id="rId25"/>
    <sheet name="Sensitivity" sheetId="376" state="hidden" r:id="rId26"/>
  </sheets>
  <functionGroups builtInGroupCount="19"/>
  <externalReferences>
    <externalReference r:id="rId27"/>
  </externalReferences>
  <definedNames>
    <definedName name="_fiscalType">'General Config'!$C$2</definedName>
    <definedName name="_nButane">'General Config'!$D$13</definedName>
    <definedName name="_nCO2">'General Config'!$D$14</definedName>
    <definedName name="_nElectricity">'General Config'!$D$16</definedName>
    <definedName name="_nGas">'General Config'!$D$11</definedName>
    <definedName name="_nOil">'General Config'!$D$10</definedName>
    <definedName name="_nPropane">'General Config'!$D$12</definedName>
    <definedName name="_nSulfur">'General Config'!$D$15</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 i="345" l="1"/>
  <c r="F18" i="375"/>
  <c r="D7" i="376"/>
  <c r="D9" i="376"/>
  <c r="D11" i="376"/>
  <c r="F7" i="377" s="1"/>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6" i="345" l="1"/>
  <c r="B17" i="8" l="1"/>
</calcChain>
</file>

<file path=xl/sharedStrings.xml><?xml version="1.0" encoding="utf-8"?>
<sst xmlns="http://schemas.openxmlformats.org/spreadsheetml/2006/main" count="907" uniqueCount="387">
  <si>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</si>
  <si>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</si>
  <si>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</si>
  <si>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</si>
  <si>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</si>
  <si>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</si>
  <si>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</si>
  <si>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</si>
  <si>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</si>
  <si>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</si>
  <si>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</si>
  <si>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</si>
  <si>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</si>
  <si>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</si>
  <si>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</si>
  <si>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</si>
  <si>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</si>
  <si>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</si>
  <si>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</si>
  <si>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</si>
  <si>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</si>
  <si>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</si>
  <si>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</si>
  <si>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</si>
  <si>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</si>
  <si>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</si>
  <si>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</si>
  <si>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</si>
  <si>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</si>
  <si>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</si>
  <si>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</si>
  <si>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</si>
  <si>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</si>
  <si>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</si>
  <si>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</si>
  <si>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</si>
  <si>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</si>
  <si>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</si>
  <si>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</si>
  <si>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</si>
  <si>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</si>
  <si>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</si>
  <si>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</si>
  <si>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</si>
  <si>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</si>
  <si>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</si>
  <si>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</si>
  <si>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</si>
  <si>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</si>
  <si>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</si>
  <si>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</si>
  <si>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</si>
  <si>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</si>
  <si>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</si>
  <si>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</si>
  <si>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</si>
  <si>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</si>
  <si>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</si>
  <si>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</si>
  <si>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</si>
  <si>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</si>
  <si>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</si>
  <si>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</si>
  <si>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</si>
  <si>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</si>
  <si>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</si>
  <si>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</si>
  <si>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</si>
  <si>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</si>
  <si>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</si>
  <si>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</si>
  <si>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</si>
  <si>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</si>
  <si>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</si>
  <si>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</si>
  <si>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</si>
  <si>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</si>
  <si>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</si>
  <si>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</si>
  <si>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</si>
  <si>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</si>
  <si>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</si>
  <si>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</si>
  <si>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</si>
  <si>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</si>
  <si>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</si>
  <si>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</si>
  <si>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</si>
  <si>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</si>
  <si>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</si>
  <si>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</si>
  <si>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</si>
  <si>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</si>
  <si>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</si>
  <si>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</si>
  <si>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</si>
  <si>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</si>
  <si>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</si>
  <si>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</si>
  <si>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</si>
  <si>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</si>
  <si>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</si>
  <si>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</si>
  <si>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</si>
  <si>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</si>
  <si>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</si>
  <si>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</si>
  <si>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</si>
  <si>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</si>
  <si>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</si>
  <si>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</si>
  <si>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</si>
  <si>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</si>
  <si>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</si>
  <si>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</si>
  <si>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</si>
  <si>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</si>
  <si>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</si>
  <si>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</si>
  <si>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</si>
  <si>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</si>
  <si>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</si>
  <si>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</si>
  <si>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</si>
  <si>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</si>
  <si>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</si>
  <si>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</si>
  <si>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</si>
  <si>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</si>
  <si>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</si>
  <si>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</si>
  <si>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</si>
  <si>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</si>
  <si>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</si>
  <si>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</si>
  <si>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</si>
  <si>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</si>
  <si>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</si>
  <si>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</si>
  <si>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</si>
  <si>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</si>
  <si>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</si>
  <si>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</si>
  <si>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</si>
  <si>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</si>
  <si>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</si>
  <si>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</si>
  <si>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</si>
  <si>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</si>
  <si>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</si>
  <si>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</si>
  <si>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</si>
  <si>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</si>
  <si>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</si>
  <si>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</si>
  <si>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</si>
  <si>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</si>
  <si>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</si>
  <si>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</si>
  <si>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</si>
  <si>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</si>
  <si>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</si>
  <si>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</si>
  <si>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</si>
  <si>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</si>
  <si>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</si>
  <si>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</si>
  <si>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</si>
  <si>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</si>
  <si>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</si>
  <si>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</si>
  <si>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</si>
  <si>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</si>
  <si>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</si>
  <si>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</si>
  <si>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</si>
  <si>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</si>
  <si>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</si>
  <si>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</si>
  <si>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</si>
  <si>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</si>
  <si>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</si>
  <si>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</si>
  <si>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</si>
  <si>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</si>
  <si>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</si>
  <si>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</si>
  <si>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</si>
  <si>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</si>
  <si>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</si>
  <si>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</si>
  <si>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</si>
  <si>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</si>
  <si>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</si>
  <si>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</si>
  <si>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</si>
  <si>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</si>
  <si>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</si>
  <si>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</si>
  <si>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</si>
  <si>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</si>
  <si>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</si>
  <si>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</si>
  <si>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</si>
  <si>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</si>
  <si>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</si>
  <si>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</si>
  <si>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</si>
  <si>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</si>
  <si>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</si>
  <si>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</si>
  <si>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</si>
  <si>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</si>
  <si>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</si>
  <si>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</si>
  <si>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</si>
  <si>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</si>
  <si>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</si>
  <si>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</si>
  <si>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</si>
  <si>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</si>
  <si>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</si>
  <si>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</si>
  <si>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</si>
  <si>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</si>
  <si>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</si>
  <si>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</si>
  <si>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</si>
  <si>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</si>
  <si>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</si>
  <si>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</si>
  <si>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</si>
  <si>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</si>
  <si>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</si>
  <si>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</si>
  <si>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</si>
  <si>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</si>
  <si>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</si>
  <si>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</si>
  <si>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</si>
  <si>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</si>
  <si>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</si>
  <si>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</si>
  <si>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</si>
  <si>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</si>
  <si>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</si>
  <si>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</si>
  <si>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</si>
  <si>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</si>
  <si>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</si>
  <si>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</si>
  <si>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</si>
  <si>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</si>
  <si>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</si>
  <si>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</si>
  <si>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</si>
  <si>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</si>
  <si>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</si>
  <si>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</si>
  <si>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</si>
  <si>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</si>
  <si>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</si>
  <si>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</si>
  <si>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</si>
  <si>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</si>
  <si>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</si>
  <si>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</si>
  <si>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</si>
  <si>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</si>
  <si>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</si>
  <si>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</si>
  <si>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</si>
  <si>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</si>
  <si>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</si>
  <si>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</si>
  <si>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</si>
  <si>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</si>
  <si>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</si>
  <si>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</si>
  <si>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</si>
  <si>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</si>
  <si>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</si>
  <si>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</si>
  <si>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</si>
  <si>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</si>
  <si>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</si>
  <si>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</si>
  <si>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</si>
  <si>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</si>
  <si>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</si>
  <si>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</si>
  <si>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</si>
  <si>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</si>
  <si>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</si>
  <si>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</si>
  <si>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</si>
  <si>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</si>
  <si>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</si>
  <si>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</si>
  <si>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</si>
  <si>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</si>
  <si>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</si>
  <si>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</si>
  <si>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</si>
  <si>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</si>
  <si>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</si>
  <si>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</si>
  <si>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</si>
  <si>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</si>
  <si>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</si>
  <si>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</si>
  <si>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</si>
  <si>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</si>
  <si>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</si>
  <si>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</si>
  <si>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</si>
  <si>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</si>
  <si>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</si>
  <si>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</si>
  <si>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</si>
  <si>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</si>
  <si>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</si>
  <si>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</si>
  <si>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</si>
  <si>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</si>
  <si>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</si>
  <si>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</si>
  <si>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</si>
  <si>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</si>
  <si>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</si>
  <si>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</si>
  <si>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</si>
  <si>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</si>
  <si>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</si>
  <si>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</si>
  <si>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</si>
  <si>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</si>
  <si>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</si>
  <si>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</si>
  <si>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</si>
  <si>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</si>
  <si>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</si>
  <si>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</si>
  <si>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</si>
  <si>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</si>
  <si>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</si>
  <si>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</si>
  <si>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</si>
  <si>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</si>
  <si>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</si>
  <si>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</si>
  <si>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</si>
  <si>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</si>
  <si>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</si>
  <si>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</si>
  <si>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</si>
  <si>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</si>
  <si>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</si>
  <si>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</si>
  <si>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</si>
  <si>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</si>
  <si>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</si>
  <si>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</si>
  <si>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</si>
  <si>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</si>
  <si>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</si>
  <si>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</si>
  <si>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</si>
  <si>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</si>
  <si>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Configuration</t>
  </si>
  <si>
    <t>Uncertainity Result</t>
  </si>
  <si>
    <t>Distribution</t>
  </si>
  <si>
    <t>Fixed</t>
  </si>
  <si>
    <t>Standard Deviation</t>
  </si>
  <si>
    <t>PSC Declining Balance</t>
  </si>
  <si>
    <t>PySCnomics</t>
  </si>
  <si>
    <t>Please Design The Monte Carlo here  !!!!</t>
  </si>
  <si>
    <t>Inflation Configuration</t>
  </si>
  <si>
    <t>Inflation Rate</t>
  </si>
  <si>
    <t>Inflation Rate Mode</t>
  </si>
  <si>
    <t>Discounting Mode</t>
  </si>
  <si>
    <t>End Year</t>
  </si>
  <si>
    <t>SKK Full Cycle Nominal Terms</t>
  </si>
  <si>
    <t>User Input - Multi Value</t>
  </si>
  <si>
    <t>Transition CR - CR</t>
  </si>
  <si>
    <t>Uniform</t>
  </si>
  <si>
    <t>Triangular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</si>
</sst>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
      <b/>
      <sz val="11"/>
      <color rgb="FFFF0000"/>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8">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25" fillId="0" borderId="0" xfId="0" applyFont="1"/>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7" borderId="5"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3" fillId="0" borderId="4" xfId="0" applyFont="1" applyBorder="1" applyAlignment="1">
      <alignment horizontal="center"/>
    </xf>
    <xf numFmtId="0" fontId="0" fillId="7" borderId="6" xfId="0" applyFill="1"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3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file>

<file path=xl/ctrlProps/ctrlProp8.xml><?xml version="1.0" encoding="utf-8"?>
<formControlPr xmlns="http://schemas.microsoft.com/office/spreadsheetml/2009/9/main" objectType="Spin" dx="26" fmlaLink="$D$11" max="20" min="1" page="10"/>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4"/>
</file>

<file path=xl/ctrlProps/ctrlProp14.xml><?xml version="1.0" encoding="utf-8"?>
<formControlPr xmlns="http://schemas.microsoft.com/office/spreadsheetml/2009/9/main" objectType="Spin" dx="26" fmlaLink="$H$11" max="20" min="1" page="10" val="3"/>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Spin" dx="26" fmlaLink="$D$16" max="10" min="1" page="10"/>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Spin" dx="26" fmlaLink="'Fiscal Config'!$C$2" max="4" min="1" page="10" val="3"/>
</file>

<file path=xl/ctrlProps/ctrlProp33.xml><?xml version="1.0" encoding="utf-8"?>
<formControlPr xmlns="http://schemas.microsoft.com/office/spreadsheetml/2009/9/main" objectType="Spin" dx="26" fmlaLink="$C$29" max="2" min="1" page="10"/>
</file>

<file path=xl/ctrlProps/ctrlProp34.xml><?xml version="1.0" encoding="utf-8"?>
<formControlPr xmlns="http://schemas.microsoft.com/office/spreadsheetml/2009/9/main" objectType="Spin" dx="26" fmlaLink="$C$7" max="3" min="1" page="10" val="3"/>
</file>

<file path=xl/ctrlProps/ctrlProp35.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19050</xdr:rowOff>
        </xdr:from>
        <xdr:to>
          <xdr:col>3</xdr:col>
          <xdr:colOff>828</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19050</xdr:rowOff>
        </xdr:from>
        <xdr:to>
          <xdr:col>3</xdr:col>
          <xdr:colOff>828</xdr:colOff>
          <xdr:row>10</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352425</xdr:colOff>
          <xdr:row>12</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3</xdr:col>
          <xdr:colOff>828</xdr:colOff>
          <xdr:row>14</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3</xdr:col>
          <xdr:colOff>828</xdr:colOff>
          <xdr:row>13</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361950</xdr:colOff>
          <xdr:row>10</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19050</xdr:rowOff>
        </xdr:from>
        <xdr:to>
          <xdr:col>3</xdr:col>
          <xdr:colOff>828</xdr:colOff>
          <xdr:row>15</xdr:row>
          <xdr:rowOff>171450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171450</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438150</xdr:colOff>
          <xdr:row>5</xdr:row>
          <xdr:rowOff>19050</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04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171450</xdr:rowOff>
        </xdr:from>
        <xdr:to>
          <xdr:col>3</xdr:col>
          <xdr:colOff>438150</xdr:colOff>
          <xdr:row>6</xdr:row>
          <xdr:rowOff>19050</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04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171450</xdr:rowOff>
        </xdr:from>
        <xdr:to>
          <xdr:col>3</xdr:col>
          <xdr:colOff>438150</xdr:colOff>
          <xdr:row>7</xdr:row>
          <xdr:rowOff>19050</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04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171450</xdr:rowOff>
        </xdr:from>
        <xdr:to>
          <xdr:col>3</xdr:col>
          <xdr:colOff>438150</xdr:colOff>
          <xdr:row>8</xdr:row>
          <xdr:rowOff>19050</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04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171450</xdr:rowOff>
        </xdr:from>
        <xdr:to>
          <xdr:col>3</xdr:col>
          <xdr:colOff>438150</xdr:colOff>
          <xdr:row>9</xdr:row>
          <xdr:rowOff>19050</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04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171450</xdr:rowOff>
        </xdr:from>
        <xdr:to>
          <xdr:col>3</xdr:col>
          <xdr:colOff>438150</xdr:colOff>
          <xdr:row>10</xdr:row>
          <xdr:rowOff>19050</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04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171450</xdr:rowOff>
        </xdr:from>
        <xdr:to>
          <xdr:col>3</xdr:col>
          <xdr:colOff>438150</xdr:colOff>
          <xdr:row>11</xdr:row>
          <xdr:rowOff>19050</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04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171450</xdr:rowOff>
        </xdr:from>
        <xdr:to>
          <xdr:col>3</xdr:col>
          <xdr:colOff>438150</xdr:colOff>
          <xdr:row>12</xdr:row>
          <xdr:rowOff>19050</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04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171450</xdr:rowOff>
        </xdr:from>
        <xdr:to>
          <xdr:col>3</xdr:col>
          <xdr:colOff>438150</xdr:colOff>
          <xdr:row>13</xdr:row>
          <xdr:rowOff>19050</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04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04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04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04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19050</xdr:rowOff>
        </xdr:from>
        <xdr:to>
          <xdr:col>3</xdr:col>
          <xdr:colOff>438150</xdr:colOff>
          <xdr:row>15</xdr:row>
          <xdr:rowOff>180975</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04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438150</xdr:colOff>
          <xdr:row>16</xdr:row>
          <xdr:rowOff>171450</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04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19050</xdr:rowOff>
        </xdr:from>
        <xdr:to>
          <xdr:col>3</xdr:col>
          <xdr:colOff>438150</xdr:colOff>
          <xdr:row>17</xdr:row>
          <xdr:rowOff>180975</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04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9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28</xdr:row>
          <xdr:rowOff>9525</xdr:rowOff>
        </xdr:from>
        <xdr:to>
          <xdr:col>2</xdr:col>
          <xdr:colOff>1685925</xdr:colOff>
          <xdr:row>28</xdr:row>
          <xdr:rowOff>171450</xdr:rowOff>
        </xdr:to>
        <xdr:sp macro="" textlink="">
          <xdr:nvSpPr>
            <xdr:cNvPr id="303109" name="Spinner 5" hidden="1">
              <a:extLst>
                <a:ext uri="{63B3BB69-23CF-44E3-9099-C40C66FF867C}">
                  <a14:compatExt spid="_x0000_s303109"/>
                </a:ext>
                <a:ext uri="{FF2B5EF4-FFF2-40B4-BE49-F238E27FC236}">
                  <a16:creationId xmlns:a16="http://schemas.microsoft.com/office/drawing/2014/main" id="{00000000-0008-0000-0900-000005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16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8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36" dataDxfId="135">
  <tableColumns count="5">
    <tableColumn id="1" xr3:uid="{F5C1188B-5A01-4D20-9CDA-43938053BE14}" name="Year" dataDxfId="134"/>
    <tableColumn id="2" xr3:uid="{488F6F74-60C4-41C0-8968-CFABEEC8C577}" name="Oil Sales (MMBOPY)" dataDxfId="133"/>
    <tableColumn id="3" xr3:uid="{FA019DEC-C16E-43AA-B922-7626C07066D2}" name="Oil Price (USD/BBL)" dataDxfId="132"/>
    <tableColumn id="4" xr3:uid="{E46E713A-179D-444E-88B6-019AD68876B5}" name="Condensate Sales (MMBOPY)" dataDxfId="131"/>
    <tableColumn id="5" xr3:uid="{04F0C769-33F5-487D-B7D5-F46799049A69}" name="Condensate Price (USD/BBL)" dataDxfId="130"/>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29" dataDxfId="128">
  <autoFilter ref="A1:BJ50" xr:uid="{F3B5FD60-3EF6-4239-90D9-138C2E5C0533}"/>
  <tableColumns count="62">
    <tableColumn id="1" xr3:uid="{77AB1563-534C-4000-8990-E78C5E489BD7}" name="Year" dataDxfId="127"/>
    <tableColumn id="2" xr3:uid="{D229AC35-73B4-42FD-BBA3-AD438E380811}" name="Gas Production (BSCF)" dataDxfId="126"/>
    <tableColumn id="3" xr3:uid="{FCC8C31C-5036-4AF9-B6CE-1EEA31C5FAE9}" name="GSA 1 Volume (BSCF)" dataDxfId="125"/>
    <tableColumn id="4" xr3:uid="{C43DEA5B-2B33-4E7F-A57F-5476C60E7DCB}" name="GSA 1 GHV (BTU/SCF)" dataDxfId="124"/>
    <tableColumn id="5" xr3:uid="{41CF3913-D317-4E9F-B718-27DD21583BF7}" name="GSA 1 Price (USD/MMBTU)" dataDxfId="123"/>
    <tableColumn id="6" xr3:uid="{D3447C8E-599C-4059-A25A-5992EAF3CA98}" name="GSA 2 Volume (BSCF)" dataDxfId="122"/>
    <tableColumn id="7" xr3:uid="{08251CDD-AB2B-44EA-BB2B-B83A1024372A}" name="GSA 2 GHV (BTU/SCF)" dataDxfId="121"/>
    <tableColumn id="8" xr3:uid="{2AAA0FEE-F453-4CDC-BB43-9260633E2A77}" name="GSA 2 Price (USD/MMBTU)" dataDxfId="120"/>
    <tableColumn id="9" xr3:uid="{11DE7FD8-4E88-43BA-9FC1-5BFC6B7A4152}" name="GSA 3 Volume (BSCF)" dataDxfId="119"/>
    <tableColumn id="10" xr3:uid="{62D5C9C4-267A-4911-9B26-395CA0A13963}" name="GSA 3 GHV (BTU/SCF)" dataDxfId="118"/>
    <tableColumn id="11" xr3:uid="{8E831C1F-1E47-4011-B7F2-3315ADF97880}" name="GSA 3 Price (USD/MMBTU)" dataDxfId="117"/>
    <tableColumn id="12" xr3:uid="{7495CB1E-FAD1-4D28-AFB9-5721BE9D6A62}" name="GSA 4 Volume (BSCF)" dataDxfId="116"/>
    <tableColumn id="13" xr3:uid="{CCEEC0D9-E00C-4AE0-A6FB-2A21358BEFD2}" name="GSA 4 GHV (BTU/SCF)" dataDxfId="115"/>
    <tableColumn id="14" xr3:uid="{02D4E6A1-2B65-421C-8510-61E7E14C93AF}" name="GSA 4 Price (USD/MMBTU)" dataDxfId="114"/>
    <tableColumn id="15" xr3:uid="{81A66C00-B18B-44A8-B655-2F196AEDE152}" name="GSA 5 Volume (BSCF)" dataDxfId="113"/>
    <tableColumn id="16" xr3:uid="{E3C45877-F389-429D-8AA5-C760BD17A529}" name="GSA 5 GHV (BTU/SCF)" dataDxfId="112"/>
    <tableColumn id="17" xr3:uid="{29EC26AB-1FD3-4B90-8A35-51DD0A51A022}" name="GSA 5 Price (USD/MMBTU)" dataDxfId="111"/>
    <tableColumn id="18" xr3:uid="{13A537C0-0178-4CB4-B395-6E350791AFD2}" name="GSA 6 Volume (BSCF)5" dataDxfId="110"/>
    <tableColumn id="19" xr3:uid="{200121C4-4603-4606-9C7C-E8E2BEB00D03}" name="GSA 6 GHV (BTU/SCF)" dataDxfId="109"/>
    <tableColumn id="20" xr3:uid="{8C225936-78F4-424A-A66E-AC5E32060AAF}" name="GSA 6 Price (USD/MMBTU)" dataDxfId="108"/>
    <tableColumn id="21" xr3:uid="{44CE13E9-EEEF-4BEC-8518-6B116C1AD26B}" name="GSA 7 Volume (BSCF)" dataDxfId="107"/>
    <tableColumn id="22" xr3:uid="{ECD91665-11BC-45C6-9498-68BDC2D7C660}" name="GSA 7 GHV (BTU/SCF)" dataDxfId="106"/>
    <tableColumn id="23" xr3:uid="{BBCF0D25-A5E6-4644-964E-087F828A3214}" name="GSA 7 Price (USD/MMBTU)" dataDxfId="105"/>
    <tableColumn id="24" xr3:uid="{8DBCA4FF-FABE-4194-B3F6-1DBCEF167B28}" name="GSA 8 Volume (BSCF)" dataDxfId="104"/>
    <tableColumn id="25" xr3:uid="{C036027E-6E33-43E1-BE27-B060EB711E54}" name="GSA 8 GHV (BTU/SCF)" dataDxfId="103"/>
    <tableColumn id="26" xr3:uid="{F97DC2DB-AC07-4EF5-8063-0BE58357542D}" name="GSA 8 Price (USD/MMBTU)" dataDxfId="102"/>
    <tableColumn id="27" xr3:uid="{DA65A24F-CADB-4DE1-8A15-3A7FBA499C71}" name="GSA 9 Volume (BSCF)" dataDxfId="101"/>
    <tableColumn id="28" xr3:uid="{965B634C-0E56-49A6-8114-ACEABD08501E}" name="GSA 9 GHV (BTU/SCF)" dataDxfId="100"/>
    <tableColumn id="29" xr3:uid="{EBB76C16-8154-4DF6-ACC0-632DF52511A6}" name="GSA 9 Price (USD/MMBTU)" dataDxfId="99"/>
    <tableColumn id="30" xr3:uid="{2EE56E13-7901-46A4-B827-82F154323535}" name="GSA 10 Volume (BSCF)" dataDxfId="98"/>
    <tableColumn id="31" xr3:uid="{B059A543-383C-48AF-974C-15AEF15B1E83}" name="GSA 10 GHV (BTU/SCF)" dataDxfId="97"/>
    <tableColumn id="32" xr3:uid="{EB5FE66C-4F13-4C5A-9295-9CA6B5EBE0DB}" name="GSA 10 Price (USD/MMBTU)" dataDxfId="96"/>
    <tableColumn id="33" xr3:uid="{48C2A0C4-CDE1-43D4-80DA-9A04CFD50DF3}" name="GSA 11 Volume (BSCF)" dataDxfId="95"/>
    <tableColumn id="34" xr3:uid="{D58B2C50-D5D3-4FA0-BF0F-B249498FE2E5}" name="GSA 11 GHV (BTU/SCF)" dataDxfId="94"/>
    <tableColumn id="35" xr3:uid="{086395B3-EDF7-4416-824F-DADC5A41C808}" name="GSA 11 Price (USD/MMBTU)" dataDxfId="93"/>
    <tableColumn id="36" xr3:uid="{50F0227B-E5CB-4438-A313-A1630B0C4478}" name="GSA 12 Volume (BSCF)" dataDxfId="92"/>
    <tableColumn id="37" xr3:uid="{2E59E514-274A-4FF3-97F1-4C10C438F92C}" name="GSA 12 GHV (BTU/SCF)" dataDxfId="91"/>
    <tableColumn id="38" xr3:uid="{DC78227B-224D-4D70-AAA8-998E0854A236}" name="GSA 12 Price (USD/MMBTU)" dataDxfId="90"/>
    <tableColumn id="39" xr3:uid="{380FF60C-4086-4E19-B225-F579C632C9DF}" name="GSA 13 Volume (BSCF)5" dataDxfId="89"/>
    <tableColumn id="40" xr3:uid="{EA265128-A0AF-496A-8215-D7EA67E172D9}" name="GSA 13 GHV (BTU/SCF)" dataDxfId="88"/>
    <tableColumn id="41" xr3:uid="{6B34D3A2-F4F8-4588-9485-1E1F4AB9929F}" name="GSA 13 Price (USD/MMBTU)" dataDxfId="87"/>
    <tableColumn id="42" xr3:uid="{13937CA0-4E6B-49CB-82C8-CD285DE9A0AD}" name="GSA 14 Volume (BSCF)" dataDxfId="86"/>
    <tableColumn id="43" xr3:uid="{F104848B-FC0E-4CBC-8952-456A40422817}" name="GSA 14 GHV (BTU/SCF)" dataDxfId="85"/>
    <tableColumn id="44" xr3:uid="{A52502E1-9A56-45E0-B86B-4ADC54D7C46F}" name="GSA 14 Price (USD/MMBTU)" dataDxfId="84"/>
    <tableColumn id="45" xr3:uid="{D0E6F40C-E9D8-476C-974F-CD8BD0CC9E3E}" name="GSA 15 Volume (BSCF)" dataDxfId="83"/>
    <tableColumn id="46" xr3:uid="{D56CBA84-14DB-427F-BA7E-8A9A8CD3EF99}" name="GSA 15 GHV (BTU/SCF)" dataDxfId="82"/>
    <tableColumn id="47" xr3:uid="{79C8FA99-16A2-404A-8433-D73D4D3115E8}" name="GSA 15 Price (USD/MMBTU)" dataDxfId="81"/>
    <tableColumn id="48" xr3:uid="{7000071C-AB3D-4E5E-BAFD-6D0FF7DC3959}" name="GSA 16 Volume (BSCF)" dataDxfId="80"/>
    <tableColumn id="49" xr3:uid="{666AD423-FDD2-4B36-B9F4-1190CD03FDA3}" name="GSA 16 GHV (BTU/SCF)" dataDxfId="79"/>
    <tableColumn id="50" xr3:uid="{AE6DCD42-F2A8-4EA9-8085-856DCD64C3F8}" name="GSA 16 Price (USD/MMBTU)" dataDxfId="78"/>
    <tableColumn id="51" xr3:uid="{0691CFC8-568E-4AD2-920C-23CAEB458DAD}" name="GSA 17 Volume (BSCF)" dataDxfId="77"/>
    <tableColumn id="52" xr3:uid="{16C1EC1E-B5AC-4161-A0BF-CBB9D4021BC8}" name="GSA 17 GHV (BTU/SCF)" dataDxfId="76"/>
    <tableColumn id="53" xr3:uid="{1508BBC4-8EA3-47F1-8A28-5F141C9A3043}" name="GSA 17 Price (USD/MMBTU)" dataDxfId="75"/>
    <tableColumn id="62" xr3:uid="{969F6049-83E6-4535-A53A-482126AA77D7}" name="GSA 18 Volume (BSCF)" dataDxfId="74"/>
    <tableColumn id="61" xr3:uid="{03793DC0-561A-4F93-A29A-C63F176A5815}" name="GSA 18 GHV (BTU/SCF)" dataDxfId="73"/>
    <tableColumn id="60" xr3:uid="{FEAD4B29-4CB5-4083-BBB7-B1DBD002BE7E}" name="GSA 18 Price (USD/MMBTU)" dataDxfId="72"/>
    <tableColumn id="54" xr3:uid="{FDC4A9DF-4688-4830-B992-39D1F5107766}" name="GSA 19 Volume (BSCF)" dataDxfId="71"/>
    <tableColumn id="55" xr3:uid="{B0D7E298-E213-45EC-81C3-3AEA0B511A75}" name="GSA 19 GHV (BTU/SCF)" dataDxfId="70"/>
    <tableColumn id="56" xr3:uid="{65BE7B38-E137-4116-BE99-9732D0D27601}" name="GSA 19 Price (USD/MMBTU)" dataDxfId="69"/>
    <tableColumn id="57" xr3:uid="{66A45D79-4EFD-4A60-B7FC-2AAF364EBD1D}" name="GSA 20 Volume (BSCF)5" dataDxfId="68"/>
    <tableColumn id="58" xr3:uid="{F6354756-CE1B-4E3C-993B-28993F1AAAD2}" name="GSA 20 GHV (BTU/SCF)" dataDxfId="67"/>
    <tableColumn id="59" xr3:uid="{DCC94FD8-C643-4565-AB15-65A7E5B1F9AA}" name="GSA 20 Price (USD/MMBTU)" dataDxfId="6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65" dataDxfId="64">
  <autoFilter ref="A1:C50" xr:uid="{4F6CF9AB-FA3D-4BB4-ADAA-CA685555616C}"/>
  <tableColumns count="3">
    <tableColumn id="1" xr3:uid="{0DB2853D-2883-477A-BEC2-C3A8EC6BE1B6}" name="Year" dataDxfId="63"/>
    <tableColumn id="2" xr3:uid="{01418EAC-C4F4-48E8-9287-8988948DB9F1}" name="LPG Propane Sales (MT)" dataDxfId="62"/>
    <tableColumn id="3" xr3:uid="{4374CFEA-F40D-4DFA-9E1A-50C068F77BB6}" name="LPG Propane Price (USD/T)" dataDxfId="61"/>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60" dataDxfId="59" tableBorderDxfId="58">
  <autoFilter ref="A1:C50" xr:uid="{A8B16AAF-E66E-4CE6-9E4E-EF4357083D9F}"/>
  <tableColumns count="3">
    <tableColumn id="1" xr3:uid="{6D5873CF-438A-4FB6-916E-EE4D8EA16C1B}" name="Year" dataDxfId="57"/>
    <tableColumn id="2" xr3:uid="{43FF55CD-251A-41D3-8DF3-39F98EEBC7E1}" name="LPG Butane Sales (MT)" dataDxfId="56"/>
    <tableColumn id="3" xr3:uid="{2AAABAE2-6AC9-4B24-A446-5622714DF15D}" name="LPG Butane Price(USD/T)" dataDxfId="55"/>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54" dataDxfId="53" tableBorderDxfId="52">
  <autoFilter ref="A1:C50" xr:uid="{AFC9D790-2204-4F4A-AEE5-A13F7CE6AF28}"/>
  <tableColumns count="3">
    <tableColumn id="1" xr3:uid="{B94BBB40-0B72-4B57-B720-38EEC1B95A78}" name="Year" dataDxfId="51"/>
    <tableColumn id="2" xr3:uid="{F53E2F6F-AB58-41DA-895C-419E73EC60A8}" name="CO2 Sales (Ton)" dataDxfId="50"/>
    <tableColumn id="3" xr3:uid="{6782EC61-C652-4E3C-B9F2-11DB4EFF1616}" name="Price (MMUSD/Unit)" dataDxfId="49"/>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8" dataDxfId="47">
  <autoFilter ref="A1:C50" xr:uid="{DEE72A9B-4BBC-4F3F-80BF-BC7085A5EA38}"/>
  <tableColumns count="3">
    <tableColumn id="1" xr3:uid="{36797F45-B4D8-4AAF-9EF9-72A94931E9BD}" name="Year" dataDxfId="46"/>
    <tableColumn id="2" xr3:uid="{F565D607-058E-4CC9-A868-ABC946C30F0A}" name="Sulfur Sales (Ton)" dataDxfId="45"/>
    <tableColumn id="3" xr3:uid="{FE95A159-27F7-4729-98BD-3BC24A13F318}" name="Price (MMUSD/Unit)" dataDxfId="44"/>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43" dataDxfId="42">
  <autoFilter ref="A1:C50" xr:uid="{DEE72A9B-4BBC-4F3F-80BF-BC7085A5EA38}"/>
  <tableColumns count="3">
    <tableColumn id="1" xr3:uid="{9046D9DD-2F71-4AF2-8197-1C4A99CD21F1}" name="Year" dataDxfId="41"/>
    <tableColumn id="2" xr3:uid="{AC666C38-3CBA-4F89-96AF-CD0114273121}" name="Electricity Sales (Unit)" dataDxfId="40"/>
    <tableColumn id="3" xr3:uid="{A9E705E7-0E52-4109-A72A-9C8AD1165D12}" name="Price (MMUSD/Unit)" dataDxfId="3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38" dataDxfId="37">
  <autoFilter ref="A1:K200" xr:uid="{7C91890B-09E6-4AFA-B40C-6F75BB3A42FE}"/>
  <tableColumns count="11">
    <tableColumn id="1" xr3:uid="{C5E29AD2-AE25-44BD-901B-58F05DE5E702}" name="Year" dataDxfId="36"/>
    <tableColumn id="3" xr3:uid="{34B633CC-B7D2-4E02-B4C0-6546AED90ECD}" name="Associated With" dataDxfId="35"/>
    <tableColumn id="4" xr3:uid="{15363438-3001-44B3-BFFB-44F0E337DA0F}" name="Cost (MUSD)" dataDxfId="34"/>
    <tableColumn id="5" xr3:uid="{26A9C678-E732-4913-AC99-C95C83093FA8}" name="PIS Year" dataDxfId="33"/>
    <tableColumn id="8" xr3:uid="{7364EFAD-EAA4-45EB-8863-C84BB6B52FCF}" name="Useful Life (Years)" dataDxfId="32"/>
    <tableColumn id="9" xr3:uid="{7894BF9B-F0BD-4BFE-BFA3-3BE9D613C40A}" name="Depreciation Factor" dataDxfId="31"/>
    <tableColumn id="11" xr3:uid="{3328797F-722A-43DE-B743-779488C03E40}" name="Salvage Value" dataDxfId="30"/>
    <tableColumn id="10" xr3:uid="{88614DD2-0187-4679-A89D-61C72EA94D65}" name="Applied By IC" dataDxfId="29"/>
    <tableColumn id="6" xr3:uid="{A9867297-A677-4A93-9B0F-A32163B58107}" name="VAT Portion" dataDxfId="28"/>
    <tableColumn id="12" xr3:uid="{E4597EDC-E479-4B07-9316-B7D3C15AAE4C}" name="LBT Portion" dataDxfId="27"/>
    <tableColumn id="7" xr3:uid="{E6363697-EFAA-4A7E-A486-8D9583D38261}" name="Description" dataDxfId="26"/>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25" dataDxfId="24">
  <autoFilter ref="A1:F200" xr:uid="{7C91890B-09E6-4AFA-B40C-6F75BB3A42FE}"/>
  <tableColumns count="6">
    <tableColumn id="1" xr3:uid="{EA9912A2-FB4D-4FF7-8E68-51936E856411}" name="Year" dataDxfId="23"/>
    <tableColumn id="3" xr3:uid="{1CE8F2C7-DD5F-4DEA-9086-BF2335D1081C}" name="Associated With" dataDxfId="22"/>
    <tableColumn id="4" xr3:uid="{7E00D1F9-CE30-44EC-8013-F359F8BB7526}" name="Cost (MUSD)" dataDxfId="21"/>
    <tableColumn id="6" xr3:uid="{6AA0DA30-A6A0-4F5A-8A9D-599F23F31F9A}" name="VAT Portion" dataDxfId="20"/>
    <tableColumn id="2" xr3:uid="{20C207BB-9D25-48F4-A557-2DE98DC86DE2}" name="LBT Portion" dataDxfId="19"/>
    <tableColumn id="7" xr3:uid="{88C69571-67EC-47E5-9D42-08FE1421FD7B}" name="Description" dataDxfId="18"/>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7" dataDxfId="16">
  <autoFilter ref="A1:H200" xr:uid="{7C91890B-09E6-4AFA-B40C-6F75BB3A42FE}"/>
  <tableColumns count="8">
    <tableColumn id="1" xr3:uid="{AC895082-1EAA-441F-8FD0-34C18A1CB089}" name="Year" dataDxfId="15"/>
    <tableColumn id="3" xr3:uid="{FE660166-2BA0-42A0-937E-5DBF97CED42C}" name="Associated With" dataDxfId="14"/>
    <tableColumn id="4" xr3:uid="{C739732C-69FF-4102-B6A2-101C10C34836}" name="Fixed Cost (MUSD)" dataDxfId="13"/>
    <tableColumn id="5" xr3:uid="{67A869D6-1E1C-47FA-9CB2-B9EBAB8A9115}" name="Production Rate" dataDxfId="12"/>
    <tableColumn id="8" xr3:uid="{45C3823F-84A4-4F62-A0A4-DA263536063F}" name="Cost Per Production Volume" dataDxfId="11"/>
    <tableColumn id="6" xr3:uid="{1A0F968A-3852-413A-94F7-58572EA4EED6}" name="VAT Portion" dataDxfId="10"/>
    <tableColumn id="2" xr3:uid="{3BE87D45-FDD7-4B44-8923-9B29FC792264}" name="LBT Portion" dataDxfId="9"/>
    <tableColumn id="7" xr3:uid="{4719FAF0-B894-4DE5-830E-BDF8B52BACBC}" name="Description" dataDxfId="8"/>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7" dataDxfId="6">
  <autoFilter ref="A1:F200" xr:uid="{7C91890B-09E6-4AFA-B40C-6F75BB3A42FE}"/>
  <tableColumns count="6">
    <tableColumn id="1" xr3:uid="{D90C6F3C-116C-43AA-9F64-E2131D95E5C5}" name="Year" dataDxfId="5"/>
    <tableColumn id="3" xr3:uid="{9372B980-5592-43DD-ACB0-807DB4570841}" name="Associated With" dataDxfId="4"/>
    <tableColumn id="4" xr3:uid="{206A9B04-1A88-477A-8F64-4C0F0E3C5733}" name="Cost (MUSD)" dataDxfId="3"/>
    <tableColumn id="6" xr3:uid="{6949DE12-A1F2-402E-AD64-B2E62B7B03B0}" name="VAT Portion" dataDxfId="2"/>
    <tableColumn id="2" xr3:uid="{8AB5815F-EA72-48B7-8147-A2F48253134F}" name="LBT Portion" dataDxfId="1"/>
    <tableColumn id="7" xr3:uid="{409BC20B-C4FF-4632-A019-CE1FBF972D05}" name="Description"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2.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3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Normal="100" workbookViewId="0">
      <selection activeCell="M17" sqref="M17"/>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5" t="s">
        <v>375</v>
      </c>
      <c r="F9" s="85"/>
      <c r="G9" s="85"/>
      <c r="H9" s="85"/>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181</v>
      </c>
    </row>
    <row r="3" spans="1:19" ht="4.1500000000000004" customHeight="1" x14ac:dyDescent="0.25"/>
    <row r="4" spans="1:19" ht="30" customHeight="1" x14ac:dyDescent="0.25">
      <c r="B4" s="86" t="s">
        <v>182</v>
      </c>
      <c r="C4" s="86"/>
      <c r="D4" s="86"/>
      <c r="E4" s="86"/>
      <c r="F4" s="86"/>
      <c r="G4" s="86"/>
      <c r="H4" s="86"/>
      <c r="I4" s="86"/>
      <c r="J4" s="86"/>
      <c r="K4" s="86"/>
      <c r="L4" s="86"/>
      <c r="M4" s="86"/>
      <c r="N4" s="86"/>
      <c r="O4" s="86"/>
      <c r="P4" s="86"/>
      <c r="Q4" s="86"/>
      <c r="R4" s="86"/>
      <c r="S4" s="86"/>
    </row>
    <row r="5" spans="1:19" x14ac:dyDescent="0.25"/>
    <row r="6" spans="1:19" x14ac:dyDescent="0.25">
      <c r="A6" s="6" t="s">
        <v>183</v>
      </c>
    </row>
    <row r="7" spans="1:19" ht="6" customHeight="1" x14ac:dyDescent="0.25">
      <c r="A7" s="6"/>
    </row>
    <row r="8" spans="1:19" x14ac:dyDescent="0.25">
      <c r="B8" s="82"/>
      <c r="C8" s="86" t="s">
        <v>365</v>
      </c>
      <c r="D8" s="86"/>
      <c r="E8" s="86"/>
      <c r="F8" s="86"/>
      <c r="G8" s="86"/>
      <c r="H8" s="86"/>
      <c r="I8" s="86"/>
      <c r="J8" s="86"/>
      <c r="K8" s="86"/>
      <c r="L8" s="86"/>
      <c r="M8" s="86"/>
      <c r="N8" s="86"/>
      <c r="O8" s="86"/>
      <c r="P8" s="86"/>
      <c r="Q8" s="86"/>
      <c r="R8" s="86"/>
      <c r="S8" s="86"/>
    </row>
    <row r="9" spans="1:19" ht="6" customHeight="1" x14ac:dyDescent="0.25"/>
    <row r="10" spans="1:19" ht="14.45" customHeight="1" x14ac:dyDescent="0.25">
      <c r="B10" s="81"/>
      <c r="C10" s="86" t="s">
        <v>184</v>
      </c>
      <c r="D10" s="86"/>
      <c r="E10" s="86"/>
      <c r="F10" s="86"/>
      <c r="G10" s="86"/>
      <c r="H10" s="86"/>
      <c r="I10" s="86"/>
      <c r="J10" s="86"/>
      <c r="K10" s="86"/>
      <c r="L10" s="86"/>
      <c r="M10" s="86"/>
      <c r="N10" s="86"/>
      <c r="O10" s="86"/>
      <c r="P10" s="86"/>
      <c r="Q10" s="86"/>
      <c r="R10" s="86"/>
      <c r="S10" s="86"/>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1.9"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1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7.9" customHeight="1" x14ac:dyDescent="0.25"/>
    <row r="33" spans="1:2" x14ac:dyDescent="0.25">
      <c r="A33" s="9" t="s">
        <v>195</v>
      </c>
    </row>
    <row r="34" spans="1:2" x14ac:dyDescent="0.25">
      <c r="B34" t="s">
        <v>196</v>
      </c>
    </row>
    <row r="35" spans="1:2" ht="7.9"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15" customHeight="1" x14ac:dyDescent="0.25"/>
    <row r="51" spans="1:2" x14ac:dyDescent="0.25">
      <c r="A51" s="9" t="s">
        <v>209</v>
      </c>
    </row>
    <row r="52" spans="1:2" x14ac:dyDescent="0.25">
      <c r="A52" s="10"/>
      <c r="B52" t="s">
        <v>207</v>
      </c>
    </row>
    <row r="53" spans="1:2" ht="10.15" customHeight="1" x14ac:dyDescent="0.25"/>
    <row r="54" spans="1:2" x14ac:dyDescent="0.25">
      <c r="A54" s="9" t="s">
        <v>210</v>
      </c>
    </row>
    <row r="55" spans="1:2" x14ac:dyDescent="0.25">
      <c r="A55" s="10"/>
      <c r="B55" t="s">
        <v>208</v>
      </c>
    </row>
    <row r="56" spans="1:2" ht="10.1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zoomScale="115" zoomScaleNormal="115" workbookViewId="0">
      <selection activeCell="E5" sqref="E5"/>
    </sheetView>
  </sheetViews>
  <sheetFormatPr defaultColWidth="0" defaultRowHeight="15" zeroHeight="1" x14ac:dyDescent="0.25"/>
  <cols>
    <col min="1" max="1" width="3.28515625" customWidth="1"/>
    <col min="2" max="2" width="8.85546875" customWidth="1"/>
    <col min="3" max="3" width="34.28515625" customWidth="1"/>
    <col min="4" max="4" width="11.7109375" bestFit="1" customWidth="1"/>
    <col min="5" max="5" width="12.5703125" bestFit="1" customWidth="1"/>
    <col min="6" max="6" width="4.28515625" customWidth="1"/>
    <col min="7" max="16384" width="8.85546875" hidden="1"/>
  </cols>
  <sheetData>
    <row r="1" spans="2:5" x14ac:dyDescent="0.25"/>
    <row r="2" spans="2:5" x14ac:dyDescent="0.25">
      <c r="B2" s="88" t="s">
        <v>122</v>
      </c>
      <c r="C2" s="88" t="s">
        <v>213</v>
      </c>
      <c r="D2" s="88" t="s">
        <v>214</v>
      </c>
      <c r="E2" s="88" t="s">
        <v>215</v>
      </c>
    </row>
    <row r="3" spans="2:5" x14ac:dyDescent="0.25">
      <c r="B3" s="88"/>
      <c r="C3" s="88"/>
      <c r="D3" s="88"/>
      <c r="E3" s="88"/>
    </row>
    <row r="4" spans="2:5" x14ac:dyDescent="0.25">
      <c r="B4" s="88"/>
      <c r="C4" s="88"/>
      <c r="D4" s="88"/>
      <c r="E4" s="88"/>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358</v>
      </c>
      <c r="D7" s="30" t="s">
        <v>361</v>
      </c>
      <c r="E7" s="32">
        <v>0</v>
      </c>
    </row>
    <row r="8" spans="2:5" x14ac:dyDescent="0.25">
      <c r="B8" s="30">
        <v>4</v>
      </c>
      <c r="C8" s="31" t="s">
        <v>359</v>
      </c>
      <c r="D8" s="30" t="s">
        <v>360</v>
      </c>
      <c r="E8" s="32">
        <v>0</v>
      </c>
    </row>
    <row r="9" spans="2:5" x14ac:dyDescent="0.25">
      <c r="B9" s="30">
        <v>5</v>
      </c>
      <c r="C9" s="31" t="s">
        <v>220</v>
      </c>
      <c r="D9" s="30" t="s">
        <v>221</v>
      </c>
      <c r="E9" s="32">
        <v>0</v>
      </c>
    </row>
    <row r="10" spans="2:5" x14ac:dyDescent="0.25">
      <c r="B10" s="87">
        <v>6</v>
      </c>
      <c r="C10" s="31" t="s">
        <v>222</v>
      </c>
      <c r="D10" s="30" t="s">
        <v>221</v>
      </c>
      <c r="E10" s="32">
        <v>0</v>
      </c>
    </row>
    <row r="11" spans="2:5" x14ac:dyDescent="0.25">
      <c r="B11" s="87"/>
      <c r="C11" s="33" t="s">
        <v>223</v>
      </c>
      <c r="D11" s="30" t="s">
        <v>221</v>
      </c>
      <c r="E11" s="32">
        <v>0</v>
      </c>
    </row>
    <row r="12" spans="2:5" x14ac:dyDescent="0.25">
      <c r="B12" s="87"/>
      <c r="C12" s="33" t="s">
        <v>224</v>
      </c>
      <c r="D12" s="30" t="s">
        <v>221</v>
      </c>
      <c r="E12" s="32">
        <v>0</v>
      </c>
    </row>
    <row r="13" spans="2:5" x14ac:dyDescent="0.25">
      <c r="B13" s="30">
        <v>7</v>
      </c>
      <c r="C13" s="31" t="s">
        <v>225</v>
      </c>
      <c r="D13" s="30" t="s">
        <v>221</v>
      </c>
      <c r="E13" s="32">
        <v>0</v>
      </c>
    </row>
    <row r="14" spans="2:5" x14ac:dyDescent="0.25">
      <c r="B14" s="87">
        <v>8</v>
      </c>
      <c r="C14" s="31" t="s">
        <v>226</v>
      </c>
      <c r="D14" s="30" t="s">
        <v>221</v>
      </c>
      <c r="E14" s="32">
        <v>0</v>
      </c>
    </row>
    <row r="15" spans="2:5" x14ac:dyDescent="0.25">
      <c r="B15" s="87"/>
      <c r="C15" s="33" t="s">
        <v>227</v>
      </c>
      <c r="D15" s="30" t="s">
        <v>221</v>
      </c>
      <c r="E15" s="32">
        <v>0</v>
      </c>
    </row>
    <row r="16" spans="2:5" x14ac:dyDescent="0.25">
      <c r="B16" s="87"/>
      <c r="C16" s="33" t="s">
        <v>228</v>
      </c>
      <c r="D16" s="30" t="s">
        <v>221</v>
      </c>
      <c r="E16" s="32">
        <v>0</v>
      </c>
    </row>
    <row r="17" spans="2:5" x14ac:dyDescent="0.25">
      <c r="B17" s="87">
        <v>9</v>
      </c>
      <c r="C17" s="31" t="s">
        <v>229</v>
      </c>
      <c r="D17" s="30" t="s">
        <v>221</v>
      </c>
      <c r="E17" s="32">
        <v>0</v>
      </c>
    </row>
    <row r="18" spans="2:5" x14ac:dyDescent="0.25">
      <c r="B18" s="87"/>
      <c r="C18" s="33" t="s">
        <v>230</v>
      </c>
      <c r="D18" s="30" t="s">
        <v>221</v>
      </c>
      <c r="E18" s="32">
        <v>0</v>
      </c>
    </row>
    <row r="19" spans="2:5" x14ac:dyDescent="0.25">
      <c r="B19" s="87"/>
      <c r="C19" s="33" t="s">
        <v>231</v>
      </c>
      <c r="D19" s="30" t="s">
        <v>221</v>
      </c>
      <c r="E19" s="32">
        <v>0</v>
      </c>
    </row>
    <row r="20" spans="2:5" x14ac:dyDescent="0.25">
      <c r="B20" s="87">
        <v>10</v>
      </c>
      <c r="C20" s="31" t="s">
        <v>362</v>
      </c>
      <c r="D20" s="30" t="s">
        <v>221</v>
      </c>
      <c r="E20" s="32">
        <v>0</v>
      </c>
    </row>
    <row r="21" spans="2:5" x14ac:dyDescent="0.25">
      <c r="B21" s="87"/>
      <c r="C21" s="31" t="s">
        <v>233</v>
      </c>
      <c r="D21" s="30" t="s">
        <v>234</v>
      </c>
      <c r="E21" s="39">
        <v>0</v>
      </c>
    </row>
    <row r="22" spans="2:5" x14ac:dyDescent="0.25">
      <c r="B22" s="87">
        <v>11</v>
      </c>
      <c r="C22" s="31" t="s">
        <v>363</v>
      </c>
      <c r="D22" s="30" t="s">
        <v>221</v>
      </c>
      <c r="E22" s="32">
        <v>0</v>
      </c>
    </row>
    <row r="23" spans="2:5" x14ac:dyDescent="0.25">
      <c r="B23" s="87"/>
      <c r="C23" s="31" t="s">
        <v>233</v>
      </c>
      <c r="D23" s="30" t="s">
        <v>234</v>
      </c>
      <c r="E23" s="32">
        <v>0</v>
      </c>
    </row>
    <row r="24" spans="2:5" x14ac:dyDescent="0.25">
      <c r="B24" s="87">
        <v>12</v>
      </c>
      <c r="C24" s="31" t="s">
        <v>235</v>
      </c>
      <c r="D24" s="30"/>
      <c r="E24" s="32"/>
    </row>
    <row r="25" spans="2:5" x14ac:dyDescent="0.25">
      <c r="B25" s="87"/>
      <c r="C25" s="33" t="s">
        <v>236</v>
      </c>
      <c r="D25" s="30" t="s">
        <v>221</v>
      </c>
      <c r="E25" s="32">
        <v>0</v>
      </c>
    </row>
    <row r="26" spans="2:5" x14ac:dyDescent="0.25">
      <c r="B26" s="87"/>
      <c r="C26" s="33" t="s">
        <v>237</v>
      </c>
      <c r="D26" s="30" t="s">
        <v>234</v>
      </c>
      <c r="E26" s="39">
        <v>0</v>
      </c>
    </row>
    <row r="27" spans="2:5" x14ac:dyDescent="0.25">
      <c r="B27" s="87"/>
      <c r="C27" s="33" t="s">
        <v>238</v>
      </c>
      <c r="D27" s="30" t="s">
        <v>221</v>
      </c>
      <c r="E27" s="32">
        <v>0</v>
      </c>
    </row>
    <row r="28" spans="2:5" x14ac:dyDescent="0.25">
      <c r="B28" s="87"/>
      <c r="C28" s="33" t="s">
        <v>237</v>
      </c>
      <c r="D28" s="30" t="s">
        <v>234</v>
      </c>
      <c r="E28" s="39">
        <v>0</v>
      </c>
    </row>
    <row r="29" spans="2:5" x14ac:dyDescent="0.25">
      <c r="B29" s="87"/>
      <c r="C29" s="34" t="s">
        <v>239</v>
      </c>
      <c r="D29" s="35" t="s">
        <v>221</v>
      </c>
      <c r="E29" s="32">
        <v>0</v>
      </c>
    </row>
    <row r="30" spans="2:5" x14ac:dyDescent="0.25">
      <c r="B30" s="87"/>
      <c r="C30" s="34" t="s">
        <v>240</v>
      </c>
      <c r="D30" s="35" t="s">
        <v>221</v>
      </c>
      <c r="E30" s="32">
        <v>0</v>
      </c>
    </row>
    <row r="31" spans="2:5" x14ac:dyDescent="0.25">
      <c r="B31" s="87"/>
      <c r="C31" s="34" t="s">
        <v>241</v>
      </c>
      <c r="D31" s="35" t="s">
        <v>242</v>
      </c>
      <c r="E31" s="32">
        <v>0</v>
      </c>
    </row>
    <row r="32" spans="2:5" x14ac:dyDescent="0.25">
      <c r="B32" s="87"/>
      <c r="C32" s="34" t="s">
        <v>243</v>
      </c>
      <c r="D32" s="36"/>
      <c r="E32" s="32">
        <v>0</v>
      </c>
    </row>
    <row r="33" spans="2:5" x14ac:dyDescent="0.25">
      <c r="B33" s="87">
        <v>13</v>
      </c>
      <c r="C33" s="37" t="s">
        <v>244</v>
      </c>
      <c r="D33" s="35"/>
      <c r="E33" s="32"/>
    </row>
    <row r="34" spans="2:5" x14ac:dyDescent="0.25">
      <c r="B34" s="87"/>
      <c r="C34" s="34" t="s">
        <v>224</v>
      </c>
      <c r="D34" s="35" t="s">
        <v>221</v>
      </c>
      <c r="E34" s="32">
        <v>0</v>
      </c>
    </row>
    <row r="35" spans="2:5" x14ac:dyDescent="0.25">
      <c r="B35" s="87"/>
      <c r="C35" s="34" t="s">
        <v>364</v>
      </c>
      <c r="D35" s="35" t="s">
        <v>221</v>
      </c>
      <c r="E35" s="32">
        <v>0</v>
      </c>
    </row>
    <row r="36" spans="2:5" x14ac:dyDescent="0.25">
      <c r="B36" s="87"/>
      <c r="C36" s="34" t="s">
        <v>245</v>
      </c>
      <c r="D36" s="35" t="s">
        <v>221</v>
      </c>
      <c r="E36" s="32">
        <v>0</v>
      </c>
    </row>
    <row r="37" spans="2:5" x14ac:dyDescent="0.25">
      <c r="B37" s="87"/>
      <c r="C37" s="34" t="s">
        <v>246</v>
      </c>
      <c r="D37" s="35" t="s">
        <v>221</v>
      </c>
      <c r="E37" s="32">
        <v>0</v>
      </c>
    </row>
    <row r="38" spans="2:5" x14ac:dyDescent="0.25">
      <c r="B38" s="87"/>
      <c r="C38" s="34" t="s">
        <v>247</v>
      </c>
      <c r="D38" s="35" t="s">
        <v>221</v>
      </c>
      <c r="E38" s="32">
        <v>0</v>
      </c>
    </row>
    <row r="39" spans="2:5" x14ac:dyDescent="0.25">
      <c r="B39" s="87"/>
      <c r="C39" s="34" t="s">
        <v>237</v>
      </c>
      <c r="D39" s="35" t="s">
        <v>234</v>
      </c>
      <c r="E39" s="39">
        <v>0</v>
      </c>
    </row>
    <row r="40" spans="2:5" x14ac:dyDescent="0.25">
      <c r="B40" s="87"/>
      <c r="C40" s="34" t="s">
        <v>248</v>
      </c>
      <c r="D40" s="38" t="s">
        <v>221</v>
      </c>
      <c r="E40" s="32">
        <v>0</v>
      </c>
    </row>
    <row r="41" spans="2:5" x14ac:dyDescent="0.25"/>
  </sheetData>
  <mergeCells count="11">
    <mergeCell ref="B17:B19"/>
    <mergeCell ref="B20:B21"/>
    <mergeCell ref="B22:B23"/>
    <mergeCell ref="B24:B32"/>
    <mergeCell ref="B33:B40"/>
    <mergeCell ref="B14:B16"/>
    <mergeCell ref="B2:B4"/>
    <mergeCell ref="C2:C4"/>
    <mergeCell ref="D2:D4"/>
    <mergeCell ref="E2:E4"/>
    <mergeCell ref="B10:B1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33"/>
  <sheetViews>
    <sheetView showGridLines="0" showRowColHeaders="0" zoomScale="115" zoomScaleNormal="115" workbookViewId="0">
      <selection activeCell="C4" sqref="C4:E4"/>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hidden="1" customWidth="1"/>
    <col min="8" max="8" width="3.7109375" hidden="1" customWidth="1"/>
    <col min="9" max="9" width="5.28515625" hidden="1" customWidth="1"/>
    <col min="10" max="10" width="2.28515625" customWidth="1"/>
    <col min="11" max="16384" width="8.85546875" hidden="1"/>
  </cols>
  <sheetData>
    <row r="1" spans="1:9" x14ac:dyDescent="0.25">
      <c r="A1" s="9" t="s">
        <v>103</v>
      </c>
      <c r="B1" s="9"/>
    </row>
    <row r="2" spans="1:9" x14ac:dyDescent="0.25">
      <c r="B2" t="s">
        <v>19</v>
      </c>
      <c r="C2" s="89" t="s">
        <v>384</v>
      </c>
      <c r="D2" s="90"/>
      <c r="E2" s="91"/>
    </row>
    <row r="3" spans="1:9" x14ac:dyDescent="0.25">
      <c r="B3" t="s">
        <v>20</v>
      </c>
      <c r="C3" s="89">
        <v>2023</v>
      </c>
      <c r="D3" s="90"/>
      <c r="E3" s="91"/>
    </row>
    <row r="4" spans="1:9" x14ac:dyDescent="0.25">
      <c r="B4" t="s">
        <v>262</v>
      </c>
      <c r="C4" s="89">
        <v>0.1</v>
      </c>
      <c r="D4" s="90"/>
      <c r="E4" s="91"/>
    </row>
    <row r="5" spans="1:9" x14ac:dyDescent="0.25">
      <c r="B5" t="s">
        <v>21</v>
      </c>
      <c r="C5" s="89" t="s">
        <v>259</v>
      </c>
      <c r="D5" s="90"/>
      <c r="E5" s="91"/>
    </row>
    <row r="6" spans="1:9" x14ac:dyDescent="0.25">
      <c r="B6" t="s">
        <v>98</v>
      </c>
      <c r="C6" s="92">
        <v>44927</v>
      </c>
      <c r="D6" s="93"/>
      <c r="E6" s="94"/>
    </row>
    <row r="7" spans="1:9" x14ac:dyDescent="0.25">
      <c r="B7" t="s">
        <v>99</v>
      </c>
      <c r="C7" s="92">
        <v>48579</v>
      </c>
      <c r="D7" s="93"/>
      <c r="E7" s="94"/>
    </row>
    <row r="8" spans="1:9" x14ac:dyDescent="0.25">
      <c r="B8" t="s">
        <v>100</v>
      </c>
      <c r="C8" s="92"/>
      <c r="D8" s="93"/>
      <c r="E8" s="94"/>
    </row>
    <row r="9" spans="1:9" hidden="1" x14ac:dyDescent="0.25">
      <c r="B9" t="s">
        <v>101</v>
      </c>
      <c r="C9" s="92"/>
      <c r="D9" s="93"/>
      <c r="E9" s="94"/>
    </row>
    <row r="10" spans="1:9" x14ac:dyDescent="0.25">
      <c r="B10" s="42" t="s">
        <v>102</v>
      </c>
      <c r="C10" s="43"/>
      <c r="D10" s="45">
        <v>1</v>
      </c>
      <c r="E10" s="44"/>
    </row>
    <row r="11" spans="1:9" x14ac:dyDescent="0.25">
      <c r="B11" s="42"/>
      <c r="C11" s="43"/>
      <c r="D11" s="45">
        <v>0</v>
      </c>
      <c r="E11" s="44"/>
      <c r="G11" s="62" t="s">
        <v>257</v>
      </c>
      <c r="H11" s="61">
        <v>3</v>
      </c>
      <c r="I11" s="60"/>
    </row>
    <row r="12" spans="1:9" x14ac:dyDescent="0.25">
      <c r="C12" s="43"/>
      <c r="D12" s="45">
        <v>0</v>
      </c>
      <c r="E12" s="44"/>
    </row>
    <row r="13" spans="1:9" x14ac:dyDescent="0.25">
      <c r="C13" s="43"/>
      <c r="D13" s="45">
        <v>0</v>
      </c>
      <c r="E13" s="44"/>
    </row>
    <row r="14" spans="1:9" x14ac:dyDescent="0.25">
      <c r="C14" s="43"/>
      <c r="D14" s="45">
        <v>0</v>
      </c>
      <c r="E14" s="44"/>
    </row>
    <row r="15" spans="1:9" x14ac:dyDescent="0.25">
      <c r="C15" s="43"/>
      <c r="D15" s="45">
        <v>0</v>
      </c>
      <c r="E15" s="44"/>
    </row>
    <row r="16" spans="1:9" x14ac:dyDescent="0.25">
      <c r="C16" s="43"/>
      <c r="D16" s="45">
        <v>0</v>
      </c>
      <c r="E16" s="44"/>
    </row>
    <row r="17" spans="2:5" x14ac:dyDescent="0.25"/>
    <row r="18" spans="2:5" ht="14.45" customHeight="1" x14ac:dyDescent="0.25">
      <c r="B18" t="s">
        <v>272</v>
      </c>
      <c r="C18" s="95">
        <v>0</v>
      </c>
      <c r="D18" s="96"/>
      <c r="E18" s="97"/>
    </row>
    <row r="19" spans="2:5" x14ac:dyDescent="0.25">
      <c r="B19" t="s">
        <v>273</v>
      </c>
      <c r="C19" s="95">
        <v>0</v>
      </c>
      <c r="D19" s="96"/>
      <c r="E19" s="97"/>
    </row>
    <row r="20" spans="2:5" x14ac:dyDescent="0.25"/>
    <row r="33" x14ac:dyDescent="0.25"/>
  </sheetData>
  <mergeCells count="10">
    <mergeCell ref="C2:E2"/>
    <mergeCell ref="C3:E3"/>
    <mergeCell ref="C5:E5"/>
    <mergeCell ref="C6:E6"/>
    <mergeCell ref="C19:E19"/>
    <mergeCell ref="C4:E4"/>
    <mergeCell ref="C18:E18"/>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6"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8:E19" xr:uid="{44EC628A-CE61-43D2-96A9-10235EA6A9D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Check Box 3">
              <controlPr defaultSize="0" autoFill="0" autoLine="0" autoPict="0" macro="[0]!ThisWorkbook.ShowSheetOil">
                <anchor moveWithCells="1">
                  <from>
                    <xdr:col>2</xdr:col>
                    <xdr:colOff>38100</xdr:colOff>
                    <xdr:row>9</xdr:row>
                    <xdr:rowOff>19050</xdr:rowOff>
                  </from>
                  <to>
                    <xdr:col>2</xdr:col>
                    <xdr:colOff>514350</xdr:colOff>
                    <xdr:row>10</xdr:row>
                    <xdr:rowOff>0</xdr:rowOff>
                  </to>
                </anchor>
              </controlPr>
            </control>
          </mc:Choice>
        </mc:AlternateContent>
        <mc:AlternateContent xmlns:mc="http://schemas.openxmlformats.org/markup-compatibility/2006">
          <mc:Choice Requires="x14">
            <control shapeId="2065" r:id="rId4" name="Check Box 17">
              <controlPr defaultSize="0" autoFill="0" autoLine="0" autoPict="0" macro="[0]!ThisWorkbook.ShowSheetGas">
                <anchor moveWithCells="1">
                  <from>
                    <xdr:col>2</xdr:col>
                    <xdr:colOff>38100</xdr:colOff>
                    <xdr:row>10</xdr:row>
                    <xdr:rowOff>19050</xdr:rowOff>
                  </from>
                  <to>
                    <xdr:col>2</xdr:col>
                    <xdr:colOff>514350</xdr:colOff>
                    <xdr:row>10</xdr:row>
                    <xdr:rowOff>171450</xdr:rowOff>
                  </to>
                </anchor>
              </controlPr>
            </control>
          </mc:Choice>
        </mc:AlternateContent>
        <mc:AlternateContent xmlns:mc="http://schemas.openxmlformats.org/markup-compatibility/2006">
          <mc:Choice Requires="x14">
            <control shapeId="2066" r:id="rId5"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171450</xdr:rowOff>
                  </to>
                </anchor>
              </controlPr>
            </control>
          </mc:Choice>
        </mc:AlternateContent>
        <mc:AlternateContent xmlns:mc="http://schemas.openxmlformats.org/markup-compatibility/2006">
          <mc:Choice Requires="x14">
            <control shapeId="2067" r:id="rId6" name="Check Box 19">
              <controlPr defaultSize="0" autoFill="0" autoLine="0" autoPict="0" macro="[0]!ThisWorkbook.ShowSheetLPGButane">
                <anchor moveWithCells="1">
                  <from>
                    <xdr:col>2</xdr:col>
                    <xdr:colOff>38100</xdr:colOff>
                    <xdr:row>12</xdr:row>
                    <xdr:rowOff>19050</xdr:rowOff>
                  </from>
                  <to>
                    <xdr:col>3</xdr:col>
                    <xdr:colOff>352425</xdr:colOff>
                    <xdr:row>12</xdr:row>
                    <xdr:rowOff>171450</xdr:rowOff>
                  </to>
                </anchor>
              </controlPr>
            </control>
          </mc:Choice>
        </mc:AlternateContent>
        <mc:AlternateContent xmlns:mc="http://schemas.openxmlformats.org/markup-compatibility/2006">
          <mc:Choice Requires="x14">
            <control shapeId="2068" r:id="rId7" name="Check Box 20">
              <controlPr defaultSize="0" autoFill="0" autoLine="0" autoPict="0" macro="[0]!ThisWorkbook.ShowSheetSulfur">
                <anchor moveWithCells="1">
                  <from>
                    <xdr:col>2</xdr:col>
                    <xdr:colOff>38100</xdr:colOff>
                    <xdr:row>14</xdr:row>
                    <xdr:rowOff>19050</xdr:rowOff>
                  </from>
                  <to>
                    <xdr:col>2</xdr:col>
                    <xdr:colOff>514350</xdr:colOff>
                    <xdr:row>14</xdr:row>
                    <xdr:rowOff>171450</xdr:rowOff>
                  </to>
                </anchor>
              </controlPr>
            </control>
          </mc:Choice>
        </mc:AlternateContent>
        <mc:AlternateContent xmlns:mc="http://schemas.openxmlformats.org/markup-compatibility/2006">
          <mc:Choice Requires="x14">
            <control shapeId="2069" r:id="rId8" name="Check Box 21">
              <controlPr defaultSize="0" autoFill="0" autoLine="0" autoPict="0" macro="[0]!ThisWorkbook.ShowSheetCO2">
                <anchor moveWithCells="1">
                  <from>
                    <xdr:col>2</xdr:col>
                    <xdr:colOff>38100</xdr:colOff>
                    <xdr:row>13</xdr:row>
                    <xdr:rowOff>9525</xdr:rowOff>
                  </from>
                  <to>
                    <xdr:col>2</xdr:col>
                    <xdr:colOff>514350</xdr:colOff>
                    <xdr:row>13</xdr:row>
                    <xdr:rowOff>171450</xdr:rowOff>
                  </to>
                </anchor>
              </controlPr>
            </control>
          </mc:Choice>
        </mc:AlternateContent>
        <mc:AlternateContent xmlns:mc="http://schemas.openxmlformats.org/markup-compatibility/2006">
          <mc:Choice Requires="x14">
            <control shapeId="2072" r:id="rId9" name="Spinner 24">
              <controlPr defaultSize="0" autoPict="0" macro="[0]!ThisWorkbook.NewSheetOil">
                <anchor moveWithCells="1" sizeWithCells="1">
                  <from>
                    <xdr:col>4</xdr:col>
                    <xdr:colOff>333375</xdr:colOff>
                    <xdr:row>9</xdr:row>
                    <xdr:rowOff>9525</xdr:rowOff>
                  </from>
                  <to>
                    <xdr:col>4</xdr:col>
                    <xdr:colOff>504825</xdr:colOff>
                    <xdr:row>9</xdr:row>
                    <xdr:rowOff>171450</xdr:rowOff>
                  </to>
                </anchor>
              </controlPr>
            </control>
          </mc:Choice>
        </mc:AlternateContent>
        <mc:AlternateContent xmlns:mc="http://schemas.openxmlformats.org/markup-compatibility/2006">
          <mc:Choice Requires="x14">
            <control shapeId="2073" r:id="rId10" name="Spinner 25">
              <controlPr defaultSize="0" autoPict="0" macro="[0]!ThisWorkbook.NewSheetGas">
                <anchor moveWithCells="1" sizeWithCells="1">
                  <from>
                    <xdr:col>4</xdr:col>
                    <xdr:colOff>333375</xdr:colOff>
                    <xdr:row>10</xdr:row>
                    <xdr:rowOff>9525</xdr:rowOff>
                  </from>
                  <to>
                    <xdr:col>4</xdr:col>
                    <xdr:colOff>504825</xdr:colOff>
                    <xdr:row>10</xdr:row>
                    <xdr:rowOff>171450</xdr:rowOff>
                  </to>
                </anchor>
              </controlPr>
            </control>
          </mc:Choice>
        </mc:AlternateContent>
        <mc:AlternateContent xmlns:mc="http://schemas.openxmlformats.org/markup-compatibility/2006">
          <mc:Choice Requires="x14">
            <control shapeId="2074" r:id="rId11" name="Spinner 26">
              <controlPr defaultSize="0" autoPict="0" macro="[0]!ThisWorkbook.NewSheetLPGPropane">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5" r:id="rId12" name="Spinner 27">
              <controlPr defaultSize="0" autoPict="0" macro="[0]!ThisWorkbook.NewSheetLPGButane">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6" r:id="rId13" name="Spinner 28">
              <controlPr defaultSize="0" autoPict="0" macro="[0]!ThisWorkbook.NewSheetCO2">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7" r:id="rId14" name="Spinner 29">
              <controlPr defaultSize="0" autoPict="0" macro="[0]!ThisWorkbook.NewSheetSulfur">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9" r:id="rId15"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6" name="Spinner 38">
              <controlPr defaultSize="0" autoPict="0" macro="[0]!ThisWorkbook.GSANumberHandler">
                <anchor moveWithCells="1" sizeWithCells="1">
                  <from>
                    <xdr:col>8</xdr:col>
                    <xdr:colOff>190500</xdr:colOff>
                    <xdr:row>10</xdr:row>
                    <xdr:rowOff>9525</xdr:rowOff>
                  </from>
                  <to>
                    <xdr:col>8</xdr:col>
                    <xdr:colOff>361950</xdr:colOff>
                    <xdr:row>10</xdr:row>
                    <xdr:rowOff>171450</xdr:rowOff>
                  </to>
                </anchor>
              </controlPr>
            </control>
          </mc:Choice>
        </mc:AlternateContent>
        <mc:AlternateContent xmlns:mc="http://schemas.openxmlformats.org/markup-compatibility/2006">
          <mc:Choice Requires="x14">
            <control shapeId="2090" r:id="rId17" name="Check Box 42">
              <controlPr defaultSize="0" autoFill="0" autoLine="0" autoPict="0" macro="[0]!ThisWorkbook.ShowSheetElectricity">
                <anchor moveWithCells="1">
                  <from>
                    <xdr:col>2</xdr:col>
                    <xdr:colOff>38100</xdr:colOff>
                    <xdr:row>15</xdr:row>
                    <xdr:rowOff>19050</xdr:rowOff>
                  </from>
                  <to>
                    <xdr:col>2</xdr:col>
                    <xdr:colOff>514350</xdr:colOff>
                    <xdr:row>15</xdr:row>
                    <xdr:rowOff>171450</xdr:rowOff>
                  </to>
                </anchor>
              </controlPr>
            </control>
          </mc:Choice>
        </mc:AlternateContent>
        <mc:AlternateContent xmlns:mc="http://schemas.openxmlformats.org/markup-compatibility/2006">
          <mc:Choice Requires="x14">
            <control shapeId="2091" r:id="rId18" name="Spinner 43">
              <controlPr defaultSize="0" autoPict="0" macro="[0]!ThisWorkbook.NewSheetElectricity">
                <anchor moveWithCells="1" sizeWithCells="1">
                  <from>
                    <xdr:col>4</xdr:col>
                    <xdr:colOff>333375</xdr:colOff>
                    <xdr:row>15</xdr:row>
                    <xdr:rowOff>9525</xdr:rowOff>
                  </from>
                  <to>
                    <xdr:col>4</xdr:col>
                    <xdr:colOff>504825</xdr:colOff>
                    <xdr:row>15</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H4" sqref="H4"/>
    </sheetView>
  </sheetViews>
  <sheetFormatPr defaultColWidth="0" defaultRowHeight="15" zeroHeight="1" x14ac:dyDescent="0.25"/>
  <cols>
    <col min="1" max="1" width="3.140625" customWidth="1"/>
    <col min="2" max="2" width="20" bestFit="1" customWidth="1"/>
    <col min="3" max="3" width="8.85546875" customWidth="1"/>
    <col min="4" max="4" width="9.28515625" style="25" bestFit="1" customWidth="1"/>
    <col min="5" max="5" width="8.28515625" style="25" customWidth="1"/>
    <col min="6" max="8" width="8.85546875" customWidth="1"/>
    <col min="9" max="9" width="4.7109375" customWidth="1"/>
    <col min="10" max="10" width="0" hidden="1" customWidth="1"/>
    <col min="11" max="11" width="6" customWidth="1"/>
    <col min="12" max="12" width="3.42578125" customWidth="1"/>
    <col min="13" max="13" width="4.28515625" customWidth="1"/>
    <col min="14" max="14" width="20" bestFit="1" customWidth="1"/>
    <col min="15" max="16" width="8.85546875" customWidth="1"/>
    <col min="17" max="17" width="4.28515625" customWidth="1"/>
    <col min="18" max="16384" width="8.85546875" hidden="1"/>
  </cols>
  <sheetData>
    <row r="1" spans="1:16" x14ac:dyDescent="0.25">
      <c r="A1" s="9" t="s">
        <v>345</v>
      </c>
      <c r="M1" s="9" t="s">
        <v>348</v>
      </c>
    </row>
    <row r="2" spans="1:16" x14ac:dyDescent="0.25">
      <c r="B2" t="s">
        <v>213</v>
      </c>
      <c r="D2" s="29" t="s">
        <v>346</v>
      </c>
      <c r="E2" s="75" t="s">
        <v>347</v>
      </c>
      <c r="F2" s="78">
        <v>0.15</v>
      </c>
      <c r="N2" t="str">
        <f>CONCATENATE(D2," ","Result")</f>
        <v>IRR Result</v>
      </c>
      <c r="P2" s="76"/>
    </row>
    <row r="3" spans="1:16" x14ac:dyDescent="0.25"/>
    <row r="4" spans="1:16" x14ac:dyDescent="0.25">
      <c r="A4" s="9" t="s">
        <v>333</v>
      </c>
      <c r="D4" s="73" t="s">
        <v>339</v>
      </c>
      <c r="E4" s="73" t="s">
        <v>340</v>
      </c>
      <c r="F4" s="74" t="s">
        <v>342</v>
      </c>
      <c r="G4" s="74" t="s">
        <v>341</v>
      </c>
      <c r="H4" s="74" t="s">
        <v>343</v>
      </c>
      <c r="J4" s="25">
        <v>0</v>
      </c>
      <c r="M4" s="9" t="s">
        <v>349</v>
      </c>
    </row>
    <row r="5" spans="1:16" x14ac:dyDescent="0.25">
      <c r="B5" t="s">
        <v>114</v>
      </c>
      <c r="D5" s="29"/>
      <c r="E5" s="72"/>
      <c r="F5" s="77">
        <f>'Cost Recovery Config'!C8</f>
        <v>0.25</v>
      </c>
      <c r="G5" s="29"/>
      <c r="H5" s="29"/>
      <c r="N5" t="s">
        <v>114</v>
      </c>
      <c r="P5" s="76"/>
    </row>
    <row r="6" spans="1:16" x14ac:dyDescent="0.25">
      <c r="B6" t="s">
        <v>113</v>
      </c>
      <c r="D6" s="29"/>
      <c r="E6" s="72"/>
      <c r="F6" s="77">
        <f>'Cost Recovery Config'!C9</f>
        <v>0.5</v>
      </c>
      <c r="G6" s="29"/>
      <c r="H6" s="29"/>
      <c r="N6" t="s">
        <v>113</v>
      </c>
      <c r="P6" s="76"/>
    </row>
    <row r="7" spans="1:16" x14ac:dyDescent="0.25">
      <c r="B7" t="s">
        <v>110</v>
      </c>
      <c r="D7" s="29"/>
      <c r="E7" s="72"/>
      <c r="F7" s="77">
        <f>'Cost Recovery Config'!C4</f>
        <v>0.2</v>
      </c>
      <c r="G7" s="29"/>
      <c r="H7" s="29"/>
      <c r="N7" t="s">
        <v>110</v>
      </c>
      <c r="P7" s="76"/>
    </row>
    <row r="8" spans="1:16" x14ac:dyDescent="0.25">
      <c r="B8" t="s">
        <v>115</v>
      </c>
      <c r="D8" s="29"/>
      <c r="E8" s="72"/>
      <c r="F8" s="77">
        <f>'Cost Recovery Config'!C13</f>
        <v>0</v>
      </c>
      <c r="G8" s="29"/>
      <c r="H8" s="29"/>
      <c r="N8" t="s">
        <v>115</v>
      </c>
      <c r="P8" s="76"/>
    </row>
    <row r="9" spans="1:16" x14ac:dyDescent="0.25">
      <c r="B9" t="s">
        <v>117</v>
      </c>
      <c r="D9" s="29"/>
      <c r="E9" s="72"/>
      <c r="F9" s="77">
        <f>'Cost Recovery Config'!C14</f>
        <v>0</v>
      </c>
      <c r="G9" s="29"/>
      <c r="H9" s="29"/>
      <c r="N9" t="s">
        <v>117</v>
      </c>
      <c r="P9" s="76"/>
    </row>
    <row r="10" spans="1:16" x14ac:dyDescent="0.25">
      <c r="B10" t="s">
        <v>334</v>
      </c>
      <c r="D10" s="29"/>
      <c r="E10" s="72"/>
      <c r="F10" s="77">
        <f>'Cost Recovery Config'!C28</f>
        <v>1</v>
      </c>
      <c r="G10" s="29"/>
      <c r="H10" s="29"/>
      <c r="N10" t="s">
        <v>334</v>
      </c>
      <c r="P10" s="76"/>
    </row>
    <row r="11" spans="1:16" x14ac:dyDescent="0.25">
      <c r="B11" t="s">
        <v>335</v>
      </c>
      <c r="D11" s="29"/>
      <c r="E11" s="72"/>
      <c r="F11" s="77">
        <f>'Gross Split Config'!C30</f>
        <v>1</v>
      </c>
      <c r="G11" s="29"/>
      <c r="H11" s="29"/>
      <c r="N11" t="s">
        <v>335</v>
      </c>
      <c r="P11" s="76"/>
    </row>
    <row r="12" spans="1:16" x14ac:dyDescent="0.25">
      <c r="B12" t="s">
        <v>272</v>
      </c>
      <c r="D12" s="29"/>
      <c r="E12" s="72"/>
      <c r="F12" s="77">
        <f>'General Config'!C18</f>
        <v>0</v>
      </c>
      <c r="G12" s="29"/>
      <c r="H12" s="29"/>
      <c r="N12" t="s">
        <v>272</v>
      </c>
      <c r="P12" s="76"/>
    </row>
    <row r="13" spans="1:16" x14ac:dyDescent="0.25">
      <c r="B13" t="s">
        <v>336</v>
      </c>
      <c r="D13" s="29"/>
      <c r="E13" s="72"/>
      <c r="F13" s="77">
        <f>'Fiscal Config'!C3</f>
        <v>0.44</v>
      </c>
      <c r="G13" s="29"/>
      <c r="H13" s="29"/>
      <c r="N13" t="s">
        <v>336</v>
      </c>
      <c r="P13" s="76"/>
    </row>
    <row r="14" spans="1:16" x14ac:dyDescent="0.25"/>
    <row r="15" spans="1:16" x14ac:dyDescent="0.25">
      <c r="A15" s="9" t="s">
        <v>337</v>
      </c>
      <c r="D15" s="73" t="s">
        <v>339</v>
      </c>
      <c r="E15" s="73" t="s">
        <v>340</v>
      </c>
      <c r="F15" s="74" t="s">
        <v>342</v>
      </c>
      <c r="G15" s="73" t="s">
        <v>341</v>
      </c>
      <c r="H15" s="73" t="s">
        <v>343</v>
      </c>
      <c r="J15" s="72">
        <v>0</v>
      </c>
      <c r="M15" s="9" t="s">
        <v>350</v>
      </c>
    </row>
    <row r="16" spans="1:16" x14ac:dyDescent="0.25">
      <c r="B16" t="s">
        <v>338</v>
      </c>
      <c r="D16" s="29"/>
      <c r="F16" s="77">
        <f>'Gross Split Config'!C13</f>
        <v>0.08</v>
      </c>
      <c r="G16" s="29"/>
      <c r="H16" s="29"/>
      <c r="N16" t="s">
        <v>338</v>
      </c>
      <c r="P16" s="76"/>
    </row>
    <row r="17" spans="2:16" x14ac:dyDescent="0.25">
      <c r="B17" t="s">
        <v>272</v>
      </c>
      <c r="D17" s="29"/>
      <c r="F17" s="77">
        <f>'General Config'!C18</f>
        <v>0</v>
      </c>
      <c r="G17" s="29"/>
      <c r="H17" s="29"/>
      <c r="N17" t="s">
        <v>272</v>
      </c>
      <c r="P17" s="76"/>
    </row>
    <row r="18" spans="2:16" x14ac:dyDescent="0.25">
      <c r="B18" t="s">
        <v>336</v>
      </c>
      <c r="D18" s="29"/>
      <c r="F18" s="77">
        <f>'Fiscal Config'!C3</f>
        <v>0.44</v>
      </c>
      <c r="G18" s="29"/>
      <c r="H18" s="29"/>
      <c r="N18" t="s">
        <v>336</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438150</xdr:colOff>
                    <xdr:row>5</xdr:row>
                    <xdr:rowOff>19050</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171450</xdr:rowOff>
                  </from>
                  <to>
                    <xdr:col>3</xdr:col>
                    <xdr:colOff>438150</xdr:colOff>
                    <xdr:row>6</xdr:row>
                    <xdr:rowOff>19050</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171450</xdr:rowOff>
                  </from>
                  <to>
                    <xdr:col>3</xdr:col>
                    <xdr:colOff>438150</xdr:colOff>
                    <xdr:row>7</xdr:row>
                    <xdr:rowOff>19050</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171450</xdr:rowOff>
                  </from>
                  <to>
                    <xdr:col>3</xdr:col>
                    <xdr:colOff>438150</xdr:colOff>
                    <xdr:row>8</xdr:row>
                    <xdr:rowOff>19050</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171450</xdr:rowOff>
                  </from>
                  <to>
                    <xdr:col>3</xdr:col>
                    <xdr:colOff>438150</xdr:colOff>
                    <xdr:row>9</xdr:row>
                    <xdr:rowOff>19050</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171450</xdr:rowOff>
                  </from>
                  <to>
                    <xdr:col>3</xdr:col>
                    <xdr:colOff>438150</xdr:colOff>
                    <xdr:row>10</xdr:row>
                    <xdr:rowOff>19050</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171450</xdr:rowOff>
                  </from>
                  <to>
                    <xdr:col>3</xdr:col>
                    <xdr:colOff>438150</xdr:colOff>
                    <xdr:row>11</xdr:row>
                    <xdr:rowOff>19050</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171450</xdr:rowOff>
                  </from>
                  <to>
                    <xdr:col>3</xdr:col>
                    <xdr:colOff>438150</xdr:colOff>
                    <xdr:row>12</xdr:row>
                    <xdr:rowOff>19050</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171450</xdr:rowOff>
                  </from>
                  <to>
                    <xdr:col>3</xdr:col>
                    <xdr:colOff>438150</xdr:colOff>
                    <xdr:row>13</xdr:row>
                    <xdr:rowOff>19050</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19050</xdr:rowOff>
                  </from>
                  <to>
                    <xdr:col>3</xdr:col>
                    <xdr:colOff>438150</xdr:colOff>
                    <xdr:row>15</xdr:row>
                    <xdr:rowOff>180975</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438150</xdr:colOff>
                    <xdr:row>16</xdr:row>
                    <xdr:rowOff>171450</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19050</xdr:rowOff>
                  </from>
                  <to>
                    <xdr:col>3</xdr:col>
                    <xdr:colOff>438150</xdr:colOff>
                    <xdr:row>17</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
  <sheetViews>
    <sheetView workbookViewId="0">
      <selection activeCell="G20" sqref="G20"/>
    </sheetView>
  </sheetViews>
  <sheetFormatPr defaultRowHeight="15" x14ac:dyDescent="0.25"/>
  <sheetData>
    <row r="1" spans="1:1" x14ac:dyDescent="0.25">
      <c r="A1" s="84" t="s">
        <v>376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tabSelected="1" workbookViewId="0">
      <selection activeCell="G8" sqref="G8"/>
    </sheetView>
  </sheetViews>
  <sheetFormatPr defaultColWidth="0" defaultRowHeight="15" zeroHeight="1" x14ac:dyDescent="0.25"/>
  <cols>
    <col min="1" max="1" width="5.42578125" customWidth="1"/>
    <col min="2" max="2" width="21.28515625" bestFit="1" customWidth="1"/>
    <col min="3" max="3" width="9.710937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369</v>
      </c>
      <c r="J1" s="9" t="s">
        <v>370</v>
      </c>
    </row>
    <row r="2" spans="1:18" x14ac:dyDescent="0.25">
      <c r="B2" s="83" t="s">
        <v>50</v>
      </c>
      <c r="C2" s="83" t="s">
        <v>371</v>
      </c>
      <c r="E2" s="83" t="s">
        <v>341</v>
      </c>
      <c r="F2" s="83" t="s">
        <v>342</v>
      </c>
      <c r="G2" s="83" t="s">
        <v>343</v>
      </c>
      <c r="H2" s="83" t="s">
        <v>373</v>
      </c>
      <c r="I2" s="83"/>
      <c r="K2" s="9" t="s">
        <v>356</v>
      </c>
    </row>
    <row r="3" spans="1:18" x14ac:dyDescent="0.25">
      <c r="B3" t="s">
        <v>366</v>
      </c>
      <c r="C3" s="25" t="s">
        <v>372</v>
      </c>
      <c r="E3" s="78">
        <v>60</v>
      </c>
      <c r="F3" s="25">
        <f>Sensitivity!D7</f>
        <v>0</v>
      </c>
      <c r="G3" s="78">
        <v>65</v>
      </c>
      <c r="H3" s="78">
        <v>0.2</v>
      </c>
      <c r="K3" s="80"/>
      <c r="L3" s="80"/>
      <c r="M3" s="80"/>
      <c r="N3" s="80"/>
      <c r="O3" s="80"/>
      <c r="P3" s="80"/>
      <c r="Q3" s="80"/>
      <c r="R3" s="80"/>
    </row>
    <row r="4" spans="1:18" x14ac:dyDescent="0.25">
      <c r="B4" t="s">
        <v>367</v>
      </c>
      <c r="C4" s="25" t="s">
        <v>385</v>
      </c>
      <c r="E4" s="78">
        <v>10</v>
      </c>
      <c r="F4" s="25">
        <f>Sensitivity!D8</f>
        <v>0</v>
      </c>
      <c r="G4" s="78">
        <v>15</v>
      </c>
      <c r="H4" s="78">
        <v>0.3</v>
      </c>
      <c r="K4" s="80"/>
      <c r="L4" s="80"/>
      <c r="M4" s="80"/>
      <c r="N4" s="80"/>
      <c r="O4" s="80"/>
      <c r="P4" s="80"/>
      <c r="Q4" s="80"/>
      <c r="R4" s="80"/>
    </row>
    <row r="5" spans="1:18" x14ac:dyDescent="0.25">
      <c r="B5" t="s">
        <v>230</v>
      </c>
      <c r="C5" s="25" t="s">
        <v>385</v>
      </c>
      <c r="E5" s="78">
        <v>20</v>
      </c>
      <c r="F5" s="25">
        <f>Sensitivity!D9</f>
        <v>0</v>
      </c>
      <c r="G5" s="78">
        <v>25</v>
      </c>
      <c r="H5" s="78">
        <v>0.2</v>
      </c>
      <c r="K5" s="80"/>
      <c r="L5" s="80"/>
      <c r="M5" s="80"/>
      <c r="N5" s="80"/>
      <c r="O5" s="80"/>
      <c r="P5" s="80"/>
      <c r="Q5" s="80"/>
      <c r="R5" s="80"/>
    </row>
    <row r="6" spans="1:18" x14ac:dyDescent="0.25">
      <c r="B6" t="s">
        <v>259</v>
      </c>
      <c r="C6" s="25" t="s">
        <v>372</v>
      </c>
      <c r="E6" s="78">
        <v>95</v>
      </c>
      <c r="F6" s="25">
        <f>Sensitivity!D10</f>
        <v>0</v>
      </c>
      <c r="G6" s="78">
        <v>100</v>
      </c>
      <c r="H6" s="78">
        <v>0.2</v>
      </c>
      <c r="K6" s="80"/>
      <c r="L6" s="80"/>
      <c r="M6" s="80"/>
      <c r="N6" s="80"/>
      <c r="O6" s="80"/>
      <c r="P6" s="80"/>
      <c r="Q6" s="80"/>
      <c r="R6" s="80"/>
    </row>
    <row r="7" spans="1:18" x14ac:dyDescent="0.25">
      <c r="B7" t="s">
        <v>368</v>
      </c>
      <c r="C7" s="25" t="s">
        <v>386</v>
      </c>
      <c r="E7" s="78">
        <v>10</v>
      </c>
      <c r="F7" s="25">
        <f>Sensitivity!D11</f>
        <v>0</v>
      </c>
      <c r="G7" s="78">
        <v>8</v>
      </c>
      <c r="H7" s="78">
        <v>0.2</v>
      </c>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346</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357</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331</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310</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313</v>
      </c>
    </row>
    <row r="4" spans="2:28" x14ac:dyDescent="0.25">
      <c r="B4" s="69" t="s">
        <v>0</v>
      </c>
      <c r="C4" s="69" t="s">
        <v>285</v>
      </c>
      <c r="D4" s="69" t="s">
        <v>286</v>
      </c>
      <c r="E4" s="69" t="s">
        <v>287</v>
      </c>
      <c r="F4" s="69" t="s">
        <v>317</v>
      </c>
      <c r="G4" s="69" t="s">
        <v>318</v>
      </c>
      <c r="H4" s="69" t="s">
        <v>319</v>
      </c>
      <c r="I4" s="69" t="s">
        <v>320</v>
      </c>
      <c r="J4" s="69" t="s">
        <v>304</v>
      </c>
      <c r="K4" s="69" t="s">
        <v>305</v>
      </c>
      <c r="L4" s="69" t="s">
        <v>289</v>
      </c>
      <c r="M4" s="69" t="s">
        <v>321</v>
      </c>
      <c r="N4" s="69" t="s">
        <v>322</v>
      </c>
      <c r="O4" s="69" t="s">
        <v>323</v>
      </c>
      <c r="P4" s="69" t="s">
        <v>324</v>
      </c>
      <c r="Q4" s="69" t="s">
        <v>232</v>
      </c>
      <c r="R4" s="69" t="s">
        <v>326</v>
      </c>
      <c r="S4" s="69" t="s">
        <v>325</v>
      </c>
      <c r="T4" s="69" t="s">
        <v>327</v>
      </c>
      <c r="U4" s="69" t="s">
        <v>328</v>
      </c>
      <c r="V4" s="69" t="s">
        <v>306</v>
      </c>
      <c r="W4" s="69" t="s">
        <v>307</v>
      </c>
      <c r="X4" s="69" t="s">
        <v>309</v>
      </c>
      <c r="Y4" s="69" t="s">
        <v>246</v>
      </c>
      <c r="Z4" s="69" t="s">
        <v>329</v>
      </c>
      <c r="AA4" s="69" t="s">
        <v>330</v>
      </c>
      <c r="AB4" s="69" t="s">
        <v>331</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314</v>
      </c>
    </row>
    <row r="58" spans="2:28" x14ac:dyDescent="0.25">
      <c r="B58" s="70" t="s">
        <v>0</v>
      </c>
      <c r="C58" s="70" t="s">
        <v>285</v>
      </c>
      <c r="D58" s="70" t="s">
        <v>286</v>
      </c>
      <c r="E58" s="70" t="s">
        <v>287</v>
      </c>
      <c r="F58" s="70" t="s">
        <v>317</v>
      </c>
      <c r="G58" s="70" t="s">
        <v>318</v>
      </c>
      <c r="H58" s="70" t="s">
        <v>319</v>
      </c>
      <c r="I58" s="70" t="s">
        <v>320</v>
      </c>
      <c r="J58" s="70" t="s">
        <v>304</v>
      </c>
      <c r="K58" s="70" t="s">
        <v>305</v>
      </c>
      <c r="L58" s="70" t="s">
        <v>289</v>
      </c>
      <c r="M58" s="70" t="s">
        <v>321</v>
      </c>
      <c r="N58" s="70" t="s">
        <v>322</v>
      </c>
      <c r="O58" s="70" t="s">
        <v>323</v>
      </c>
      <c r="P58" s="70" t="s">
        <v>324</v>
      </c>
      <c r="Q58" s="70" t="s">
        <v>232</v>
      </c>
      <c r="R58" s="70" t="s">
        <v>315</v>
      </c>
      <c r="S58" s="70" t="s">
        <v>325</v>
      </c>
      <c r="T58" s="70" t="s">
        <v>327</v>
      </c>
      <c r="U58" s="70" t="s">
        <v>328</v>
      </c>
      <c r="V58" s="70" t="s">
        <v>306</v>
      </c>
      <c r="W58" s="70" t="s">
        <v>307</v>
      </c>
      <c r="X58" s="70" t="s">
        <v>309</v>
      </c>
      <c r="Y58" s="70" t="s">
        <v>246</v>
      </c>
      <c r="Z58" s="70" t="s">
        <v>329</v>
      </c>
      <c r="AA58" s="70" t="s">
        <v>330</v>
      </c>
      <c r="AB58" s="70" t="s">
        <v>331</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316</v>
      </c>
    </row>
    <row r="112" spans="2:28" x14ac:dyDescent="0.25">
      <c r="B112" s="66" t="s">
        <v>0</v>
      </c>
      <c r="C112" s="66" t="s">
        <v>285</v>
      </c>
      <c r="D112" s="66" t="s">
        <v>286</v>
      </c>
      <c r="E112" s="66" t="s">
        <v>287</v>
      </c>
      <c r="F112" s="66" t="s">
        <v>317</v>
      </c>
      <c r="G112" s="66" t="s">
        <v>318</v>
      </c>
      <c r="H112" s="66" t="s">
        <v>319</v>
      </c>
      <c r="I112" s="66" t="s">
        <v>320</v>
      </c>
      <c r="J112" s="66" t="s">
        <v>304</v>
      </c>
      <c r="K112" s="66" t="s">
        <v>305</v>
      </c>
      <c r="L112" s="66" t="s">
        <v>289</v>
      </c>
      <c r="M112" s="66" t="s">
        <v>321</v>
      </c>
      <c r="N112" s="66" t="s">
        <v>322</v>
      </c>
      <c r="O112" s="66" t="s">
        <v>323</v>
      </c>
      <c r="P112" s="66" t="s">
        <v>324</v>
      </c>
      <c r="Q112" s="66" t="s">
        <v>232</v>
      </c>
      <c r="R112" s="66" t="s">
        <v>315</v>
      </c>
      <c r="S112" s="66" t="s">
        <v>325</v>
      </c>
      <c r="T112" s="66" t="s">
        <v>327</v>
      </c>
      <c r="U112" s="66" t="s">
        <v>328</v>
      </c>
      <c r="V112" s="66" t="s">
        <v>306</v>
      </c>
      <c r="W112" s="66" t="s">
        <v>307</v>
      </c>
      <c r="X112" s="66" t="s">
        <v>309</v>
      </c>
      <c r="Y112" s="66" t="s">
        <v>246</v>
      </c>
      <c r="Z112" s="66" t="s">
        <v>329</v>
      </c>
      <c r="AA112" s="66" t="s">
        <v>330</v>
      </c>
      <c r="AB112" s="66" t="s">
        <v>331</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313</v>
      </c>
    </row>
    <row r="4" spans="2:32" x14ac:dyDescent="0.25">
      <c r="B4" s="69" t="s">
        <v>0</v>
      </c>
      <c r="C4" s="69" t="s">
        <v>285</v>
      </c>
      <c r="D4" s="69" t="s">
        <v>286</v>
      </c>
      <c r="E4" s="69" t="s">
        <v>287</v>
      </c>
      <c r="F4" s="69" t="s">
        <v>288</v>
      </c>
      <c r="G4" s="69" t="s">
        <v>230</v>
      </c>
      <c r="H4" s="69" t="s">
        <v>231</v>
      </c>
      <c r="I4" s="69" t="s">
        <v>289</v>
      </c>
      <c r="J4" s="69" t="s">
        <v>290</v>
      </c>
      <c r="K4" s="69" t="s">
        <v>291</v>
      </c>
      <c r="L4" s="69" t="s">
        <v>292</v>
      </c>
      <c r="M4" s="69" t="s">
        <v>293</v>
      </c>
      <c r="N4" s="69" t="s">
        <v>294</v>
      </c>
      <c r="O4" s="69" t="s">
        <v>295</v>
      </c>
      <c r="P4" s="69" t="s">
        <v>296</v>
      </c>
      <c r="Q4" s="69" t="s">
        <v>297</v>
      </c>
      <c r="R4" s="69" t="s">
        <v>301</v>
      </c>
      <c r="S4" s="69" t="s">
        <v>299</v>
      </c>
      <c r="T4" s="69" t="s">
        <v>298</v>
      </c>
      <c r="U4" s="69" t="s">
        <v>300</v>
      </c>
      <c r="V4" s="69" t="s">
        <v>302</v>
      </c>
      <c r="W4" s="69" t="s">
        <v>303</v>
      </c>
      <c r="X4" s="69" t="s">
        <v>304</v>
      </c>
      <c r="Y4" s="69" t="s">
        <v>305</v>
      </c>
      <c r="Z4" s="69" t="s">
        <v>306</v>
      </c>
      <c r="AA4" s="69" t="s">
        <v>307</v>
      </c>
      <c r="AB4" s="69" t="s">
        <v>308</v>
      </c>
      <c r="AC4" s="69" t="s">
        <v>309</v>
      </c>
      <c r="AD4" s="69" t="s">
        <v>310</v>
      </c>
      <c r="AE4" s="69" t="s">
        <v>311</v>
      </c>
      <c r="AF4" s="69" t="s">
        <v>312</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314</v>
      </c>
    </row>
    <row r="58" spans="2:32" x14ac:dyDescent="0.25">
      <c r="B58" s="70" t="s">
        <v>0</v>
      </c>
      <c r="C58" s="70" t="s">
        <v>285</v>
      </c>
      <c r="D58" s="70" t="s">
        <v>286</v>
      </c>
      <c r="E58" s="70" t="s">
        <v>287</v>
      </c>
      <c r="F58" s="70" t="s">
        <v>288</v>
      </c>
      <c r="G58" s="70" t="s">
        <v>230</v>
      </c>
      <c r="H58" s="70" t="s">
        <v>231</v>
      </c>
      <c r="I58" s="70" t="s">
        <v>289</v>
      </c>
      <c r="J58" s="70" t="s">
        <v>290</v>
      </c>
      <c r="K58" s="70" t="s">
        <v>291</v>
      </c>
      <c r="L58" s="70" t="s">
        <v>292</v>
      </c>
      <c r="M58" s="70" t="s">
        <v>293</v>
      </c>
      <c r="N58" s="70" t="s">
        <v>294</v>
      </c>
      <c r="O58" s="70" t="s">
        <v>295</v>
      </c>
      <c r="P58" s="70" t="s">
        <v>296</v>
      </c>
      <c r="Q58" s="70" t="s">
        <v>297</v>
      </c>
      <c r="R58" s="70" t="s">
        <v>301</v>
      </c>
      <c r="S58" s="70" t="s">
        <v>315</v>
      </c>
      <c r="T58" s="70" t="s">
        <v>298</v>
      </c>
      <c r="U58" s="70" t="s">
        <v>300</v>
      </c>
      <c r="V58" s="70" t="s">
        <v>302</v>
      </c>
      <c r="W58" s="70" t="s">
        <v>303</v>
      </c>
      <c r="X58" s="70" t="s">
        <v>304</v>
      </c>
      <c r="Y58" s="70" t="s">
        <v>305</v>
      </c>
      <c r="Z58" s="70" t="s">
        <v>306</v>
      </c>
      <c r="AA58" s="70" t="s">
        <v>307</v>
      </c>
      <c r="AB58" s="70" t="s">
        <v>308</v>
      </c>
      <c r="AC58" s="70" t="s">
        <v>309</v>
      </c>
      <c r="AD58" s="70" t="s">
        <v>310</v>
      </c>
      <c r="AE58" s="70" t="s">
        <v>311</v>
      </c>
      <c r="AF58" s="70" t="s">
        <v>312</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316</v>
      </c>
    </row>
    <row r="112" spans="2:32" x14ac:dyDescent="0.25">
      <c r="B112" s="66" t="s">
        <v>0</v>
      </c>
      <c r="C112" s="66" t="s">
        <v>285</v>
      </c>
      <c r="D112" s="66" t="s">
        <v>286</v>
      </c>
      <c r="E112" s="66" t="s">
        <v>287</v>
      </c>
      <c r="F112" s="66" t="s">
        <v>288</v>
      </c>
      <c r="G112" s="66" t="s">
        <v>230</v>
      </c>
      <c r="H112" s="66" t="s">
        <v>231</v>
      </c>
      <c r="I112" s="66" t="s">
        <v>289</v>
      </c>
      <c r="J112" s="66" t="s">
        <v>290</v>
      </c>
      <c r="K112" s="66" t="s">
        <v>291</v>
      </c>
      <c r="L112" s="66" t="s">
        <v>292</v>
      </c>
      <c r="M112" s="66" t="s">
        <v>293</v>
      </c>
      <c r="N112" s="66" t="s">
        <v>294</v>
      </c>
      <c r="O112" s="66" t="s">
        <v>295</v>
      </c>
      <c r="P112" s="66" t="s">
        <v>296</v>
      </c>
      <c r="Q112" s="66" t="s">
        <v>297</v>
      </c>
      <c r="R112" s="66" t="s">
        <v>301</v>
      </c>
      <c r="S112" s="66" t="s">
        <v>315</v>
      </c>
      <c r="T112" s="66" t="s">
        <v>298</v>
      </c>
      <c r="U112" s="66" t="s">
        <v>300</v>
      </c>
      <c r="V112" s="66" t="s">
        <v>302</v>
      </c>
      <c r="W112" s="66" t="s">
        <v>303</v>
      </c>
      <c r="X112" s="66" t="s">
        <v>304</v>
      </c>
      <c r="Y112" s="66" t="s">
        <v>305</v>
      </c>
      <c r="Z112" s="66" t="s">
        <v>306</v>
      </c>
      <c r="AA112" s="66" t="s">
        <v>307</v>
      </c>
      <c r="AB112" s="66" t="s">
        <v>308</v>
      </c>
      <c r="AC112" s="66" t="s">
        <v>309</v>
      </c>
      <c r="AD112" s="66" t="s">
        <v>310</v>
      </c>
      <c r="AE112" s="66" t="s">
        <v>311</v>
      </c>
      <c r="AF112" s="66" t="s">
        <v>312</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39"/>
  <sheetViews>
    <sheetView showGridLines="0" showRowColHeaders="0" topLeftCell="A13" zoomScale="115" zoomScaleNormal="115" workbookViewId="0">
      <selection activeCell="B29" sqref="B29"/>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263</v>
      </c>
    </row>
    <row r="2" spans="1:3" x14ac:dyDescent="0.25">
      <c r="B2" t="s">
        <v>266</v>
      </c>
      <c r="C2" s="22" t="s">
        <v>383</v>
      </c>
    </row>
    <row r="3" spans="1:3" hidden="1" x14ac:dyDescent="0.25">
      <c r="B3" t="s">
        <v>264</v>
      </c>
      <c r="C3" s="22">
        <v>0.44</v>
      </c>
    </row>
    <row r="4" spans="1:3" x14ac:dyDescent="0.25"/>
    <row r="5" spans="1:3" x14ac:dyDescent="0.25">
      <c r="B5" s="64" t="s">
        <v>0</v>
      </c>
      <c r="C5" s="64" t="s">
        <v>264</v>
      </c>
    </row>
    <row r="6" spans="1:3" x14ac:dyDescent="0.25">
      <c r="B6" s="22">
        <f>YEAR('General Config'!C6)</f>
        <v>2023</v>
      </c>
      <c r="C6" s="65">
        <v>0.4</v>
      </c>
    </row>
    <row r="7" spans="1:3" x14ac:dyDescent="0.25">
      <c r="B7" s="22">
        <v>2024</v>
      </c>
      <c r="C7" s="65">
        <v>0.4</v>
      </c>
    </row>
    <row r="8" spans="1:3" x14ac:dyDescent="0.25">
      <c r="B8" s="22">
        <v>2025</v>
      </c>
      <c r="C8" s="65">
        <v>0.42</v>
      </c>
    </row>
    <row r="9" spans="1:3" x14ac:dyDescent="0.25">
      <c r="B9" s="22">
        <v>2027</v>
      </c>
      <c r="C9" s="65">
        <v>0.42</v>
      </c>
    </row>
    <row r="10" spans="1:3" x14ac:dyDescent="0.25">
      <c r="B10" s="22">
        <v>2030</v>
      </c>
      <c r="C10" s="22">
        <v>0.43</v>
      </c>
    </row>
    <row r="11" spans="1:3" x14ac:dyDescent="0.25">
      <c r="B11" s="22">
        <v>2032</v>
      </c>
      <c r="C11" s="22">
        <v>0.45</v>
      </c>
    </row>
    <row r="12" spans="1:3" x14ac:dyDescent="0.25"/>
    <row r="13" spans="1:3" x14ac:dyDescent="0.25">
      <c r="B13" t="s">
        <v>265</v>
      </c>
      <c r="C13" s="22" t="s">
        <v>267</v>
      </c>
    </row>
    <row r="14" spans="1:3" x14ac:dyDescent="0.25"/>
    <row r="15" spans="1:3" x14ac:dyDescent="0.25">
      <c r="A15" s="9" t="s">
        <v>282</v>
      </c>
    </row>
    <row r="16" spans="1:3" x14ac:dyDescent="0.25">
      <c r="B16" t="s">
        <v>283</v>
      </c>
      <c r="C16" s="22" t="s">
        <v>284</v>
      </c>
    </row>
    <row r="17" spans="1:3" x14ac:dyDescent="0.25"/>
    <row r="18" spans="1:3" x14ac:dyDescent="0.25">
      <c r="A18" s="9" t="s">
        <v>268</v>
      </c>
    </row>
    <row r="19" spans="1:3" x14ac:dyDescent="0.25">
      <c r="B19" t="s">
        <v>269</v>
      </c>
      <c r="C19" s="22" t="s">
        <v>382</v>
      </c>
    </row>
    <row r="20" spans="1:3" x14ac:dyDescent="0.25">
      <c r="B20" t="s">
        <v>380</v>
      </c>
      <c r="C20" s="22" t="s">
        <v>381</v>
      </c>
    </row>
    <row r="21" spans="1:3" x14ac:dyDescent="0.25"/>
    <row r="22" spans="1:3" x14ac:dyDescent="0.25">
      <c r="A22" s="9" t="s">
        <v>278</v>
      </c>
    </row>
    <row r="23" spans="1:3" x14ac:dyDescent="0.25">
      <c r="B23" t="s">
        <v>279</v>
      </c>
      <c r="C23" s="22">
        <v>0.02</v>
      </c>
    </row>
    <row r="24" spans="1:3" x14ac:dyDescent="0.25"/>
    <row r="25" spans="1:3" x14ac:dyDescent="0.25">
      <c r="A25" s="9" t="s">
        <v>280</v>
      </c>
    </row>
    <row r="26" spans="1:3" x14ac:dyDescent="0.25">
      <c r="B26" t="s">
        <v>281</v>
      </c>
      <c r="C26" s="22" t="s">
        <v>374</v>
      </c>
    </row>
    <row r="27" spans="1:3" x14ac:dyDescent="0.25"/>
    <row r="28" spans="1:3" x14ac:dyDescent="0.25">
      <c r="A28" s="9" t="s">
        <v>377</v>
      </c>
    </row>
    <row r="29" spans="1:3" x14ac:dyDescent="0.25">
      <c r="B29" t="s">
        <v>379</v>
      </c>
      <c r="C29" s="22" t="s">
        <v>383</v>
      </c>
    </row>
    <row r="30" spans="1:3" hidden="1" x14ac:dyDescent="0.25">
      <c r="B30" t="s">
        <v>378</v>
      </c>
      <c r="C30" s="22">
        <v>0.02</v>
      </c>
    </row>
    <row r="31" spans="1:3" x14ac:dyDescent="0.25"/>
    <row r="32" spans="1:3" x14ac:dyDescent="0.25">
      <c r="B32" s="64" t="s">
        <v>0</v>
      </c>
      <c r="C32" s="64" t="s">
        <v>378</v>
      </c>
    </row>
    <row r="33" spans="2:3" x14ac:dyDescent="0.25">
      <c r="B33" s="22">
        <f>YEAR('General Config'!C6)</f>
        <v>2023</v>
      </c>
      <c r="C33" s="65">
        <v>0.02</v>
      </c>
    </row>
    <row r="34" spans="2:3" x14ac:dyDescent="0.25">
      <c r="B34" s="22">
        <v>2024</v>
      </c>
      <c r="C34" s="65">
        <v>0.02</v>
      </c>
    </row>
    <row r="35" spans="2:3" x14ac:dyDescent="0.25">
      <c r="B35" s="22">
        <v>2025</v>
      </c>
      <c r="C35" s="65">
        <v>0.02</v>
      </c>
    </row>
    <row r="36" spans="2:3" x14ac:dyDescent="0.25">
      <c r="B36" s="22">
        <v>2027</v>
      </c>
      <c r="C36" s="65">
        <v>0.02</v>
      </c>
    </row>
    <row r="37" spans="2:3" x14ac:dyDescent="0.25">
      <c r="B37" s="22">
        <v>2030</v>
      </c>
      <c r="C37" s="65">
        <v>0.02</v>
      </c>
    </row>
    <row r="38" spans="2:3" x14ac:dyDescent="0.25">
      <c r="B38" s="22">
        <v>2032</v>
      </c>
      <c r="C38" s="65">
        <v>0.02</v>
      </c>
    </row>
    <row r="39" spans="2:3" x14ac:dyDescent="0.25"/>
  </sheetData>
  <dataValidations count="10">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3" xr:uid="{96A2F105-AA38-48E8-B01A-371391349B1D}">
      <formula1>0</formula1>
      <formula2>1</formula2>
    </dataValidation>
    <dataValidation type="list" allowBlank="1" showInputMessage="1" showErrorMessage="1" errorTitle="Data type" error="Should be in float" sqref="C26"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C29:C30" xr:uid="{1DE8691F-764D-4B8B-BA0A-CE7EE0C4C6C6}"/>
    <dataValidation type="whole" allowBlank="1" showInputMessage="1" showErrorMessage="1" errorTitle="Data Type" error="Should be year" sqref="B6:B11 B33:B38" xr:uid="{73E8C4BB-3E1F-4188-B79D-7E460395708B}">
      <formula1>1945</formula1>
      <formula2>3000</formula2>
    </dataValidation>
    <dataValidation type="decimal" allowBlank="1" showInputMessage="1" showErrorMessage="1" errorTitle="Data Type" error="Should be between 0 and 1" sqref="C6:C11 C33:C38" xr:uid="{CF646499-E3B4-4A30-B4A3-F4BC798BD89F}">
      <formula1>0</formula1>
      <formula2>1</formula2>
    </dataValidation>
    <dataValidation type="list" allowBlank="1" showInputMessage="1" showErrorMessage="1" sqref="C20" xr:uid="{C9A4F0EB-2D97-4EF1-A6B8-6963D71AB965}">
      <formula1>"End Year,Mid Year"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mc:AlternateContent xmlns:mc="http://schemas.openxmlformats.org/markup-compatibility/2006">
          <mc:Choice Requires="x14">
            <control shapeId="303109" r:id="rId4" name="Spinner 5">
              <controlPr defaultSize="0" autoPict="0" macro="[0]!ThisWorkbook.SetInflationConfig">
                <anchor moveWithCells="1" sizeWithCells="1">
                  <from>
                    <xdr:col>2</xdr:col>
                    <xdr:colOff>1514475</xdr:colOff>
                    <xdr:row>28</xdr:row>
                    <xdr:rowOff>9525</xdr:rowOff>
                  </from>
                  <to>
                    <xdr:col>2</xdr:col>
                    <xdr:colOff>1685925</xdr:colOff>
                    <xdr:row>28</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topLeftCell="A27" workbookViewId="0">
      <pane xSplit="1" topLeftCell="B1" activePane="topRight" state="frozen"/>
      <selection activeCell="D21" sqref="D21"/>
      <selection pane="topRight" activeCell="A2" sqref="A2"/>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B1048576 C51:C1048576 D51:D1048576 E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B2:B50 D2:D50 E2:E50" xr:uid="{50625E7A-C52F-4209-A8F6-4DA6688B283C}">
      <formula1>0</formula1>
    </dataValidation>
    <dataValidation type="decimal" operator="greaterThanOrEqual" allowBlank="1" showInputMessage="1" showErrorMessage="1" errorTitle="Data Type Error" error="Should be greater than equal to 0" sqref="C2:C50" xr:uid="{5A81D88F-D8EC-4F0B-BB75-66EA50E40EF5}">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topLeftCell="A27" zoomScale="98" zoomScaleNormal="98" workbookViewId="0">
      <pane xSplit="1" topLeftCell="B1" activePane="topRight" state="frozen"/>
      <selection pane="topRight" activeCell="E1" sqref="E1"/>
    </sheetView>
  </sheetViews>
  <sheetFormatPr defaultColWidth="0" defaultRowHeight="15"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customWidth="1"/>
    <col min="10" max="10" width="22" customWidth="1"/>
    <col min="11" max="11" width="26.7109375" customWidth="1"/>
    <col min="12" max="12" width="21.7109375" hidden="1"/>
    <col min="13" max="13" width="22" hidden="1"/>
    <col min="14" max="14" width="26.7109375" hidden="1"/>
    <col min="15" max="15" width="21.7109375" hidden="1"/>
    <col min="16" max="16" width="22" hidden="1"/>
    <col min="17" max="17" width="26.7109375" hidden="1"/>
    <col min="18" max="18" width="22.7109375" hidden="1"/>
    <col min="19" max="19" width="22" hidden="1"/>
    <col min="20" max="20" width="26.7109375" hidden="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B2:BJ50" xr:uid="{EDAA6294-95CB-491E-82BB-59402825FA8A}">
      <formula1>0</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332</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A2" sqref="A2"/>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270</v>
      </c>
      <c r="H1" s="71" t="s">
        <v>25</v>
      </c>
      <c r="I1" s="71" t="s">
        <v>274</v>
      </c>
      <c r="J1" s="71" t="s">
        <v>271</v>
      </c>
      <c r="K1" s="71" t="s">
        <v>258</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A2" sqref="A2"/>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275</v>
      </c>
      <c r="D1" s="71" t="s">
        <v>276</v>
      </c>
      <c r="E1" s="71" t="s">
        <v>277</v>
      </c>
      <c r="F1" s="71" t="s">
        <v>274</v>
      </c>
      <c r="G1" s="71" t="s">
        <v>271</v>
      </c>
      <c r="H1" s="71" t="s">
        <v>258</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5.7109375" customWidth="1"/>
    <col min="6" max="6" width="13.85546875" bestFit="1" customWidth="1"/>
    <col min="7" max="16384" width="8.85546875" hidden="1"/>
  </cols>
  <sheetData>
    <row r="1" spans="1:6" s="63" customFormat="1"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x14ac:dyDescent="0.25">
      <c r="B18" t="s">
        <v>65</v>
      </c>
      <c r="C18" s="22">
        <v>60</v>
      </c>
    </row>
    <row r="19" spans="1:3" ht="15" x14ac:dyDescent="0.25">
      <c r="B19" t="s">
        <v>66</v>
      </c>
      <c r="C19" s="23">
        <v>39448</v>
      </c>
    </row>
    <row r="20" spans="1:3" ht="15" x14ac:dyDescent="0.25">
      <c r="B20" t="s">
        <v>67</v>
      </c>
      <c r="C20" s="29">
        <v>0.25</v>
      </c>
    </row>
    <row r="21" spans="1:3" ht="15" x14ac:dyDescent="0.25">
      <c r="B21" t="s">
        <v>68</v>
      </c>
      <c r="C21" s="29">
        <v>1</v>
      </c>
    </row>
    <row r="22" spans="1:3" ht="15" x14ac:dyDescent="0.25">
      <c r="C22" s="25"/>
    </row>
    <row r="23" spans="1:3" ht="15" x14ac:dyDescent="0.25">
      <c r="A23" s="9" t="s">
        <v>106</v>
      </c>
      <c r="C23" s="24"/>
    </row>
    <row r="24" spans="1:3" ht="15" x14ac:dyDescent="0.25">
      <c r="B24" t="s">
        <v>64</v>
      </c>
      <c r="C24" s="22" t="s">
        <v>26</v>
      </c>
    </row>
    <row r="25" spans="1:3" ht="15" hidden="1" x14ac:dyDescent="0.25">
      <c r="B25" t="s">
        <v>65</v>
      </c>
      <c r="C25" s="22">
        <v>60</v>
      </c>
    </row>
    <row r="26" spans="1:3" ht="15" hidden="1" x14ac:dyDescent="0.25">
      <c r="B26" t="s">
        <v>66</v>
      </c>
      <c r="C26" s="23">
        <v>39448</v>
      </c>
    </row>
    <row r="27" spans="1:3" ht="15" hidden="1" x14ac:dyDescent="0.25">
      <c r="B27" t="s">
        <v>67</v>
      </c>
      <c r="C27" s="29">
        <v>0.25</v>
      </c>
    </row>
    <row r="28" spans="1:3" ht="15" hidden="1" x14ac:dyDescent="0.25">
      <c r="B28" t="s">
        <v>68</v>
      </c>
      <c r="C28" s="29">
        <v>1</v>
      </c>
    </row>
    <row r="29" spans="1:3" ht="15" hidden="1" x14ac:dyDescent="0.25"/>
    <row r="33" spans="2:8" ht="15" hidden="1" x14ac:dyDescent="0.25">
      <c r="B33" s="106" t="s">
        <v>90</v>
      </c>
      <c r="C33" s="106"/>
      <c r="D33" s="106"/>
      <c r="F33" s="106" t="s">
        <v>97</v>
      </c>
      <c r="G33" s="106"/>
      <c r="H33" s="106"/>
    </row>
    <row r="34" spans="2:8" ht="15" hidden="1" x14ac:dyDescent="0.25">
      <c r="B34" s="15" t="s">
        <v>49</v>
      </c>
      <c r="C34" s="15" t="s">
        <v>50</v>
      </c>
      <c r="D34" s="19" t="s">
        <v>76</v>
      </c>
      <c r="F34" s="15" t="s">
        <v>49</v>
      </c>
      <c r="G34" s="15" t="s">
        <v>50</v>
      </c>
      <c r="H34" s="19" t="s">
        <v>76</v>
      </c>
    </row>
    <row r="35" spans="2:8" ht="15" hidden="1" x14ac:dyDescent="0.25">
      <c r="B35" s="101" t="s">
        <v>36</v>
      </c>
      <c r="C35" s="16" t="s">
        <v>51</v>
      </c>
      <c r="D35" s="21">
        <v>5</v>
      </c>
      <c r="F35" s="101" t="s">
        <v>36</v>
      </c>
      <c r="G35" s="16" t="s">
        <v>51</v>
      </c>
      <c r="H35" s="21">
        <v>5</v>
      </c>
    </row>
    <row r="36" spans="2:8" ht="15" hidden="1" x14ac:dyDescent="0.25">
      <c r="B36" s="107"/>
      <c r="C36" s="16" t="s">
        <v>52</v>
      </c>
      <c r="D36" s="21">
        <v>0</v>
      </c>
      <c r="F36" s="107"/>
      <c r="G36" s="16" t="s">
        <v>52</v>
      </c>
      <c r="H36" s="21">
        <v>3</v>
      </c>
    </row>
    <row r="37" spans="2:8" ht="15" hidden="1" x14ac:dyDescent="0.25">
      <c r="B37" s="107"/>
      <c r="C37" s="17" t="s">
        <v>75</v>
      </c>
      <c r="D37" s="21">
        <v>0</v>
      </c>
      <c r="F37" s="107"/>
      <c r="G37" s="17" t="s">
        <v>28</v>
      </c>
      <c r="H37" s="21">
        <v>0</v>
      </c>
    </row>
    <row r="38" spans="2:8" ht="15" hidden="1" x14ac:dyDescent="0.25">
      <c r="B38" s="102"/>
      <c r="C38" s="20" t="s">
        <v>28</v>
      </c>
      <c r="D38" s="21">
        <v>-5</v>
      </c>
      <c r="F38" s="102"/>
      <c r="G38" s="19" t="s">
        <v>96</v>
      </c>
      <c r="H38" s="21" t="s">
        <v>96</v>
      </c>
    </row>
    <row r="39" spans="2:8" ht="14.45" hidden="1" customHeight="1" x14ac:dyDescent="0.25">
      <c r="B39" s="101" t="s">
        <v>60</v>
      </c>
      <c r="C39" s="17" t="s">
        <v>29</v>
      </c>
      <c r="D39" s="21">
        <v>0</v>
      </c>
      <c r="F39" s="101" t="s">
        <v>60</v>
      </c>
      <c r="G39" s="17" t="s">
        <v>29</v>
      </c>
      <c r="H39" s="21">
        <v>0</v>
      </c>
    </row>
    <row r="40" spans="2:8" ht="15" hidden="1" x14ac:dyDescent="0.25">
      <c r="B40" s="107"/>
      <c r="C40" s="17" t="s">
        <v>69</v>
      </c>
      <c r="D40" s="21">
        <v>8</v>
      </c>
      <c r="F40" s="107"/>
      <c r="G40" s="17" t="s">
        <v>69</v>
      </c>
      <c r="H40" s="21">
        <v>8</v>
      </c>
    </row>
    <row r="41" spans="2:8" ht="15" hidden="1" x14ac:dyDescent="0.25">
      <c r="B41" s="107"/>
      <c r="C41" s="17" t="s">
        <v>70</v>
      </c>
      <c r="D41" s="21">
        <v>10</v>
      </c>
      <c r="F41" s="107"/>
      <c r="G41" s="17" t="s">
        <v>70</v>
      </c>
      <c r="H41" s="21">
        <v>10</v>
      </c>
    </row>
    <row r="42" spans="2:8" ht="15" hidden="1" x14ac:dyDescent="0.25">
      <c r="B42" s="107"/>
      <c r="C42" s="17" t="s">
        <v>71</v>
      </c>
      <c r="D42" s="21">
        <v>12</v>
      </c>
      <c r="F42" s="107"/>
      <c r="G42" s="17" t="s">
        <v>71</v>
      </c>
      <c r="H42" s="21">
        <v>12</v>
      </c>
    </row>
    <row r="43" spans="2:8" ht="30" hidden="1" x14ac:dyDescent="0.25">
      <c r="B43" s="107"/>
      <c r="C43" s="17" t="s">
        <v>72</v>
      </c>
      <c r="D43" s="21">
        <v>14</v>
      </c>
      <c r="F43" s="107"/>
      <c r="G43" s="17" t="s">
        <v>72</v>
      </c>
      <c r="H43" s="21">
        <v>14</v>
      </c>
    </row>
    <row r="44" spans="2:8" ht="15" hidden="1" x14ac:dyDescent="0.25">
      <c r="B44" s="102"/>
      <c r="C44" s="17" t="s">
        <v>53</v>
      </c>
      <c r="D44" s="21">
        <v>16</v>
      </c>
      <c r="F44" s="102"/>
      <c r="G44" s="17" t="s">
        <v>53</v>
      </c>
      <c r="H44" s="21">
        <v>16</v>
      </c>
    </row>
    <row r="45" spans="2:8" ht="15" hidden="1" x14ac:dyDescent="0.25">
      <c r="B45" s="101" t="s">
        <v>38</v>
      </c>
      <c r="C45" s="17" t="s">
        <v>46</v>
      </c>
      <c r="D45" s="21">
        <v>0</v>
      </c>
      <c r="F45" s="101" t="s">
        <v>38</v>
      </c>
      <c r="G45" s="17" t="s">
        <v>46</v>
      </c>
      <c r="H45" s="21">
        <v>0</v>
      </c>
    </row>
    <row r="46" spans="2:8" ht="15" hidden="1" x14ac:dyDescent="0.25">
      <c r="B46" s="102"/>
      <c r="C46" s="18" t="s">
        <v>54</v>
      </c>
      <c r="D46" s="21">
        <v>1</v>
      </c>
      <c r="F46" s="102"/>
      <c r="G46" s="18" t="s">
        <v>54</v>
      </c>
      <c r="H46" s="21">
        <v>1</v>
      </c>
    </row>
    <row r="47" spans="2:8" ht="15" hidden="1" x14ac:dyDescent="0.25">
      <c r="B47" s="103" t="s">
        <v>39</v>
      </c>
      <c r="C47" s="18" t="s">
        <v>30</v>
      </c>
      <c r="D47" s="21">
        <v>0</v>
      </c>
      <c r="F47" s="98" t="s">
        <v>39</v>
      </c>
      <c r="G47" s="18" t="s">
        <v>30</v>
      </c>
      <c r="H47" s="21">
        <v>0</v>
      </c>
    </row>
    <row r="48" spans="2:8" ht="15" hidden="1" x14ac:dyDescent="0.25">
      <c r="B48" s="104"/>
      <c r="C48" s="18" t="s">
        <v>77</v>
      </c>
      <c r="D48" s="21">
        <v>2</v>
      </c>
      <c r="F48" s="99"/>
      <c r="G48" s="18" t="s">
        <v>55</v>
      </c>
      <c r="H48" s="21">
        <v>2</v>
      </c>
    </row>
    <row r="49" spans="2:8" ht="15" hidden="1" x14ac:dyDescent="0.25">
      <c r="B49" s="105"/>
      <c r="C49" s="19" t="s">
        <v>96</v>
      </c>
      <c r="D49" s="19" t="s">
        <v>96</v>
      </c>
      <c r="F49" s="100"/>
      <c r="G49" s="18" t="s">
        <v>56</v>
      </c>
      <c r="H49" s="21">
        <v>4</v>
      </c>
    </row>
    <row r="50" spans="2:8" ht="15" hidden="1" x14ac:dyDescent="0.25">
      <c r="B50" s="98" t="s">
        <v>40</v>
      </c>
      <c r="C50" s="18" t="s">
        <v>35</v>
      </c>
      <c r="D50" s="21">
        <v>0</v>
      </c>
      <c r="F50" s="98" t="s">
        <v>40</v>
      </c>
      <c r="G50" s="18" t="s">
        <v>35</v>
      </c>
      <c r="H50" s="21">
        <v>0</v>
      </c>
    </row>
    <row r="51" spans="2:8" ht="15" hidden="1" x14ac:dyDescent="0.25">
      <c r="B51" s="100"/>
      <c r="C51" s="18" t="s">
        <v>73</v>
      </c>
      <c r="D51" s="21">
        <v>16</v>
      </c>
      <c r="F51" s="100"/>
      <c r="G51" s="18" t="s">
        <v>73</v>
      </c>
      <c r="H51" s="21">
        <v>16</v>
      </c>
    </row>
    <row r="52" spans="2:8" ht="15" hidden="1" x14ac:dyDescent="0.25">
      <c r="B52" s="98" t="s">
        <v>43</v>
      </c>
      <c r="C52" s="18" t="s">
        <v>31</v>
      </c>
      <c r="D52" s="21">
        <v>1</v>
      </c>
      <c r="F52" s="98" t="s">
        <v>43</v>
      </c>
      <c r="G52" s="18" t="s">
        <v>31</v>
      </c>
      <c r="H52" s="21">
        <v>1</v>
      </c>
    </row>
    <row r="53" spans="2:8" ht="15" hidden="1" x14ac:dyDescent="0.25">
      <c r="B53" s="100"/>
      <c r="C53" s="18" t="s">
        <v>74</v>
      </c>
      <c r="D53" s="21">
        <v>0</v>
      </c>
      <c r="F53" s="100"/>
      <c r="G53" s="18" t="s">
        <v>74</v>
      </c>
      <c r="H53" s="21">
        <v>0</v>
      </c>
    </row>
    <row r="54" spans="2:8" ht="15" hidden="1" x14ac:dyDescent="0.25">
      <c r="B54" s="98" t="s">
        <v>61</v>
      </c>
      <c r="C54" s="18" t="s">
        <v>57</v>
      </c>
      <c r="D54" s="21">
        <v>0</v>
      </c>
      <c r="F54" s="98" t="s">
        <v>61</v>
      </c>
      <c r="G54" s="18" t="s">
        <v>57</v>
      </c>
      <c r="H54" s="21">
        <v>0</v>
      </c>
    </row>
    <row r="55" spans="2:8" ht="15" hidden="1" x14ac:dyDescent="0.25">
      <c r="B55" s="99"/>
      <c r="C55" s="18" t="s">
        <v>78</v>
      </c>
      <c r="D55" s="21">
        <v>2</v>
      </c>
      <c r="F55" s="99"/>
      <c r="G55" s="18" t="s">
        <v>78</v>
      </c>
      <c r="H55" s="21">
        <v>2</v>
      </c>
    </row>
    <row r="56" spans="2:8" ht="15" hidden="1" x14ac:dyDescent="0.25">
      <c r="B56" s="99"/>
      <c r="C56" s="18" t="s">
        <v>47</v>
      </c>
      <c r="D56" s="21">
        <v>3</v>
      </c>
      <c r="F56" s="99"/>
      <c r="G56" s="18" t="s">
        <v>47</v>
      </c>
      <c r="H56" s="21">
        <v>3</v>
      </c>
    </row>
    <row r="57" spans="2:8" ht="15" hidden="1" x14ac:dyDescent="0.25">
      <c r="B57" s="100"/>
      <c r="C57" s="18" t="s">
        <v>79</v>
      </c>
      <c r="D57" s="21">
        <v>4</v>
      </c>
      <c r="F57" s="100"/>
      <c r="G57" s="18" t="s">
        <v>79</v>
      </c>
      <c r="H57" s="21">
        <v>4</v>
      </c>
    </row>
    <row r="58" spans="2:8" ht="15" hidden="1" x14ac:dyDescent="0.25">
      <c r="B58" s="98" t="s">
        <v>27</v>
      </c>
      <c r="C58" s="18" t="s">
        <v>80</v>
      </c>
      <c r="D58" s="21">
        <v>0</v>
      </c>
      <c r="F58" s="98" t="s">
        <v>27</v>
      </c>
      <c r="G58" s="18" t="s">
        <v>58</v>
      </c>
      <c r="H58" s="21">
        <v>0</v>
      </c>
    </row>
    <row r="59" spans="2:8" ht="15" hidden="1" x14ac:dyDescent="0.25">
      <c r="B59" s="99"/>
      <c r="C59" s="18" t="s">
        <v>48</v>
      </c>
      <c r="D59" s="21">
        <v>3</v>
      </c>
      <c r="F59" s="99"/>
      <c r="G59" s="18" t="s">
        <v>32</v>
      </c>
      <c r="H59" s="21">
        <v>6</v>
      </c>
    </row>
    <row r="60" spans="2:8" ht="15" hidden="1" x14ac:dyDescent="0.25">
      <c r="B60" s="100"/>
      <c r="C60" s="18" t="s">
        <v>81</v>
      </c>
      <c r="D60" s="21">
        <v>5</v>
      </c>
      <c r="F60" s="100"/>
      <c r="G60" s="18" t="s">
        <v>59</v>
      </c>
      <c r="H60" s="21">
        <v>10</v>
      </c>
    </row>
    <row r="61" spans="2:8" ht="15" hidden="1" x14ac:dyDescent="0.25">
      <c r="B61" s="98" t="s">
        <v>62</v>
      </c>
      <c r="C61" s="18" t="s">
        <v>33</v>
      </c>
      <c r="D61" s="21">
        <v>0</v>
      </c>
      <c r="F61" s="98" t="s">
        <v>62</v>
      </c>
      <c r="G61" s="18" t="s">
        <v>33</v>
      </c>
      <c r="H61" s="21">
        <v>0</v>
      </c>
    </row>
    <row r="62" spans="2:8" ht="15" hidden="1" x14ac:dyDescent="0.25">
      <c r="B62" s="99"/>
      <c r="C62" s="18" t="s">
        <v>82</v>
      </c>
      <c r="D62" s="21">
        <v>0.5</v>
      </c>
      <c r="F62" s="99"/>
      <c r="G62" s="18" t="s">
        <v>82</v>
      </c>
      <c r="H62" s="21">
        <v>0.5</v>
      </c>
    </row>
    <row r="63" spans="2:8" ht="15" hidden="1" x14ac:dyDescent="0.25">
      <c r="B63" s="99"/>
      <c r="C63" s="18" t="s">
        <v>83</v>
      </c>
      <c r="D63" s="21">
        <v>1</v>
      </c>
      <c r="F63" s="99"/>
      <c r="G63" s="18" t="s">
        <v>83</v>
      </c>
      <c r="H63" s="21">
        <v>1</v>
      </c>
    </row>
    <row r="64" spans="2:8" ht="15" hidden="1" x14ac:dyDescent="0.25">
      <c r="B64" s="99"/>
      <c r="C64" s="18" t="s">
        <v>84</v>
      </c>
      <c r="D64" s="21">
        <v>1.5</v>
      </c>
      <c r="F64" s="99"/>
      <c r="G64" s="18" t="s">
        <v>84</v>
      </c>
      <c r="H64" s="21">
        <v>1.5</v>
      </c>
    </row>
    <row r="65" spans="2:8" ht="15" hidden="1" x14ac:dyDescent="0.25">
      <c r="B65" s="99"/>
      <c r="C65" s="18" t="s">
        <v>85</v>
      </c>
      <c r="D65" s="21">
        <v>2</v>
      </c>
      <c r="F65" s="99"/>
      <c r="G65" s="18" t="s">
        <v>85</v>
      </c>
      <c r="H65" s="21">
        <v>2</v>
      </c>
    </row>
    <row r="66" spans="2:8" ht="15" hidden="1" x14ac:dyDescent="0.25">
      <c r="B66" s="100"/>
      <c r="C66" s="18" t="s">
        <v>92</v>
      </c>
      <c r="D66" s="21">
        <v>4</v>
      </c>
      <c r="F66" s="100"/>
      <c r="G66" s="18" t="s">
        <v>92</v>
      </c>
      <c r="H66" s="21">
        <v>4</v>
      </c>
    </row>
    <row r="67" spans="2:8" ht="15" hidden="1" x14ac:dyDescent="0.25">
      <c r="B67" s="98" t="s">
        <v>63</v>
      </c>
      <c r="C67" s="18" t="s">
        <v>34</v>
      </c>
      <c r="D67" s="21">
        <v>0</v>
      </c>
      <c r="F67" s="98" t="s">
        <v>63</v>
      </c>
      <c r="G67" s="18" t="s">
        <v>34</v>
      </c>
      <c r="H67" s="21">
        <v>0</v>
      </c>
    </row>
    <row r="68" spans="2:8" ht="15" hidden="1" x14ac:dyDescent="0.25">
      <c r="B68" s="99"/>
      <c r="C68" s="18" t="s">
        <v>88</v>
      </c>
      <c r="D68" s="21">
        <v>0.5</v>
      </c>
      <c r="F68" s="99"/>
      <c r="G68" s="18" t="s">
        <v>93</v>
      </c>
      <c r="H68" s="21">
        <v>1</v>
      </c>
    </row>
    <row r="69" spans="2:8" ht="15" hidden="1" x14ac:dyDescent="0.25">
      <c r="B69" s="99"/>
      <c r="C69" s="18" t="s">
        <v>89</v>
      </c>
      <c r="D69" s="21">
        <v>0.75</v>
      </c>
      <c r="F69" s="99"/>
      <c r="G69" s="18" t="s">
        <v>94</v>
      </c>
      <c r="H69" s="21">
        <v>2</v>
      </c>
    </row>
    <row r="70" spans="2:8" ht="15" hidden="1" x14ac:dyDescent="0.25">
      <c r="B70" s="100"/>
      <c r="C70" s="18" t="s">
        <v>91</v>
      </c>
      <c r="D70" s="21">
        <v>1</v>
      </c>
      <c r="F70" s="99"/>
      <c r="G70" s="18" t="s">
        <v>86</v>
      </c>
      <c r="H70" s="21">
        <v>3</v>
      </c>
    </row>
    <row r="71" spans="2:8" ht="15" hidden="1" x14ac:dyDescent="0.25">
      <c r="F71" s="99"/>
      <c r="G71" s="18" t="s">
        <v>87</v>
      </c>
      <c r="H71" s="21">
        <v>4</v>
      </c>
    </row>
    <row r="72" spans="2:8" ht="15" hidden="1" x14ac:dyDescent="0.25">
      <c r="F72" s="100"/>
      <c r="G72" s="18" t="s">
        <v>95</v>
      </c>
      <c r="H72" s="21">
        <v>5</v>
      </c>
    </row>
  </sheetData>
  <mergeCells count="22">
    <mergeCell ref="B33:D33"/>
    <mergeCell ref="F33:H33"/>
    <mergeCell ref="B35:B38"/>
    <mergeCell ref="F35:F38"/>
    <mergeCell ref="B39:B44"/>
    <mergeCell ref="F39:F44"/>
    <mergeCell ref="B45:B46"/>
    <mergeCell ref="F45:F46"/>
    <mergeCell ref="B47:B49"/>
    <mergeCell ref="F47:F49"/>
    <mergeCell ref="B50:B51"/>
    <mergeCell ref="F50:F51"/>
    <mergeCell ref="B61:B66"/>
    <mergeCell ref="F61:F66"/>
    <mergeCell ref="B67:B70"/>
    <mergeCell ref="F67:F72"/>
    <mergeCell ref="B52:B53"/>
    <mergeCell ref="F52:F53"/>
    <mergeCell ref="B54:B57"/>
    <mergeCell ref="F54:F57"/>
    <mergeCell ref="B58:B60"/>
    <mergeCell ref="F58:F60"/>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showRowColHeaders="0" zoomScaleNormal="100" workbookViewId="0">
      <selection activeCell="C21" sqref="C21"/>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35</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x14ac:dyDescent="0.25">
      <c r="A23" s="9" t="s">
        <v>105</v>
      </c>
      <c r="C23" s="24"/>
    </row>
    <row r="24" spans="1:3" x14ac:dyDescent="0.25">
      <c r="B24" t="s">
        <v>64</v>
      </c>
      <c r="C24" s="22" t="s">
        <v>26</v>
      </c>
    </row>
    <row r="25" spans="1:3" x14ac:dyDescent="0.25">
      <c r="B25" t="s">
        <v>65</v>
      </c>
      <c r="C25" s="22">
        <v>60</v>
      </c>
    </row>
    <row r="26" spans="1:3" x14ac:dyDescent="0.25">
      <c r="B26" t="s">
        <v>66</v>
      </c>
      <c r="C26" s="23">
        <v>39448</v>
      </c>
    </row>
    <row r="27" spans="1:3" x14ac:dyDescent="0.25">
      <c r="B27" t="s">
        <v>67</v>
      </c>
      <c r="C27" s="29">
        <v>0.25</v>
      </c>
    </row>
    <row r="28" spans="1:3" x14ac:dyDescent="0.25">
      <c r="B28" t="s">
        <v>68</v>
      </c>
      <c r="C28" s="29">
        <v>1</v>
      </c>
    </row>
    <row r="29" spans="1:3" x14ac:dyDescent="0.25">
      <c r="C29" s="25"/>
    </row>
    <row r="30" spans="1:3" hidden="1" x14ac:dyDescent="0.25">
      <c r="A30" s="9" t="s">
        <v>106</v>
      </c>
      <c r="C30" s="24"/>
    </row>
    <row r="31" spans="1:3" hidden="1" x14ac:dyDescent="0.25">
      <c r="B31" t="s">
        <v>64</v>
      </c>
      <c r="C31" s="22" t="s">
        <v>26</v>
      </c>
    </row>
    <row r="32" spans="1:3" hidden="1" x14ac:dyDescent="0.25">
      <c r="B32" t="s">
        <v>65</v>
      </c>
      <c r="C32" s="22">
        <v>60</v>
      </c>
    </row>
    <row r="33" spans="1:6" hidden="1" x14ac:dyDescent="0.25">
      <c r="B33" t="s">
        <v>66</v>
      </c>
      <c r="C33" s="23">
        <v>39448</v>
      </c>
    </row>
    <row r="34" spans="1:6" hidden="1" x14ac:dyDescent="0.25">
      <c r="B34" t="s">
        <v>67</v>
      </c>
      <c r="C34" s="29">
        <v>0.25</v>
      </c>
    </row>
    <row r="35" spans="1:6" hidden="1" x14ac:dyDescent="0.25">
      <c r="B35" t="s">
        <v>68</v>
      </c>
      <c r="C35" s="29">
        <v>1</v>
      </c>
    </row>
    <row r="37" spans="1:6" hidden="1" x14ac:dyDescent="0.25">
      <c r="A37" s="9" t="s">
        <v>249</v>
      </c>
    </row>
    <row r="38" spans="1:6" ht="14.45" hidden="1" customHeight="1" x14ac:dyDescent="0.25">
      <c r="B38" s="114" t="s">
        <v>250</v>
      </c>
      <c r="C38" s="116" t="s">
        <v>251</v>
      </c>
      <c r="D38" s="110" t="s">
        <v>255</v>
      </c>
      <c r="E38" s="108" t="s">
        <v>256</v>
      </c>
      <c r="F38" s="47"/>
    </row>
    <row r="39" spans="1:6" hidden="1" x14ac:dyDescent="0.25">
      <c r="B39" s="115"/>
      <c r="C39" s="117"/>
      <c r="D39" s="111"/>
      <c r="E39" s="109"/>
    </row>
    <row r="40" spans="1:6" hidden="1" x14ac:dyDescent="0.25">
      <c r="B40" s="46">
        <v>0</v>
      </c>
      <c r="C40" s="48">
        <v>1</v>
      </c>
      <c r="D40" s="53">
        <v>0.313726</v>
      </c>
      <c r="E40" s="54">
        <v>0.54901999999999995</v>
      </c>
    </row>
    <row r="41" spans="1:6" hidden="1" x14ac:dyDescent="0.25">
      <c r="B41" s="46">
        <v>1</v>
      </c>
      <c r="C41" s="51">
        <v>1.2</v>
      </c>
      <c r="D41" s="53">
        <v>0.27450999999999998</v>
      </c>
      <c r="E41" s="54">
        <v>0.50980400000000003</v>
      </c>
    </row>
    <row r="42" spans="1:6" hidden="1" x14ac:dyDescent="0.25">
      <c r="A42" s="52"/>
      <c r="B42" s="50">
        <v>1.2</v>
      </c>
      <c r="C42" s="58">
        <v>1.4</v>
      </c>
      <c r="D42" s="59">
        <v>0.235295</v>
      </c>
      <c r="E42" s="54">
        <v>0.47058899999999998</v>
      </c>
    </row>
    <row r="43" spans="1:6" hidden="1" x14ac:dyDescent="0.25">
      <c r="A43" s="52"/>
      <c r="B43" s="50">
        <v>1.4</v>
      </c>
      <c r="C43" s="49">
        <v>1.6</v>
      </c>
      <c r="D43" s="54">
        <v>0.196079</v>
      </c>
      <c r="E43" s="54">
        <v>0.43137300000000001</v>
      </c>
    </row>
    <row r="44" spans="1:6" hidden="1" x14ac:dyDescent="0.25">
      <c r="B44" s="46">
        <v>1.6</v>
      </c>
      <c r="C44" s="51">
        <v>999</v>
      </c>
      <c r="D44" s="54">
        <v>0.156863</v>
      </c>
      <c r="E44" s="54">
        <v>0.39215699999999998</v>
      </c>
    </row>
    <row r="45" spans="1:6" hidden="1" x14ac:dyDescent="0.25">
      <c r="B45" s="46"/>
      <c r="C45" s="51"/>
      <c r="D45" s="57"/>
      <c r="E45" s="57"/>
    </row>
    <row r="46" spans="1:6" hidden="1" x14ac:dyDescent="0.25">
      <c r="B46" s="46"/>
      <c r="C46" s="51"/>
      <c r="D46" s="57"/>
      <c r="E46" s="57"/>
    </row>
    <row r="48" spans="1:6" hidden="1" x14ac:dyDescent="0.25">
      <c r="A48" s="9" t="s">
        <v>252</v>
      </c>
    </row>
    <row r="49" spans="1:5" ht="14.45" hidden="1" customHeight="1" x14ac:dyDescent="0.25">
      <c r="B49" s="114" t="s">
        <v>253</v>
      </c>
      <c r="C49" s="116" t="s">
        <v>254</v>
      </c>
      <c r="D49" s="110" t="s">
        <v>255</v>
      </c>
      <c r="E49" s="112" t="s">
        <v>256</v>
      </c>
    </row>
    <row r="50" spans="1:5" hidden="1" x14ac:dyDescent="0.25">
      <c r="B50" s="115"/>
      <c r="C50" s="117"/>
      <c r="D50" s="111"/>
      <c r="E50" s="113"/>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344</v>
      </c>
      <c r="C13" s="29">
        <v>0.08</v>
      </c>
    </row>
    <row r="14" spans="1:3" x14ac:dyDescent="0.25">
      <c r="C14" s="25"/>
    </row>
    <row r="15" spans="1:3" x14ac:dyDescent="0.25">
      <c r="A15" s="9" t="s">
        <v>261</v>
      </c>
    </row>
    <row r="16" spans="1:3" x14ac:dyDescent="0.25">
      <c r="B16" t="s">
        <v>260</v>
      </c>
      <c r="C16" s="22" t="s">
        <v>26</v>
      </c>
    </row>
    <row r="17" spans="1:3" x14ac:dyDescent="0.25">
      <c r="C17" s="25"/>
    </row>
    <row r="18" spans="1:3" x14ac:dyDescent="0.25">
      <c r="A18" s="9" t="s">
        <v>105</v>
      </c>
      <c r="C18" s="24"/>
    </row>
    <row r="19" spans="1:3" x14ac:dyDescent="0.25">
      <c r="B19" t="s">
        <v>64</v>
      </c>
      <c r="C19" s="22" t="s">
        <v>26</v>
      </c>
    </row>
    <row r="20" spans="1:3" x14ac:dyDescent="0.25">
      <c r="B20" t="s">
        <v>65</v>
      </c>
      <c r="C20" s="22">
        <v>60</v>
      </c>
    </row>
    <row r="21" spans="1:3" x14ac:dyDescent="0.25">
      <c r="B21" t="s">
        <v>66</v>
      </c>
      <c r="C21" s="23">
        <v>39448</v>
      </c>
    </row>
    <row r="22" spans="1:3" x14ac:dyDescent="0.25">
      <c r="B22" t="s">
        <v>67</v>
      </c>
      <c r="C22" s="29">
        <v>0.25</v>
      </c>
    </row>
    <row r="23" spans="1:3" x14ac:dyDescent="0.25">
      <c r="B23" t="s">
        <v>68</v>
      </c>
      <c r="C23" s="29">
        <v>1</v>
      </c>
    </row>
    <row r="24" spans="1:3" x14ac:dyDescent="0.25">
      <c r="C24" s="25"/>
    </row>
    <row r="25" spans="1:3" hidden="1" x14ac:dyDescent="0.25">
      <c r="A25" s="9" t="s">
        <v>106</v>
      </c>
      <c r="C25" s="24"/>
    </row>
    <row r="26" spans="1:3" hidden="1" x14ac:dyDescent="0.25">
      <c r="B26" t="s">
        <v>64</v>
      </c>
      <c r="C26" s="22" t="s">
        <v>26</v>
      </c>
    </row>
    <row r="27" spans="1:3" hidden="1" x14ac:dyDescent="0.25">
      <c r="B27" t="s">
        <v>65</v>
      </c>
      <c r="C27" s="22">
        <v>60</v>
      </c>
    </row>
    <row r="28" spans="1:3" hidden="1" x14ac:dyDescent="0.25">
      <c r="B28" t="s">
        <v>66</v>
      </c>
      <c r="C28" s="23">
        <v>39448</v>
      </c>
    </row>
    <row r="29" spans="1:3" hidden="1" x14ac:dyDescent="0.25">
      <c r="B29" t="s">
        <v>67</v>
      </c>
      <c r="C29" s="29">
        <v>0.25</v>
      </c>
    </row>
    <row r="30" spans="1:3" hidden="1" x14ac:dyDescent="0.25">
      <c r="B30" t="s">
        <v>68</v>
      </c>
      <c r="C30" s="29">
        <v>1</v>
      </c>
    </row>
    <row r="35" spans="2:8" hidden="1" x14ac:dyDescent="0.25">
      <c r="B35" s="106" t="s">
        <v>90</v>
      </c>
      <c r="C35" s="106"/>
      <c r="D35" s="106"/>
      <c r="F35" s="106" t="s">
        <v>97</v>
      </c>
      <c r="G35" s="106"/>
      <c r="H35" s="106"/>
    </row>
    <row r="36" spans="2:8" hidden="1" x14ac:dyDescent="0.25">
      <c r="B36" s="15" t="s">
        <v>49</v>
      </c>
      <c r="C36" s="15" t="s">
        <v>50</v>
      </c>
      <c r="D36" s="19" t="s">
        <v>76</v>
      </c>
      <c r="F36" s="15" t="s">
        <v>49</v>
      </c>
      <c r="G36" s="15" t="s">
        <v>50</v>
      </c>
      <c r="H36" s="19" t="s">
        <v>76</v>
      </c>
    </row>
    <row r="37" spans="2:8" hidden="1" x14ac:dyDescent="0.25">
      <c r="B37" s="101" t="s">
        <v>36</v>
      </c>
      <c r="C37" s="16" t="s">
        <v>51</v>
      </c>
      <c r="D37" s="21">
        <v>5</v>
      </c>
      <c r="F37" s="101" t="s">
        <v>36</v>
      </c>
      <c r="G37" s="16" t="s">
        <v>51</v>
      </c>
      <c r="H37" s="21">
        <v>5</v>
      </c>
    </row>
    <row r="38" spans="2:8" hidden="1" x14ac:dyDescent="0.25">
      <c r="B38" s="107"/>
      <c r="C38" s="16" t="s">
        <v>52</v>
      </c>
      <c r="D38" s="21">
        <v>0</v>
      </c>
      <c r="F38" s="107"/>
      <c r="G38" s="16" t="s">
        <v>52</v>
      </c>
      <c r="H38" s="21">
        <v>3</v>
      </c>
    </row>
    <row r="39" spans="2:8" hidden="1" x14ac:dyDescent="0.25">
      <c r="B39" s="107"/>
      <c r="C39" s="17" t="s">
        <v>75</v>
      </c>
      <c r="D39" s="21">
        <v>0</v>
      </c>
      <c r="F39" s="107"/>
      <c r="G39" s="17" t="s">
        <v>28</v>
      </c>
      <c r="H39" s="21">
        <v>0</v>
      </c>
    </row>
    <row r="40" spans="2:8" hidden="1" x14ac:dyDescent="0.25">
      <c r="B40" s="102"/>
      <c r="C40" s="20" t="s">
        <v>28</v>
      </c>
      <c r="D40" s="21">
        <v>-5</v>
      </c>
      <c r="F40" s="102"/>
      <c r="G40" s="19" t="s">
        <v>96</v>
      </c>
      <c r="H40" s="21" t="s">
        <v>96</v>
      </c>
    </row>
    <row r="41" spans="2:8" ht="14.45" hidden="1" customHeight="1" x14ac:dyDescent="0.25">
      <c r="B41" s="101" t="s">
        <v>60</v>
      </c>
      <c r="C41" s="17" t="s">
        <v>29</v>
      </c>
      <c r="D41" s="21">
        <v>0</v>
      </c>
      <c r="F41" s="101" t="s">
        <v>60</v>
      </c>
      <c r="G41" s="17" t="s">
        <v>29</v>
      </c>
      <c r="H41" s="21">
        <v>0</v>
      </c>
    </row>
    <row r="42" spans="2:8" hidden="1" x14ac:dyDescent="0.25">
      <c r="B42" s="107"/>
      <c r="C42" s="17" t="s">
        <v>69</v>
      </c>
      <c r="D42" s="21">
        <v>8</v>
      </c>
      <c r="F42" s="107"/>
      <c r="G42" s="17" t="s">
        <v>69</v>
      </c>
      <c r="H42" s="21">
        <v>8</v>
      </c>
    </row>
    <row r="43" spans="2:8" hidden="1" x14ac:dyDescent="0.25">
      <c r="B43" s="107"/>
      <c r="C43" s="17" t="s">
        <v>70</v>
      </c>
      <c r="D43" s="21">
        <v>10</v>
      </c>
      <c r="F43" s="107"/>
      <c r="G43" s="17" t="s">
        <v>70</v>
      </c>
      <c r="H43" s="21">
        <v>10</v>
      </c>
    </row>
    <row r="44" spans="2:8" hidden="1" x14ac:dyDescent="0.25">
      <c r="B44" s="107"/>
      <c r="C44" s="17" t="s">
        <v>71</v>
      </c>
      <c r="D44" s="21">
        <v>12</v>
      </c>
      <c r="F44" s="107"/>
      <c r="G44" s="17" t="s">
        <v>71</v>
      </c>
      <c r="H44" s="21">
        <v>12</v>
      </c>
    </row>
    <row r="45" spans="2:8" ht="30" hidden="1" x14ac:dyDescent="0.25">
      <c r="B45" s="107"/>
      <c r="C45" s="17" t="s">
        <v>72</v>
      </c>
      <c r="D45" s="21">
        <v>14</v>
      </c>
      <c r="F45" s="107"/>
      <c r="G45" s="17" t="s">
        <v>72</v>
      </c>
      <c r="H45" s="21">
        <v>14</v>
      </c>
    </row>
    <row r="46" spans="2:8" hidden="1" x14ac:dyDescent="0.25">
      <c r="B46" s="102"/>
      <c r="C46" s="17" t="s">
        <v>53</v>
      </c>
      <c r="D46" s="21">
        <v>16</v>
      </c>
      <c r="F46" s="102"/>
      <c r="G46" s="17" t="s">
        <v>53</v>
      </c>
      <c r="H46" s="21">
        <v>16</v>
      </c>
    </row>
    <row r="47" spans="2:8" hidden="1" x14ac:dyDescent="0.25">
      <c r="B47" s="101" t="s">
        <v>38</v>
      </c>
      <c r="C47" s="17" t="s">
        <v>46</v>
      </c>
      <c r="D47" s="21">
        <v>0</v>
      </c>
      <c r="F47" s="101" t="s">
        <v>38</v>
      </c>
      <c r="G47" s="17" t="s">
        <v>46</v>
      </c>
      <c r="H47" s="21">
        <v>0</v>
      </c>
    </row>
    <row r="48" spans="2:8" hidden="1" x14ac:dyDescent="0.25">
      <c r="B48" s="102"/>
      <c r="C48" s="18" t="s">
        <v>54</v>
      </c>
      <c r="D48" s="21">
        <v>1</v>
      </c>
      <c r="F48" s="102"/>
      <c r="G48" s="18" t="s">
        <v>54</v>
      </c>
      <c r="H48" s="21">
        <v>1</v>
      </c>
    </row>
    <row r="49" spans="2:8" hidden="1" x14ac:dyDescent="0.25">
      <c r="B49" s="103" t="s">
        <v>39</v>
      </c>
      <c r="C49" s="18" t="s">
        <v>30</v>
      </c>
      <c r="D49" s="21">
        <v>0</v>
      </c>
      <c r="F49" s="98" t="s">
        <v>39</v>
      </c>
      <c r="G49" s="18" t="s">
        <v>30</v>
      </c>
      <c r="H49" s="21">
        <v>0</v>
      </c>
    </row>
    <row r="50" spans="2:8" hidden="1" x14ac:dyDescent="0.25">
      <c r="B50" s="104"/>
      <c r="C50" s="18" t="s">
        <v>77</v>
      </c>
      <c r="D50" s="21">
        <v>2</v>
      </c>
      <c r="F50" s="99"/>
      <c r="G50" s="18" t="s">
        <v>55</v>
      </c>
      <c r="H50" s="21">
        <v>2</v>
      </c>
    </row>
    <row r="51" spans="2:8" hidden="1" x14ac:dyDescent="0.25">
      <c r="B51" s="105"/>
      <c r="C51" s="19" t="s">
        <v>96</v>
      </c>
      <c r="D51" s="19" t="s">
        <v>96</v>
      </c>
      <c r="F51" s="100"/>
      <c r="G51" s="18" t="s">
        <v>56</v>
      </c>
      <c r="H51" s="21">
        <v>4</v>
      </c>
    </row>
    <row r="52" spans="2:8" hidden="1" x14ac:dyDescent="0.25">
      <c r="B52" s="98" t="s">
        <v>40</v>
      </c>
      <c r="C52" s="18" t="s">
        <v>35</v>
      </c>
      <c r="D52" s="21">
        <v>0</v>
      </c>
      <c r="F52" s="98" t="s">
        <v>40</v>
      </c>
      <c r="G52" s="18" t="s">
        <v>35</v>
      </c>
      <c r="H52" s="21">
        <v>0</v>
      </c>
    </row>
    <row r="53" spans="2:8" hidden="1" x14ac:dyDescent="0.25">
      <c r="B53" s="100"/>
      <c r="C53" s="18" t="s">
        <v>73</v>
      </c>
      <c r="D53" s="21">
        <v>16</v>
      </c>
      <c r="F53" s="100"/>
      <c r="G53" s="18" t="s">
        <v>73</v>
      </c>
      <c r="H53" s="21">
        <v>16</v>
      </c>
    </row>
    <row r="54" spans="2:8" hidden="1" x14ac:dyDescent="0.25">
      <c r="B54" s="98" t="s">
        <v>43</v>
      </c>
      <c r="C54" s="18" t="s">
        <v>31</v>
      </c>
      <c r="D54" s="21">
        <v>1</v>
      </c>
      <c r="F54" s="98" t="s">
        <v>43</v>
      </c>
      <c r="G54" s="18" t="s">
        <v>31</v>
      </c>
      <c r="H54" s="21">
        <v>1</v>
      </c>
    </row>
    <row r="55" spans="2:8" hidden="1" x14ac:dyDescent="0.25">
      <c r="B55" s="100"/>
      <c r="C55" s="18" t="s">
        <v>74</v>
      </c>
      <c r="D55" s="21">
        <v>0</v>
      </c>
      <c r="F55" s="100"/>
      <c r="G55" s="18" t="s">
        <v>74</v>
      </c>
      <c r="H55" s="21">
        <v>0</v>
      </c>
    </row>
    <row r="56" spans="2:8" hidden="1" x14ac:dyDescent="0.25">
      <c r="B56" s="98" t="s">
        <v>61</v>
      </c>
      <c r="C56" s="18" t="s">
        <v>57</v>
      </c>
      <c r="D56" s="21">
        <v>0</v>
      </c>
      <c r="F56" s="98" t="s">
        <v>61</v>
      </c>
      <c r="G56" s="18" t="s">
        <v>57</v>
      </c>
      <c r="H56" s="21">
        <v>0</v>
      </c>
    </row>
    <row r="57" spans="2:8" hidden="1" x14ac:dyDescent="0.25">
      <c r="B57" s="99"/>
      <c r="C57" s="18" t="s">
        <v>78</v>
      </c>
      <c r="D57" s="21">
        <v>2</v>
      </c>
      <c r="F57" s="99"/>
      <c r="G57" s="18" t="s">
        <v>78</v>
      </c>
      <c r="H57" s="21">
        <v>2</v>
      </c>
    </row>
    <row r="58" spans="2:8" hidden="1" x14ac:dyDescent="0.25">
      <c r="B58" s="99"/>
      <c r="C58" s="18" t="s">
        <v>47</v>
      </c>
      <c r="D58" s="21">
        <v>3</v>
      </c>
      <c r="F58" s="99"/>
      <c r="G58" s="18" t="s">
        <v>47</v>
      </c>
      <c r="H58" s="21">
        <v>3</v>
      </c>
    </row>
    <row r="59" spans="2:8" hidden="1" x14ac:dyDescent="0.25">
      <c r="B59" s="100"/>
      <c r="C59" s="18" t="s">
        <v>79</v>
      </c>
      <c r="D59" s="21">
        <v>4</v>
      </c>
      <c r="F59" s="100"/>
      <c r="G59" s="18" t="s">
        <v>79</v>
      </c>
      <c r="H59" s="21">
        <v>4</v>
      </c>
    </row>
    <row r="60" spans="2:8" hidden="1" x14ac:dyDescent="0.25">
      <c r="B60" s="98" t="s">
        <v>27</v>
      </c>
      <c r="C60" s="18" t="s">
        <v>80</v>
      </c>
      <c r="D60" s="21">
        <v>0</v>
      </c>
      <c r="F60" s="98" t="s">
        <v>27</v>
      </c>
      <c r="G60" s="18" t="s">
        <v>80</v>
      </c>
      <c r="H60" s="21">
        <v>0</v>
      </c>
    </row>
    <row r="61" spans="2:8" hidden="1" x14ac:dyDescent="0.25">
      <c r="B61" s="99"/>
      <c r="C61" s="18" t="s">
        <v>48</v>
      </c>
      <c r="D61" s="21">
        <v>3</v>
      </c>
      <c r="F61" s="99"/>
      <c r="G61" s="18" t="s">
        <v>48</v>
      </c>
      <c r="H61" s="21">
        <v>6</v>
      </c>
    </row>
    <row r="62" spans="2:8" hidden="1" x14ac:dyDescent="0.25">
      <c r="B62" s="100"/>
      <c r="C62" s="18" t="s">
        <v>81</v>
      </c>
      <c r="D62" s="21">
        <v>5</v>
      </c>
      <c r="F62" s="100"/>
      <c r="G62" s="18" t="s">
        <v>81</v>
      </c>
      <c r="H62" s="21">
        <v>10</v>
      </c>
    </row>
    <row r="63" spans="2:8" hidden="1" x14ac:dyDescent="0.25">
      <c r="B63" s="98" t="s">
        <v>62</v>
      </c>
      <c r="C63" s="18" t="s">
        <v>33</v>
      </c>
      <c r="D63" s="21">
        <v>0</v>
      </c>
      <c r="F63" s="98" t="s">
        <v>62</v>
      </c>
      <c r="G63" s="18" t="s">
        <v>33</v>
      </c>
      <c r="H63" s="21">
        <v>0</v>
      </c>
    </row>
    <row r="64" spans="2:8" hidden="1" x14ac:dyDescent="0.25">
      <c r="B64" s="99"/>
      <c r="C64" s="18" t="s">
        <v>82</v>
      </c>
      <c r="D64" s="21">
        <v>0.5</v>
      </c>
      <c r="F64" s="99"/>
      <c r="G64" s="18" t="s">
        <v>82</v>
      </c>
      <c r="H64" s="21">
        <v>0.5</v>
      </c>
    </row>
    <row r="65" spans="2:8" hidden="1" x14ac:dyDescent="0.25">
      <c r="B65" s="99"/>
      <c r="C65" s="18" t="s">
        <v>83</v>
      </c>
      <c r="D65" s="21">
        <v>1</v>
      </c>
      <c r="F65" s="99"/>
      <c r="G65" s="18" t="s">
        <v>83</v>
      </c>
      <c r="H65" s="21">
        <v>1</v>
      </c>
    </row>
    <row r="66" spans="2:8" hidden="1" x14ac:dyDescent="0.25">
      <c r="B66" s="99"/>
      <c r="C66" s="18" t="s">
        <v>84</v>
      </c>
      <c r="D66" s="21">
        <v>1.5</v>
      </c>
      <c r="F66" s="99"/>
      <c r="G66" s="18" t="s">
        <v>84</v>
      </c>
      <c r="H66" s="21">
        <v>1.5</v>
      </c>
    </row>
    <row r="67" spans="2:8" hidden="1" x14ac:dyDescent="0.25">
      <c r="B67" s="99"/>
      <c r="C67" s="18" t="s">
        <v>85</v>
      </c>
      <c r="D67" s="21">
        <v>2</v>
      </c>
      <c r="F67" s="99"/>
      <c r="G67" s="18" t="s">
        <v>85</v>
      </c>
      <c r="H67" s="21">
        <v>2</v>
      </c>
    </row>
    <row r="68" spans="2:8" hidden="1" x14ac:dyDescent="0.25">
      <c r="B68" s="100"/>
      <c r="C68" s="18" t="s">
        <v>92</v>
      </c>
      <c r="D68" s="21">
        <v>4</v>
      </c>
      <c r="F68" s="100"/>
      <c r="G68" s="18" t="s">
        <v>92</v>
      </c>
      <c r="H68" s="21">
        <v>4</v>
      </c>
    </row>
    <row r="69" spans="2:8" hidden="1" x14ac:dyDescent="0.25">
      <c r="B69" s="98" t="s">
        <v>63</v>
      </c>
      <c r="C69" s="18" t="s">
        <v>34</v>
      </c>
      <c r="D69" s="21">
        <v>0</v>
      </c>
      <c r="F69" s="98" t="s">
        <v>63</v>
      </c>
      <c r="G69" s="18" t="s">
        <v>34</v>
      </c>
      <c r="H69" s="21">
        <v>0</v>
      </c>
    </row>
    <row r="70" spans="2:8" hidden="1" x14ac:dyDescent="0.25">
      <c r="B70" s="99"/>
      <c r="C70" s="18" t="s">
        <v>88</v>
      </c>
      <c r="D70" s="21">
        <v>0.5</v>
      </c>
      <c r="F70" s="99"/>
      <c r="G70" s="18" t="s">
        <v>93</v>
      </c>
      <c r="H70" s="21">
        <v>1</v>
      </c>
    </row>
    <row r="71" spans="2:8" hidden="1" x14ac:dyDescent="0.25">
      <c r="B71" s="99"/>
      <c r="C71" s="18" t="s">
        <v>89</v>
      </c>
      <c r="D71" s="21">
        <v>0.75</v>
      </c>
      <c r="F71" s="99"/>
      <c r="G71" s="18" t="s">
        <v>94</v>
      </c>
      <c r="H71" s="21">
        <v>2</v>
      </c>
    </row>
    <row r="72" spans="2:8" hidden="1" x14ac:dyDescent="0.25">
      <c r="B72" s="100"/>
      <c r="C72" s="18" t="s">
        <v>91</v>
      </c>
      <c r="D72" s="21">
        <v>1</v>
      </c>
      <c r="F72" s="99"/>
      <c r="G72" s="18" t="s">
        <v>86</v>
      </c>
      <c r="H72" s="21">
        <v>3</v>
      </c>
    </row>
    <row r="73" spans="2:8" hidden="1" x14ac:dyDescent="0.25">
      <c r="F73" s="99"/>
      <c r="G73" s="18" t="s">
        <v>87</v>
      </c>
      <c r="H73" s="21">
        <v>4</v>
      </c>
    </row>
    <row r="74" spans="2:8" hidden="1" x14ac:dyDescent="0.25">
      <c r="F74" s="100"/>
      <c r="G74" s="18" t="s">
        <v>95</v>
      </c>
      <c r="H74" s="21">
        <v>5</v>
      </c>
    </row>
  </sheetData>
  <mergeCells count="22">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 ref="F35:H35"/>
    <mergeCell ref="B49:B51"/>
    <mergeCell ref="B52:B53"/>
    <mergeCell ref="B54:B55"/>
    <mergeCell ref="B56:B59"/>
    <mergeCell ref="B35:D35"/>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x14ac:dyDescent="0.25">
      <c r="A23" s="9" t="s">
        <v>105</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c r="C29" s="25"/>
    </row>
    <row r="30" spans="1:3" ht="15" hidden="1" x14ac:dyDescent="0.25">
      <c r="A30" s="9" t="s">
        <v>106</v>
      </c>
      <c r="C30" s="24"/>
    </row>
    <row r="31" spans="1:3" ht="15" hidden="1" x14ac:dyDescent="0.25">
      <c r="B31" t="s">
        <v>64</v>
      </c>
      <c r="C31" s="22" t="s">
        <v>26</v>
      </c>
    </row>
    <row r="32" spans="1:3" ht="15" hidden="1" x14ac:dyDescent="0.25">
      <c r="B32" t="s">
        <v>65</v>
      </c>
      <c r="C32" s="22">
        <v>60</v>
      </c>
    </row>
    <row r="33" spans="1:6" ht="15" hidden="1" x14ac:dyDescent="0.25">
      <c r="B33" t="s">
        <v>66</v>
      </c>
      <c r="C33" s="23">
        <v>39448</v>
      </c>
    </row>
    <row r="34" spans="1:6" ht="15" hidden="1" x14ac:dyDescent="0.25">
      <c r="B34" t="s">
        <v>67</v>
      </c>
      <c r="C34" s="29">
        <v>0.25</v>
      </c>
    </row>
    <row r="35" spans="1:6" ht="15" hidden="1" x14ac:dyDescent="0.25">
      <c r="B35" t="s">
        <v>68</v>
      </c>
      <c r="C35" s="29">
        <v>1</v>
      </c>
    </row>
    <row r="36" spans="1:6" ht="15" hidden="1" x14ac:dyDescent="0.25"/>
    <row r="37" spans="1:6" ht="15" hidden="1" x14ac:dyDescent="0.25">
      <c r="A37" s="9" t="s">
        <v>249</v>
      </c>
    </row>
    <row r="38" spans="1:6" ht="14.45" hidden="1" customHeight="1" x14ac:dyDescent="0.25">
      <c r="B38" s="114" t="s">
        <v>250</v>
      </c>
      <c r="C38" s="116" t="s">
        <v>251</v>
      </c>
      <c r="D38" s="110" t="s">
        <v>255</v>
      </c>
      <c r="E38" s="108" t="s">
        <v>256</v>
      </c>
      <c r="F38" s="47"/>
    </row>
    <row r="39" spans="1:6" ht="15" hidden="1" x14ac:dyDescent="0.25">
      <c r="B39" s="115"/>
      <c r="C39" s="117"/>
      <c r="D39" s="111"/>
      <c r="E39" s="109"/>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14" t="s">
        <v>253</v>
      </c>
      <c r="C49" s="116" t="s">
        <v>254</v>
      </c>
      <c r="D49" s="110" t="s">
        <v>255</v>
      </c>
      <c r="E49" s="112" t="s">
        <v>256</v>
      </c>
    </row>
    <row r="50" spans="1:5" ht="15" hidden="1" x14ac:dyDescent="0.25">
      <c r="B50" s="115"/>
      <c r="C50" s="117"/>
      <c r="D50" s="111"/>
      <c r="E50" s="113"/>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D18" sqref="D18"/>
    </sheetView>
  </sheetViews>
  <sheetFormatPr defaultColWidth="0" defaultRowHeight="15" zeroHeight="1" x14ac:dyDescent="0.25"/>
  <cols>
    <col min="1" max="1" width="6.28515625" customWidth="1"/>
    <col min="2" max="2" width="16.71093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351</v>
      </c>
      <c r="F1" s="9" t="s">
        <v>355</v>
      </c>
    </row>
    <row r="2" spans="1:14" x14ac:dyDescent="0.25">
      <c r="B2" t="s">
        <v>352</v>
      </c>
      <c r="C2" s="29">
        <v>0.2</v>
      </c>
      <c r="G2" s="9" t="s">
        <v>356</v>
      </c>
    </row>
    <row r="3" spans="1:14" x14ac:dyDescent="0.25">
      <c r="B3" t="s">
        <v>353</v>
      </c>
      <c r="C3" s="29">
        <v>0.3</v>
      </c>
      <c r="G3" s="80"/>
      <c r="H3" s="80"/>
      <c r="I3" s="80"/>
      <c r="J3" s="80"/>
      <c r="K3" s="80"/>
      <c r="L3" s="80"/>
      <c r="M3" s="80"/>
      <c r="N3" s="80"/>
    </row>
    <row r="4" spans="1:14" x14ac:dyDescent="0.25">
      <c r="B4" t="s">
        <v>354</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341</v>
      </c>
      <c r="D6" s="83" t="s">
        <v>342</v>
      </c>
      <c r="E6" s="83" t="s">
        <v>343</v>
      </c>
      <c r="G6" s="80"/>
      <c r="H6" s="80"/>
      <c r="I6" s="80"/>
      <c r="J6" s="80"/>
      <c r="K6" s="80"/>
      <c r="L6" s="80"/>
      <c r="M6" s="80"/>
      <c r="N6" s="80"/>
    </row>
    <row r="7" spans="1:14" x14ac:dyDescent="0.25">
      <c r="B7" t="s">
        <v>366</v>
      </c>
      <c r="C7" s="25">
        <f>D7-$C$2*D7</f>
        <v>0</v>
      </c>
      <c r="D7" s="25">
        <f>IFERROR(AVERAGE(tbl_prod_oil[Oil Price (USD/BBL)]),0)</f>
        <v>0</v>
      </c>
      <c r="E7" s="25">
        <f>D7+$C$3*D7</f>
        <v>0</v>
      </c>
      <c r="G7" s="80"/>
      <c r="H7" s="80"/>
      <c r="I7" s="80"/>
      <c r="J7" s="80"/>
      <c r="K7" s="80"/>
      <c r="L7" s="80"/>
      <c r="M7" s="80"/>
      <c r="N7" s="80"/>
    </row>
    <row r="8" spans="1:14" x14ac:dyDescent="0.25">
      <c r="B8" t="s">
        <v>367</v>
      </c>
      <c r="C8" s="25">
        <f t="shared" ref="C8:C11" si="0">D8-$C$2*D8</f>
        <v>0</v>
      </c>
      <c r="D8" s="25">
        <f>IFERROR(AVERAGE(tbl_prod_gas[GSA 1 Price (USD/MMBTU)]),0)</f>
        <v>0</v>
      </c>
      <c r="E8" s="25">
        <f t="shared" ref="E8:E11" si="1">D8+$C$3*D8</f>
        <v>0</v>
      </c>
      <c r="G8" s="80"/>
      <c r="H8" s="80"/>
      <c r="I8" s="80"/>
      <c r="J8" s="80"/>
      <c r="K8" s="80"/>
      <c r="L8" s="80"/>
      <c r="M8" s="80"/>
      <c r="N8" s="80"/>
    </row>
    <row r="9" spans="1:14" x14ac:dyDescent="0.25">
      <c r="B9" t="s">
        <v>230</v>
      </c>
      <c r="C9" s="25">
        <f t="shared" si="0"/>
        <v>0</v>
      </c>
      <c r="D9" s="25">
        <f>SUM(tbl_cost_opex[Fixed Cost (MUSD)])</f>
        <v>0</v>
      </c>
      <c r="E9" s="25">
        <f t="shared" si="1"/>
        <v>0</v>
      </c>
      <c r="G9" s="80"/>
      <c r="H9" s="80"/>
      <c r="I9" s="80"/>
      <c r="J9" s="80"/>
      <c r="K9" s="80"/>
      <c r="L9" s="80"/>
      <c r="M9" s="80"/>
      <c r="N9" s="80"/>
    </row>
    <row r="10" spans="1:14" x14ac:dyDescent="0.25">
      <c r="B10" t="s">
        <v>259</v>
      </c>
      <c r="C10" s="25">
        <f t="shared" si="0"/>
        <v>0</v>
      </c>
      <c r="D10" s="25">
        <f>SUM(tbl_cost_tangible[Cost (MUSD)])</f>
        <v>0</v>
      </c>
      <c r="E10" s="25">
        <f t="shared" si="1"/>
        <v>0</v>
      </c>
      <c r="G10" s="80"/>
      <c r="H10" s="80"/>
      <c r="I10" s="80"/>
      <c r="J10" s="80"/>
      <c r="K10" s="80"/>
      <c r="L10" s="80"/>
      <c r="M10" s="80"/>
      <c r="N10" s="80"/>
    </row>
    <row r="11" spans="1:14" x14ac:dyDescent="0.25">
      <c r="B11" t="s">
        <v>368</v>
      </c>
      <c r="C11" s="25">
        <f t="shared" si="0"/>
        <v>0</v>
      </c>
      <c r="D11" s="25">
        <f>SUM(tbl_prod_oil[Oil Sales (MMBOPY)]) + SUM(tbl_prod_gas[Gas Production (BSCF)])</f>
        <v>0</v>
      </c>
      <c r="E11" s="25">
        <f t="shared" si="1"/>
        <v>0</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346</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357</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331</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310</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8</vt:i4>
      </vt:variant>
    </vt:vector>
  </HeadingPairs>
  <TitlesOfParts>
    <vt:vector size="34" baseType="lpstr">
      <vt:lpstr>Cover</vt:lpstr>
      <vt:lpstr>UserGuide</vt:lpstr>
      <vt:lpstr>Summary</vt:lpstr>
      <vt:lpstr>General Config</vt:lpstr>
      <vt:lpstr>Optimization</vt:lpstr>
      <vt:lpstr>Monte Carlo</vt:lpstr>
      <vt:lpstr>Uncertainity</vt:lpstr>
      <vt:lpstr>Result Table GS</vt:lpstr>
      <vt:lpstr>Result Table CR</vt:lpstr>
      <vt:lpstr>Fiscal Config</vt:lpstr>
      <vt:lpstr>Prod Oil</vt:lpstr>
      <vt:lpstr>Prod Gas</vt:lpstr>
      <vt:lpstr>Prod LPG Propane</vt:lpstr>
      <vt:lpstr>Prod LPG Butane</vt:lpstr>
      <vt:lpstr>Prod CO2</vt:lpstr>
      <vt:lpstr>Prod Sulfur</vt:lpstr>
      <vt:lpstr>Prod Electricity</vt:lpstr>
      <vt:lpstr>Cost Tangible</vt:lpstr>
      <vt:lpstr>Cost Intangible</vt:lpstr>
      <vt:lpstr>Cost OPEX</vt:lpstr>
      <vt:lpstr>Cost ASR</vt:lpstr>
      <vt:lpstr>Gross Split Config (2)</vt:lpstr>
      <vt:lpstr>Cost Recovery Config</vt:lpstr>
      <vt:lpstr>Gross Split Config</vt:lpstr>
      <vt:lpstr>Cost Recovery Config (2)</vt:lpstr>
      <vt:lpstr>Sensitivity</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2023-11-23T12:13:55Z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