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3.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4.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5.xml" ContentType="application/vnd.openxmlformats-officedocument.drawing+xml"/>
  <Override PartName="/xl/ctrlProps/ctrlProp34.xml" ContentType="application/vnd.ms-excel.controlproperties+xml"/>
  <Override PartName="/xl/drawings/drawing6.xml" ContentType="application/vnd.openxmlformats-officedocument.drawing+xml"/>
  <Override PartName="/xl/ctrlProps/ctrlProp3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B6AEFA24-00AD-4CF2-AE96-E18F009619AF}" xr6:coauthVersionLast="47" xr6:coauthVersionMax="47" xr10:uidLastSave="{00000000-0000-0000-0000-000000000000}"/>
  <bookViews>
    <workbookView xWindow="28695" yWindow="0" windowWidth="19410" windowHeight="15585" tabRatio="912" firstSheet="7" activeTab="7" xr2:uid="{F41B6BF2-4712-40A6-B007-CDDECCED21AA}"/>
  </bookViews>
  <sheets>
    <sheet name="Cover" sheetId="19" state="hidden" r:id="rId1"/>
    <sheet name="UserGuide" sheetId="8" state="hidden" r:id="rId2"/>
    <sheet name="Summary" sheetId="18" state="hidden" r:id="rId3"/>
    <sheet name="General Config" sheetId="4" state="hidden" r:id="rId4"/>
    <sheet name="Sensitivity" sheetId="376" state="hidden" r:id="rId5"/>
    <sheet name="Optimization" sheetId="375" state="hidden" r:id="rId6"/>
    <sheet name="Monte Carlo" sheetId="378" state="hidden" r:id="rId7"/>
    <sheet name="Uncertainity" sheetId="377" r:id="rId8"/>
    <sheet name="Result Table GS" sheetId="347" state="hidden" r:id="rId9"/>
    <sheet name="Result Table CR" sheetId="346" state="hidden" r:id="rId10"/>
    <sheet name="Fiscal Config" sheetId="345" state="hidden" r:id="rId11"/>
    <sheet name="Prod Oil" sheetId="54" state="hidden" r:id="rId12"/>
    <sheet name="Prod Gas" sheetId="5" state="hidden" r:id="rId13"/>
    <sheet name="Cost Recovery Config" sheetId="16" state="hidden" r:id="rId14"/>
    <sheet name="Cost Recovery Config (2)" sheetId="343" state="hidden" r:id="rId15"/>
    <sheet name="Gross Split Config" sheetId="15" state="hidden" r:id="rId16"/>
    <sheet name="Prod LPG Propane" sheetId="6" state="hidden" r:id="rId17"/>
    <sheet name="Prod LPG Butane" sheetId="7" state="hidden" r:id="rId18"/>
    <sheet name="Prod CO2" sheetId="10" state="hidden" r:id="rId19"/>
    <sheet name="Prod Sulfur" sheetId="9" state="hidden" r:id="rId20"/>
    <sheet name="Prod Electricity" sheetId="353" state="hidden" r:id="rId21"/>
    <sheet name="Cost Tangible" sheetId="72" state="hidden" r:id="rId22"/>
    <sheet name="Cost Intangible" sheetId="73" state="hidden" r:id="rId23"/>
    <sheet name="Cost OPEX" sheetId="74" state="hidden" r:id="rId24"/>
    <sheet name="Cost ASR" sheetId="75" state="hidden" r:id="rId25"/>
    <sheet name="Gross Split Config (2)" sheetId="103" state="hidden" r:id="rId26"/>
  </sheets>
  <functionGroups builtInGroupCount="19"/>
  <externalReferences>
    <externalReference r:id="rId27"/>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8" i="375" l="1"/>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17" i="8" l="1"/>
</calcChain>
</file>

<file path=xl/sharedStrings.xml><?xml version="1.0" encoding="utf-8"?>
<sst xmlns="http://schemas.openxmlformats.org/spreadsheetml/2006/main" count="907" uniqueCount="387">
  <si>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</si>
  <si>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</si>
  <si>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</si>
  <si>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</si>
  <si>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</si>
  <si>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</si>
  <si>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</si>
  <si>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</si>
  <si>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</si>
  <si>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</si>
  <si>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</si>
  <si>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</si>
  <si>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</si>
  <si>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</si>
  <si>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</si>
  <si>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</si>
  <si>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</si>
  <si>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</si>
  <si>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</si>
  <si>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</si>
  <si>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</si>
  <si>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</si>
  <si>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</si>
  <si>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</si>
  <si>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</si>
  <si>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</si>
  <si>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</si>
  <si>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</si>
  <si>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</si>
  <si>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</si>
  <si>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</si>
  <si>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</si>
  <si>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</si>
  <si>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</si>
  <si>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</si>
  <si>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</si>
  <si>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</si>
  <si>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</si>
  <si>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</si>
  <si>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</si>
  <si>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</si>
  <si>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</si>
  <si>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</si>
  <si>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</si>
  <si>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</si>
  <si>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</si>
  <si>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</si>
  <si>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</si>
  <si>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</si>
  <si>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</si>
  <si>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</si>
  <si>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</si>
  <si>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</si>
  <si>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</si>
  <si>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</si>
  <si>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</si>
  <si>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</si>
  <si>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</si>
  <si>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</si>
  <si>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</si>
  <si>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</si>
  <si>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</si>
  <si>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</si>
  <si>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</si>
  <si>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</si>
  <si>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</si>
  <si>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</si>
  <si>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</si>
  <si>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</si>
  <si>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</si>
  <si>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</si>
  <si>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</si>
  <si>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</si>
  <si>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</si>
  <si>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</si>
  <si>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</si>
  <si>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</si>
  <si>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</si>
  <si>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</si>
  <si>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</si>
  <si>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</si>
  <si>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</si>
  <si>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</si>
  <si>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</si>
  <si>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</si>
  <si>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</si>
  <si>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</si>
  <si>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</si>
  <si>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</si>
  <si>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</si>
  <si>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</si>
  <si>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</si>
  <si>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</si>
  <si>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</si>
  <si>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</si>
  <si>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</si>
  <si>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</si>
  <si>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</si>
  <si>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</si>
  <si>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</si>
  <si>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</si>
  <si>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</si>
  <si>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</si>
  <si>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</si>
  <si>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</si>
  <si>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</si>
  <si>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</si>
  <si>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</si>
  <si>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</si>
  <si>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</si>
  <si>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</si>
  <si>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</si>
  <si>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</si>
  <si>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</si>
  <si>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</si>
  <si>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</si>
  <si>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</si>
  <si>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</si>
  <si>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</si>
  <si>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</si>
  <si>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</si>
  <si>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</si>
  <si>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</si>
  <si>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</si>
  <si>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</si>
  <si>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</si>
  <si>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</si>
  <si>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</si>
  <si>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</si>
  <si>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</si>
  <si>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</si>
  <si>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</si>
  <si>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</si>
  <si>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</si>
  <si>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</si>
  <si>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</si>
  <si>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</si>
  <si>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</si>
  <si>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</si>
  <si>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</si>
  <si>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</si>
  <si>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</si>
  <si>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</si>
  <si>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</si>
  <si>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</si>
  <si>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</si>
  <si>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</si>
  <si>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</si>
  <si>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</si>
  <si>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</si>
  <si>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</si>
  <si>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</si>
  <si>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</si>
  <si>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</si>
  <si>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</si>
  <si>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</si>
  <si>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</si>
  <si>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</si>
  <si>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</si>
  <si>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</si>
  <si>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</si>
  <si>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</si>
  <si>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</si>
  <si>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</si>
  <si>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</si>
  <si>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</si>
  <si>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</si>
  <si>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</si>
  <si>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</si>
  <si>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</si>
  <si>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</si>
  <si>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</si>
  <si>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</si>
  <si>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</si>
  <si>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</si>
  <si>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</si>
  <si>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</si>
  <si>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</si>
  <si>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</si>
  <si>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</si>
  <si>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</si>
  <si>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</si>
  <si>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</si>
  <si>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</si>
  <si>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</si>
  <si>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</si>
  <si>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</si>
  <si>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</si>
  <si>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</si>
  <si>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</si>
  <si>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</si>
  <si>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</si>
  <si>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</si>
  <si>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</si>
  <si>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</si>
  <si>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</si>
  <si>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</si>
  <si>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</si>
  <si>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</si>
  <si>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</si>
  <si>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</si>
  <si>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</si>
  <si>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</si>
  <si>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</si>
  <si>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</si>
  <si>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</si>
  <si>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</si>
  <si>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</si>
  <si>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</si>
  <si>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</si>
  <si>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</si>
  <si>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</si>
  <si>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</si>
  <si>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</si>
  <si>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</si>
  <si>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</si>
  <si>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</si>
  <si>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</si>
  <si>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</si>
  <si>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</si>
  <si>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</si>
  <si>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</si>
  <si>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</si>
  <si>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</si>
  <si>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</si>
  <si>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</si>
  <si>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</si>
  <si>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</si>
  <si>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</si>
  <si>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</si>
  <si>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</si>
  <si>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</si>
  <si>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</si>
  <si>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</si>
  <si>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</si>
  <si>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</si>
  <si>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</si>
  <si>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</si>
  <si>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</si>
  <si>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</si>
  <si>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</si>
  <si>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</si>
  <si>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</si>
  <si>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</si>
  <si>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</si>
  <si>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</si>
  <si>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</si>
  <si>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</si>
  <si>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</si>
  <si>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</si>
  <si>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</si>
  <si>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</si>
  <si>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</si>
  <si>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</si>
  <si>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</si>
  <si>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</si>
  <si>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</si>
  <si>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</si>
  <si>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</si>
  <si>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</si>
  <si>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</si>
  <si>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</si>
  <si>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</si>
  <si>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</si>
  <si>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</si>
  <si>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</si>
  <si>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</si>
  <si>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</si>
  <si>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</si>
  <si>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</si>
  <si>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</si>
  <si>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</si>
  <si>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</si>
  <si>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</si>
  <si>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</si>
  <si>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</si>
  <si>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</si>
  <si>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</si>
  <si>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</si>
  <si>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</si>
  <si>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</si>
  <si>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</si>
  <si>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</si>
  <si>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</si>
  <si>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</si>
  <si>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</si>
  <si>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</si>
  <si>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</si>
  <si>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</si>
  <si>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</si>
  <si>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</si>
  <si>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</si>
  <si>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</si>
  <si>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</si>
  <si>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</si>
  <si>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</si>
  <si>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</si>
  <si>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</si>
  <si>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</si>
  <si>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</si>
  <si>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</si>
  <si>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</si>
  <si>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</si>
  <si>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</si>
  <si>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</si>
  <si>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</si>
  <si>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</si>
  <si>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</si>
  <si>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</si>
  <si>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</si>
  <si>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</si>
  <si>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</si>
  <si>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</si>
  <si>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</si>
  <si>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</si>
  <si>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</si>
  <si>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</si>
  <si>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</si>
  <si>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</si>
  <si>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</si>
  <si>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</si>
  <si>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</si>
  <si>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</si>
  <si>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</si>
  <si>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</si>
  <si>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</si>
  <si>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</si>
  <si>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</si>
  <si>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</si>
  <si>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</si>
  <si>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</si>
  <si>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</si>
  <si>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</si>
  <si>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</si>
  <si>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</si>
  <si>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</si>
  <si>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</si>
  <si>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</si>
  <si>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</si>
  <si>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</si>
  <si>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</si>
  <si>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</si>
  <si>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</si>
  <si>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</si>
  <si>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</si>
  <si>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</si>
  <si>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</si>
  <si>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</si>
  <si>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</si>
  <si>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</si>
  <si>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</si>
  <si>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</si>
  <si>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</si>
  <si>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</si>
  <si>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</si>
  <si>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</si>
  <si>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</si>
  <si>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</si>
  <si>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</si>
  <si>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</si>
  <si>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</si>
  <si>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</si>
  <si>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</si>
  <si>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</si>
  <si>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</si>
  <si>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</si>
  <si>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</si>
  <si>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</si>
  <si>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</si>
  <si>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</si>
  <si>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</si>
  <si>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</si>
  <si>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</si>
  <si>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</si>
  <si>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</si>
  <si>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PySCnomics</t>
  </si>
  <si>
    <t>Please Design The Monte Carlo here  !!!!</t>
  </si>
  <si>
    <t>Inflation Configuration</t>
  </si>
  <si>
    <t>Inflation Rate</t>
  </si>
  <si>
    <t>Inflation Rate Mode</t>
  </si>
  <si>
    <t>Discounting Mode</t>
  </si>
  <si>
    <t>End Year</t>
  </si>
  <si>
    <t>SKK Full Cycle Nominal Terms</t>
  </si>
  <si>
    <t>User Input - Multi Value</t>
  </si>
  <si>
    <t>Uniform</t>
  </si>
  <si>
    <t>Triangular</t>
  </si>
  <si>
    <t>PSC Cost Recovery (CR)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</si>
</sst>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
      <b/>
      <sz val="11"/>
      <color rgb="FFFF0000"/>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8">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25" fillId="0" borderId="0" xfId="0" applyFont="1"/>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xf numFmtId="0" fontId="3" fillId="0" borderId="4" xfId="0" applyFont="1" applyBorder="1" applyAlignment="1">
      <alignment horizontal="center"/>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3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2"/>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checked="Checked"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checked="Checked" noThreeD="1"/>
</file>

<file path=xl/ctrlProps/ctrlProp32.xml><?xml version="1.0" encoding="utf-8"?>
<formControlPr xmlns="http://schemas.microsoft.com/office/spreadsheetml/2009/9/main" objectType="Spin" dx="26" fmlaLink="'Fiscal Config'!$C$2" max="4" min="1" page="10" val="3"/>
</file>

<file path=xl/ctrlProps/ctrlProp33.xml><?xml version="1.0" encoding="utf-8"?>
<formControlPr xmlns="http://schemas.microsoft.com/office/spreadsheetml/2009/9/main" objectType="Spin" dx="26" fmlaLink="$C$29" max="2" min="1" page="10" val="0"/>
</file>

<file path=xl/ctrlProps/ctrlProp34.xml><?xml version="1.0" encoding="utf-8"?>
<formControlPr xmlns="http://schemas.microsoft.com/office/spreadsheetml/2009/9/main" objectType="Spin" dx="26" fmlaLink="$C$7" max="3" min="1" page="10" val="3"/>
</file>

<file path=xl/ctrlProps/ctrlProp35.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19050</xdr:rowOff>
        </xdr:from>
        <xdr:to>
          <xdr:col>2</xdr:col>
          <xdr:colOff>514350</xdr:colOff>
          <xdr:row>15</xdr:row>
          <xdr:rowOff>171450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171450</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438150</xdr:colOff>
          <xdr:row>5</xdr:row>
          <xdr:rowOff>19050</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05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171450</xdr:rowOff>
        </xdr:from>
        <xdr:to>
          <xdr:col>3</xdr:col>
          <xdr:colOff>438150</xdr:colOff>
          <xdr:row>6</xdr:row>
          <xdr:rowOff>19050</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05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171450</xdr:rowOff>
        </xdr:from>
        <xdr:to>
          <xdr:col>3</xdr:col>
          <xdr:colOff>438150</xdr:colOff>
          <xdr:row>7</xdr:row>
          <xdr:rowOff>19050</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05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171450</xdr:rowOff>
        </xdr:from>
        <xdr:to>
          <xdr:col>3</xdr:col>
          <xdr:colOff>438150</xdr:colOff>
          <xdr:row>8</xdr:row>
          <xdr:rowOff>19050</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05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171450</xdr:rowOff>
        </xdr:from>
        <xdr:to>
          <xdr:col>3</xdr:col>
          <xdr:colOff>438150</xdr:colOff>
          <xdr:row>9</xdr:row>
          <xdr:rowOff>19050</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05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171450</xdr:rowOff>
        </xdr:from>
        <xdr:to>
          <xdr:col>3</xdr:col>
          <xdr:colOff>438150</xdr:colOff>
          <xdr:row>10</xdr:row>
          <xdr:rowOff>19050</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05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171450</xdr:rowOff>
        </xdr:from>
        <xdr:to>
          <xdr:col>3</xdr:col>
          <xdr:colOff>438150</xdr:colOff>
          <xdr:row>11</xdr:row>
          <xdr:rowOff>19050</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05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171450</xdr:rowOff>
        </xdr:from>
        <xdr:to>
          <xdr:col>3</xdr:col>
          <xdr:colOff>438150</xdr:colOff>
          <xdr:row>12</xdr:row>
          <xdr:rowOff>19050</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05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171450</xdr:rowOff>
        </xdr:from>
        <xdr:to>
          <xdr:col>3</xdr:col>
          <xdr:colOff>438150</xdr:colOff>
          <xdr:row>13</xdr:row>
          <xdr:rowOff>19050</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05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05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05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438150</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05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19050</xdr:rowOff>
        </xdr:from>
        <xdr:to>
          <xdr:col>3</xdr:col>
          <xdr:colOff>438150</xdr:colOff>
          <xdr:row>19</xdr:row>
          <xdr:rowOff>161925</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05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438150</xdr:colOff>
          <xdr:row>19</xdr:row>
          <xdr:rowOff>161925</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05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19050</xdr:rowOff>
        </xdr:from>
        <xdr:to>
          <xdr:col>3</xdr:col>
          <xdr:colOff>438150</xdr:colOff>
          <xdr:row>19</xdr:row>
          <xdr:rowOff>161925</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05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A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1514475</xdr:colOff>
          <xdr:row>28</xdr:row>
          <xdr:rowOff>9525</xdr:rowOff>
        </xdr:from>
        <xdr:to>
          <xdr:col>2</xdr:col>
          <xdr:colOff>1685925</xdr:colOff>
          <xdr:row>28</xdr:row>
          <xdr:rowOff>171450</xdr:rowOff>
        </xdr:to>
        <xdr:sp macro="" textlink="">
          <xdr:nvSpPr>
            <xdr:cNvPr id="303109" name="Spinner 5" hidden="1">
              <a:extLst>
                <a:ext uri="{63B3BB69-23CF-44E3-9099-C40C66FF867C}">
                  <a14:compatExt spid="_x0000_s303109"/>
                </a:ext>
                <a:ext uri="{FF2B5EF4-FFF2-40B4-BE49-F238E27FC236}">
                  <a16:creationId xmlns:a16="http://schemas.microsoft.com/office/drawing/2014/main" id="{00000000-0008-0000-0A00-000005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D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0E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2.xml"/><Relationship Id="rId13" Type="http://schemas.openxmlformats.org/officeDocument/2006/relationships/ctrlProp" Target="../ctrlProps/ctrlProp27.xml"/><Relationship Id="rId3" Type="http://schemas.openxmlformats.org/officeDocument/2006/relationships/ctrlProp" Target="../ctrlProps/ctrlProp17.xml"/><Relationship Id="rId7" Type="http://schemas.openxmlformats.org/officeDocument/2006/relationships/ctrlProp" Target="../ctrlProps/ctrlProp21.xml"/><Relationship Id="rId12" Type="http://schemas.openxmlformats.org/officeDocument/2006/relationships/ctrlProp" Target="../ctrlProps/ctrlProp26.xml"/><Relationship Id="rId17" Type="http://schemas.openxmlformats.org/officeDocument/2006/relationships/ctrlProp" Target="../ctrlProps/ctrlProp31.xml"/><Relationship Id="rId2" Type="http://schemas.openxmlformats.org/officeDocument/2006/relationships/vmlDrawing" Target="../drawings/vmlDrawing2.vml"/><Relationship Id="rId16" Type="http://schemas.openxmlformats.org/officeDocument/2006/relationships/ctrlProp" Target="../ctrlProps/ctrlProp30.xml"/><Relationship Id="rId1" Type="http://schemas.openxmlformats.org/officeDocument/2006/relationships/drawing" Target="../drawings/drawing3.xml"/><Relationship Id="rId6" Type="http://schemas.openxmlformats.org/officeDocument/2006/relationships/ctrlProp" Target="../ctrlProps/ctrlProp20.xml"/><Relationship Id="rId11" Type="http://schemas.openxmlformats.org/officeDocument/2006/relationships/ctrlProp" Target="../ctrlProps/ctrlProp25.xml"/><Relationship Id="rId5" Type="http://schemas.openxmlformats.org/officeDocument/2006/relationships/ctrlProp" Target="../ctrlProps/ctrlProp19.xml"/><Relationship Id="rId15" Type="http://schemas.openxmlformats.org/officeDocument/2006/relationships/ctrlProp" Target="../ctrlProps/ctrlProp29.xml"/><Relationship Id="rId10" Type="http://schemas.openxmlformats.org/officeDocument/2006/relationships/ctrlProp" Target="../ctrlProps/ctrlProp24.xml"/><Relationship Id="rId4" Type="http://schemas.openxmlformats.org/officeDocument/2006/relationships/ctrlProp" Target="../ctrlProps/ctrlProp18.xml"/><Relationship Id="rId9" Type="http://schemas.openxmlformats.org/officeDocument/2006/relationships/ctrlProp" Target="../ctrlProps/ctrlProp23.xml"/><Relationship Id="rId14"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3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Normal="100" workbookViewId="0">
      <selection activeCell="M17" sqref="M17"/>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5" t="s">
        <v>375</v>
      </c>
      <c r="F9" s="85"/>
      <c r="G9" s="85"/>
      <c r="H9" s="85"/>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181</v>
      </c>
    </row>
    <row r="3" spans="1:19" ht="4.1500000000000004" customHeight="1" x14ac:dyDescent="0.25"/>
    <row r="4" spans="1:19" ht="30" customHeight="1" x14ac:dyDescent="0.25">
      <c r="B4" s="86" t="s">
        <v>182</v>
      </c>
      <c r="C4" s="86"/>
      <c r="D4" s="86"/>
      <c r="E4" s="86"/>
      <c r="F4" s="86"/>
      <c r="G4" s="86"/>
      <c r="H4" s="86"/>
      <c r="I4" s="86"/>
      <c r="J4" s="86"/>
      <c r="K4" s="86"/>
      <c r="L4" s="86"/>
      <c r="M4" s="86"/>
      <c r="N4" s="86"/>
      <c r="O4" s="86"/>
      <c r="P4" s="86"/>
      <c r="Q4" s="86"/>
      <c r="R4" s="86"/>
      <c r="S4" s="86"/>
    </row>
    <row r="5" spans="1:19" x14ac:dyDescent="0.25"/>
    <row r="6" spans="1:19" x14ac:dyDescent="0.25">
      <c r="A6" s="6" t="s">
        <v>183</v>
      </c>
    </row>
    <row r="7" spans="1:19" ht="6" customHeight="1" x14ac:dyDescent="0.25">
      <c r="A7" s="6"/>
    </row>
    <row r="8" spans="1:19" x14ac:dyDescent="0.25">
      <c r="B8" s="82"/>
      <c r="C8" s="86" t="s">
        <v>365</v>
      </c>
      <c r="D8" s="86"/>
      <c r="E8" s="86"/>
      <c r="F8" s="86"/>
      <c r="G8" s="86"/>
      <c r="H8" s="86"/>
      <c r="I8" s="86"/>
      <c r="J8" s="86"/>
      <c r="K8" s="86"/>
      <c r="L8" s="86"/>
      <c r="M8" s="86"/>
      <c r="N8" s="86"/>
      <c r="O8" s="86"/>
      <c r="P8" s="86"/>
      <c r="Q8" s="86"/>
      <c r="R8" s="86"/>
      <c r="S8" s="86"/>
    </row>
    <row r="9" spans="1:19" ht="6" customHeight="1" x14ac:dyDescent="0.25"/>
    <row r="10" spans="1:19" ht="14.45" customHeight="1" x14ac:dyDescent="0.25">
      <c r="B10" s="81"/>
      <c r="C10" s="86" t="s">
        <v>184</v>
      </c>
      <c r="D10" s="86"/>
      <c r="E10" s="86"/>
      <c r="F10" s="86"/>
      <c r="G10" s="86"/>
      <c r="H10" s="86"/>
      <c r="I10" s="86"/>
      <c r="J10" s="86"/>
      <c r="K10" s="86"/>
      <c r="L10" s="86"/>
      <c r="M10" s="86"/>
      <c r="N10" s="86"/>
      <c r="O10" s="86"/>
      <c r="P10" s="86"/>
      <c r="Q10" s="86"/>
      <c r="R10" s="86"/>
      <c r="S10" s="86"/>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1.9"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1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7.9" customHeight="1" x14ac:dyDescent="0.25"/>
    <row r="33" spans="1:2" x14ac:dyDescent="0.25">
      <c r="A33" s="9" t="s">
        <v>195</v>
      </c>
    </row>
    <row r="34" spans="1:2" x14ac:dyDescent="0.25">
      <c r="B34" t="s">
        <v>196</v>
      </c>
    </row>
    <row r="35" spans="1:2" ht="7.9"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15" customHeight="1" x14ac:dyDescent="0.25"/>
    <row r="51" spans="1:2" x14ac:dyDescent="0.25">
      <c r="A51" s="9" t="s">
        <v>209</v>
      </c>
    </row>
    <row r="52" spans="1:2" x14ac:dyDescent="0.25">
      <c r="A52" s="10"/>
      <c r="B52" t="s">
        <v>207</v>
      </c>
    </row>
    <row r="53" spans="1:2" ht="10.15" customHeight="1" x14ac:dyDescent="0.25"/>
    <row r="54" spans="1:2" x14ac:dyDescent="0.25">
      <c r="A54" s="9" t="s">
        <v>210</v>
      </c>
    </row>
    <row r="55" spans="1:2" x14ac:dyDescent="0.25">
      <c r="A55" s="10"/>
      <c r="B55" t="s">
        <v>208</v>
      </c>
    </row>
    <row r="56" spans="1:2" ht="10.1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34.28515625" customWidth="1"/>
    <col min="4" max="4" width="11.7109375" bestFit="1" customWidth="1"/>
    <col min="5" max="5" width="12.5703125" bestFit="1" customWidth="1"/>
    <col min="6" max="6" width="4.28515625" customWidth="1"/>
    <col min="7" max="16384" width="8.85546875" hidden="1"/>
  </cols>
  <sheetData>
    <row r="1" spans="2:5" x14ac:dyDescent="0.25"/>
    <row r="2" spans="2:5" x14ac:dyDescent="0.25">
      <c r="B2" s="88" t="s">
        <v>122</v>
      </c>
      <c r="C2" s="88" t="s">
        <v>213</v>
      </c>
      <c r="D2" s="88" t="s">
        <v>214</v>
      </c>
      <c r="E2" s="88" t="s">
        <v>215</v>
      </c>
    </row>
    <row r="3" spans="2:5" x14ac:dyDescent="0.25">
      <c r="B3" s="88"/>
      <c r="C3" s="88"/>
      <c r="D3" s="88"/>
      <c r="E3" s="88"/>
    </row>
    <row r="4" spans="2:5" x14ac:dyDescent="0.25">
      <c r="B4" s="88"/>
      <c r="C4" s="88"/>
      <c r="D4" s="88"/>
      <c r="E4" s="88"/>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358</v>
      </c>
      <c r="D7" s="30" t="s">
        <v>361</v>
      </c>
      <c r="E7" s="32">
        <v>0</v>
      </c>
    </row>
    <row r="8" spans="2:5" x14ac:dyDescent="0.25">
      <c r="B8" s="30">
        <v>4</v>
      </c>
      <c r="C8" s="31" t="s">
        <v>359</v>
      </c>
      <c r="D8" s="30" t="s">
        <v>360</v>
      </c>
      <c r="E8" s="32">
        <v>0</v>
      </c>
    </row>
    <row r="9" spans="2:5" x14ac:dyDescent="0.25">
      <c r="B9" s="30">
        <v>5</v>
      </c>
      <c r="C9" s="31" t="s">
        <v>220</v>
      </c>
      <c r="D9" s="30" t="s">
        <v>221</v>
      </c>
      <c r="E9" s="32">
        <v>0</v>
      </c>
    </row>
    <row r="10" spans="2:5" x14ac:dyDescent="0.25">
      <c r="B10" s="87">
        <v>6</v>
      </c>
      <c r="C10" s="31" t="s">
        <v>222</v>
      </c>
      <c r="D10" s="30" t="s">
        <v>221</v>
      </c>
      <c r="E10" s="32">
        <v>0</v>
      </c>
    </row>
    <row r="11" spans="2:5" x14ac:dyDescent="0.25">
      <c r="B11" s="87"/>
      <c r="C11" s="33" t="s">
        <v>223</v>
      </c>
      <c r="D11" s="30" t="s">
        <v>221</v>
      </c>
      <c r="E11" s="32">
        <v>0</v>
      </c>
    </row>
    <row r="12" spans="2:5" x14ac:dyDescent="0.25">
      <c r="B12" s="87"/>
      <c r="C12" s="33" t="s">
        <v>224</v>
      </c>
      <c r="D12" s="30" t="s">
        <v>221</v>
      </c>
      <c r="E12" s="32">
        <v>0</v>
      </c>
    </row>
    <row r="13" spans="2:5" x14ac:dyDescent="0.25">
      <c r="B13" s="30">
        <v>7</v>
      </c>
      <c r="C13" s="31" t="s">
        <v>225</v>
      </c>
      <c r="D13" s="30" t="s">
        <v>221</v>
      </c>
      <c r="E13" s="32">
        <v>0</v>
      </c>
    </row>
    <row r="14" spans="2:5" x14ac:dyDescent="0.25">
      <c r="B14" s="87">
        <v>8</v>
      </c>
      <c r="C14" s="31" t="s">
        <v>226</v>
      </c>
      <c r="D14" s="30" t="s">
        <v>221</v>
      </c>
      <c r="E14" s="32">
        <v>0</v>
      </c>
    </row>
    <row r="15" spans="2:5" x14ac:dyDescent="0.25">
      <c r="B15" s="87"/>
      <c r="C15" s="33" t="s">
        <v>227</v>
      </c>
      <c r="D15" s="30" t="s">
        <v>221</v>
      </c>
      <c r="E15" s="32">
        <v>0</v>
      </c>
    </row>
    <row r="16" spans="2:5" x14ac:dyDescent="0.25">
      <c r="B16" s="87"/>
      <c r="C16" s="33" t="s">
        <v>228</v>
      </c>
      <c r="D16" s="30" t="s">
        <v>221</v>
      </c>
      <c r="E16" s="32">
        <v>0</v>
      </c>
    </row>
    <row r="17" spans="2:5" x14ac:dyDescent="0.25">
      <c r="B17" s="87">
        <v>9</v>
      </c>
      <c r="C17" s="31" t="s">
        <v>229</v>
      </c>
      <c r="D17" s="30" t="s">
        <v>221</v>
      </c>
      <c r="E17" s="32">
        <v>0</v>
      </c>
    </row>
    <row r="18" spans="2:5" x14ac:dyDescent="0.25">
      <c r="B18" s="87"/>
      <c r="C18" s="33" t="s">
        <v>230</v>
      </c>
      <c r="D18" s="30" t="s">
        <v>221</v>
      </c>
      <c r="E18" s="32">
        <v>0</v>
      </c>
    </row>
    <row r="19" spans="2:5" x14ac:dyDescent="0.25">
      <c r="B19" s="87"/>
      <c r="C19" s="33" t="s">
        <v>231</v>
      </c>
      <c r="D19" s="30" t="s">
        <v>221</v>
      </c>
      <c r="E19" s="32">
        <v>0</v>
      </c>
    </row>
    <row r="20" spans="2:5" x14ac:dyDescent="0.25">
      <c r="B20" s="87">
        <v>10</v>
      </c>
      <c r="C20" s="31" t="s">
        <v>362</v>
      </c>
      <c r="D20" s="30" t="s">
        <v>221</v>
      </c>
      <c r="E20" s="32">
        <v>0</v>
      </c>
    </row>
    <row r="21" spans="2:5" x14ac:dyDescent="0.25">
      <c r="B21" s="87"/>
      <c r="C21" s="31" t="s">
        <v>233</v>
      </c>
      <c r="D21" s="30" t="s">
        <v>234</v>
      </c>
      <c r="E21" s="39">
        <v>0</v>
      </c>
    </row>
    <row r="22" spans="2:5" x14ac:dyDescent="0.25">
      <c r="B22" s="87">
        <v>11</v>
      </c>
      <c r="C22" s="31" t="s">
        <v>363</v>
      </c>
      <c r="D22" s="30" t="s">
        <v>221</v>
      </c>
      <c r="E22" s="32">
        <v>0</v>
      </c>
    </row>
    <row r="23" spans="2:5" x14ac:dyDescent="0.25">
      <c r="B23" s="87"/>
      <c r="C23" s="31" t="s">
        <v>233</v>
      </c>
      <c r="D23" s="30" t="s">
        <v>234</v>
      </c>
      <c r="E23" s="32">
        <v>0</v>
      </c>
    </row>
    <row r="24" spans="2:5" x14ac:dyDescent="0.25">
      <c r="B24" s="87">
        <v>12</v>
      </c>
      <c r="C24" s="31" t="s">
        <v>235</v>
      </c>
      <c r="D24" s="30"/>
      <c r="E24" s="32"/>
    </row>
    <row r="25" spans="2:5" x14ac:dyDescent="0.25">
      <c r="B25" s="87"/>
      <c r="C25" s="33" t="s">
        <v>236</v>
      </c>
      <c r="D25" s="30" t="s">
        <v>221</v>
      </c>
      <c r="E25" s="32">
        <v>0</v>
      </c>
    </row>
    <row r="26" spans="2:5" x14ac:dyDescent="0.25">
      <c r="B26" s="87"/>
      <c r="C26" s="33" t="s">
        <v>237</v>
      </c>
      <c r="D26" s="30" t="s">
        <v>234</v>
      </c>
      <c r="E26" s="39">
        <v>0</v>
      </c>
    </row>
    <row r="27" spans="2:5" x14ac:dyDescent="0.25">
      <c r="B27" s="87"/>
      <c r="C27" s="33" t="s">
        <v>238</v>
      </c>
      <c r="D27" s="30" t="s">
        <v>221</v>
      </c>
      <c r="E27" s="32">
        <v>0</v>
      </c>
    </row>
    <row r="28" spans="2:5" x14ac:dyDescent="0.25">
      <c r="B28" s="87"/>
      <c r="C28" s="33" t="s">
        <v>237</v>
      </c>
      <c r="D28" s="30" t="s">
        <v>234</v>
      </c>
      <c r="E28" s="39">
        <v>0</v>
      </c>
    </row>
    <row r="29" spans="2:5" x14ac:dyDescent="0.25">
      <c r="B29" s="87"/>
      <c r="C29" s="34" t="s">
        <v>239</v>
      </c>
      <c r="D29" s="35" t="s">
        <v>221</v>
      </c>
      <c r="E29" s="32">
        <v>0</v>
      </c>
    </row>
    <row r="30" spans="2:5" x14ac:dyDescent="0.25">
      <c r="B30" s="87"/>
      <c r="C30" s="34" t="s">
        <v>240</v>
      </c>
      <c r="D30" s="35" t="s">
        <v>221</v>
      </c>
      <c r="E30" s="32">
        <v>0</v>
      </c>
    </row>
    <row r="31" spans="2:5" x14ac:dyDescent="0.25">
      <c r="B31" s="87"/>
      <c r="C31" s="34" t="s">
        <v>241</v>
      </c>
      <c r="D31" s="35" t="s">
        <v>242</v>
      </c>
      <c r="E31" s="32">
        <v>0</v>
      </c>
    </row>
    <row r="32" spans="2:5" x14ac:dyDescent="0.25">
      <c r="B32" s="87"/>
      <c r="C32" s="34" t="s">
        <v>243</v>
      </c>
      <c r="D32" s="36"/>
      <c r="E32" s="32">
        <v>0</v>
      </c>
    </row>
    <row r="33" spans="2:5" x14ac:dyDescent="0.25">
      <c r="B33" s="87">
        <v>13</v>
      </c>
      <c r="C33" s="37" t="s">
        <v>244</v>
      </c>
      <c r="D33" s="35"/>
      <c r="E33" s="32"/>
    </row>
    <row r="34" spans="2:5" x14ac:dyDescent="0.25">
      <c r="B34" s="87"/>
      <c r="C34" s="34" t="s">
        <v>224</v>
      </c>
      <c r="D34" s="35" t="s">
        <v>221</v>
      </c>
      <c r="E34" s="32">
        <v>0</v>
      </c>
    </row>
    <row r="35" spans="2:5" x14ac:dyDescent="0.25">
      <c r="B35" s="87"/>
      <c r="C35" s="34" t="s">
        <v>364</v>
      </c>
      <c r="D35" s="35" t="s">
        <v>221</v>
      </c>
      <c r="E35" s="32">
        <v>0</v>
      </c>
    </row>
    <row r="36" spans="2:5" x14ac:dyDescent="0.25">
      <c r="B36" s="87"/>
      <c r="C36" s="34" t="s">
        <v>245</v>
      </c>
      <c r="D36" s="35" t="s">
        <v>221</v>
      </c>
      <c r="E36" s="32">
        <v>0</v>
      </c>
    </row>
    <row r="37" spans="2:5" x14ac:dyDescent="0.25">
      <c r="B37" s="87"/>
      <c r="C37" s="34" t="s">
        <v>246</v>
      </c>
      <c r="D37" s="35" t="s">
        <v>221</v>
      </c>
      <c r="E37" s="32">
        <v>0</v>
      </c>
    </row>
    <row r="38" spans="2:5" x14ac:dyDescent="0.25">
      <c r="B38" s="87"/>
      <c r="C38" s="34" t="s">
        <v>247</v>
      </c>
      <c r="D38" s="35" t="s">
        <v>221</v>
      </c>
      <c r="E38" s="32">
        <v>0</v>
      </c>
    </row>
    <row r="39" spans="2:5" x14ac:dyDescent="0.25">
      <c r="B39" s="87"/>
      <c r="C39" s="34" t="s">
        <v>237</v>
      </c>
      <c r="D39" s="35" t="s">
        <v>234</v>
      </c>
      <c r="E39" s="39">
        <v>0</v>
      </c>
    </row>
    <row r="40" spans="2:5" x14ac:dyDescent="0.25">
      <c r="B40" s="87"/>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20" zoomScaleNormal="120" workbookViewId="0">
      <selection activeCell="B16" sqref="B16"/>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103</v>
      </c>
      <c r="B1" s="9"/>
    </row>
    <row r="2" spans="1:9" x14ac:dyDescent="0.25">
      <c r="B2" t="s">
        <v>19</v>
      </c>
      <c r="C2" s="89" t="s">
        <v>386</v>
      </c>
      <c r="D2" s="90"/>
      <c r="E2" s="91"/>
    </row>
    <row r="3" spans="1:9" x14ac:dyDescent="0.25">
      <c r="B3" t="s">
        <v>20</v>
      </c>
      <c r="C3" s="89">
        <v>2023</v>
      </c>
      <c r="D3" s="90"/>
      <c r="E3" s="91"/>
    </row>
    <row r="4" spans="1:9" x14ac:dyDescent="0.25">
      <c r="B4" t="s">
        <v>262</v>
      </c>
      <c r="C4" s="89">
        <v>0.1</v>
      </c>
      <c r="D4" s="90"/>
      <c r="E4" s="91"/>
    </row>
    <row r="5" spans="1:9" x14ac:dyDescent="0.25">
      <c r="B5" t="s">
        <v>21</v>
      </c>
      <c r="C5" s="89" t="s">
        <v>259</v>
      </c>
      <c r="D5" s="90"/>
      <c r="E5" s="91"/>
    </row>
    <row r="6" spans="1:9" x14ac:dyDescent="0.25">
      <c r="B6" t="s">
        <v>98</v>
      </c>
      <c r="C6" s="92">
        <v>44927</v>
      </c>
      <c r="D6" s="93"/>
      <c r="E6" s="94"/>
    </row>
    <row r="7" spans="1:9" x14ac:dyDescent="0.25">
      <c r="B7" t="s">
        <v>99</v>
      </c>
      <c r="C7" s="92">
        <v>48579</v>
      </c>
      <c r="D7" s="93"/>
      <c r="E7" s="94"/>
    </row>
    <row r="8" spans="1:9" x14ac:dyDescent="0.25">
      <c r="B8" t="s">
        <v>100</v>
      </c>
      <c r="C8" s="92"/>
      <c r="D8" s="93"/>
      <c r="E8" s="94"/>
    </row>
    <row r="9" spans="1:9" x14ac:dyDescent="0.25">
      <c r="B9" t="s">
        <v>101</v>
      </c>
      <c r="C9" s="92"/>
      <c r="D9" s="93"/>
      <c r="E9" s="94"/>
    </row>
    <row r="10" spans="1:9" x14ac:dyDescent="0.25">
      <c r="B10" s="42" t="s">
        <v>102</v>
      </c>
      <c r="C10" s="43"/>
      <c r="D10" s="45">
        <v>1</v>
      </c>
      <c r="E10" s="44"/>
    </row>
    <row r="11" spans="1:9" x14ac:dyDescent="0.25">
      <c r="B11" s="42"/>
      <c r="C11" s="43"/>
      <c r="D11" s="45">
        <v>1</v>
      </c>
      <c r="E11" s="44"/>
      <c r="G11" s="62" t="s">
        <v>257</v>
      </c>
      <c r="H11" s="61">
        <v>2</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5">
        <v>0</v>
      </c>
      <c r="D18" s="96"/>
      <c r="E18" s="97"/>
    </row>
    <row r="19" spans="2:5" x14ac:dyDescent="0.25">
      <c r="B19" t="s">
        <v>273</v>
      </c>
      <c r="C19" s="95">
        <v>0</v>
      </c>
      <c r="D19" s="96"/>
      <c r="E19" s="97"/>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19050</xdr:rowOff>
                  </from>
                  <to>
                    <xdr:col>2</xdr:col>
                    <xdr:colOff>514350</xdr:colOff>
                    <xdr:row>15</xdr:row>
                    <xdr:rowOff>171450</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D3" sqref="D3"/>
    </sheetView>
  </sheetViews>
  <sheetFormatPr defaultColWidth="0" defaultRowHeight="15" zeroHeight="1" x14ac:dyDescent="0.25"/>
  <cols>
    <col min="1" max="1" width="6.28515625" customWidth="1"/>
    <col min="2" max="2" width="16.71093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351</v>
      </c>
      <c r="F1" s="9" t="s">
        <v>355</v>
      </c>
    </row>
    <row r="2" spans="1:14" x14ac:dyDescent="0.25">
      <c r="B2" t="s">
        <v>352</v>
      </c>
      <c r="C2" s="29">
        <v>0.2</v>
      </c>
      <c r="G2" s="9" t="s">
        <v>356</v>
      </c>
    </row>
    <row r="3" spans="1:14" x14ac:dyDescent="0.25">
      <c r="B3" t="s">
        <v>353</v>
      </c>
      <c r="C3" s="29">
        <v>0.3</v>
      </c>
      <c r="G3" s="80"/>
      <c r="H3" s="80"/>
      <c r="I3" s="80"/>
      <c r="J3" s="80"/>
      <c r="K3" s="80"/>
      <c r="L3" s="80"/>
      <c r="M3" s="80"/>
      <c r="N3" s="80"/>
    </row>
    <row r="4" spans="1:14" x14ac:dyDescent="0.25">
      <c r="B4" t="s">
        <v>354</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341</v>
      </c>
      <c r="D6" s="83" t="s">
        <v>342</v>
      </c>
      <c r="E6" s="83" t="s">
        <v>343</v>
      </c>
      <c r="G6" s="80"/>
      <c r="H6" s="80"/>
      <c r="I6" s="80"/>
      <c r="J6" s="80"/>
      <c r="K6" s="80"/>
      <c r="L6" s="80"/>
      <c r="M6" s="80"/>
      <c r="N6" s="80"/>
    </row>
    <row r="7" spans="1:14" x14ac:dyDescent="0.25">
      <c r="B7" t="s">
        <v>366</v>
      </c>
      <c r="C7" s="25">
        <f>D7-$C$2*D7</f>
        <v>0</v>
      </c>
      <c r="D7" s="25">
        <f>IFERROR(AVERAGE(tbl_prod_oil[Oil Price (USD/BBL)]),0)</f>
        <v>0</v>
      </c>
      <c r="E7" s="25">
        <f>D7+$C$3*D7</f>
        <v>0</v>
      </c>
      <c r="G7" s="80"/>
      <c r="H7" s="80"/>
      <c r="I7" s="80"/>
      <c r="J7" s="80"/>
      <c r="K7" s="80"/>
      <c r="L7" s="80"/>
      <c r="M7" s="80"/>
      <c r="N7" s="80"/>
    </row>
    <row r="8" spans="1:14" x14ac:dyDescent="0.25">
      <c r="B8" t="s">
        <v>367</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368</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346</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357</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331</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310</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B8" sqref="B8"/>
    </sheetView>
  </sheetViews>
  <sheetFormatPr defaultColWidth="0" defaultRowHeight="15" zeroHeight="1" x14ac:dyDescent="0.25"/>
  <cols>
    <col min="1" max="1" width="3.140625" customWidth="1"/>
    <col min="2" max="2" width="20" bestFit="1" customWidth="1"/>
    <col min="3" max="3" width="8.85546875" customWidth="1"/>
    <col min="4" max="4" width="9.28515625" style="25" bestFit="1" customWidth="1"/>
    <col min="5" max="5" width="8.28515625" style="25" customWidth="1"/>
    <col min="6" max="8" width="8.85546875" customWidth="1"/>
    <col min="9" max="9" width="4.7109375" customWidth="1"/>
    <col min="10" max="10" width="0" hidden="1" customWidth="1"/>
    <col min="11" max="11" width="6" customWidth="1"/>
    <col min="12" max="12" width="3.42578125" customWidth="1"/>
    <col min="13" max="13" width="4.28515625" customWidth="1"/>
    <col min="14" max="14" width="20" bestFit="1" customWidth="1"/>
    <col min="15" max="16" width="8.85546875" customWidth="1"/>
    <col min="17" max="17" width="4.28515625" customWidth="1"/>
    <col min="18" max="16384" width="8.85546875" hidden="1"/>
  </cols>
  <sheetData>
    <row r="1" spans="1:16" x14ac:dyDescent="0.25">
      <c r="A1" s="9" t="s">
        <v>345</v>
      </c>
      <c r="M1" s="9" t="s">
        <v>348</v>
      </c>
    </row>
    <row r="2" spans="1:16" x14ac:dyDescent="0.25">
      <c r="B2" t="s">
        <v>213</v>
      </c>
      <c r="D2" s="29" t="s">
        <v>356</v>
      </c>
      <c r="E2" s="75" t="s">
        <v>347</v>
      </c>
      <c r="F2" s="78">
        <v>0.15</v>
      </c>
      <c r="N2" t="str">
        <f>CONCATENATE(D2," ","Result")</f>
        <v>NPV Result</v>
      </c>
      <c r="P2" s="76"/>
    </row>
    <row r="3" spans="1:16" x14ac:dyDescent="0.25"/>
    <row r="4" spans="1:16" x14ac:dyDescent="0.25">
      <c r="A4" s="9" t="s">
        <v>333</v>
      </c>
      <c r="D4" s="73" t="s">
        <v>339</v>
      </c>
      <c r="E4" s="73" t="s">
        <v>340</v>
      </c>
      <c r="F4" s="74" t="s">
        <v>342</v>
      </c>
      <c r="G4" s="74" t="s">
        <v>341</v>
      </c>
      <c r="H4" s="74" t="s">
        <v>343</v>
      </c>
      <c r="J4" s="25">
        <v>5</v>
      </c>
      <c r="M4" s="9" t="s">
        <v>349</v>
      </c>
    </row>
    <row r="5" spans="1:16" x14ac:dyDescent="0.25">
      <c r="B5" t="s">
        <v>114</v>
      </c>
      <c r="D5" s="29"/>
      <c r="E5" s="72">
        <v>3</v>
      </c>
      <c r="F5" s="77">
        <f>'Cost Recovery Config'!C8</f>
        <v>0.25</v>
      </c>
      <c r="G5" s="29">
        <v>0.5</v>
      </c>
      <c r="H5" s="29">
        <v>0.6</v>
      </c>
      <c r="N5" t="s">
        <v>114</v>
      </c>
      <c r="P5" s="76"/>
    </row>
    <row r="6" spans="1:16" x14ac:dyDescent="0.25">
      <c r="B6" t="s">
        <v>113</v>
      </c>
      <c r="D6" s="29"/>
      <c r="E6" s="72"/>
      <c r="F6" s="77">
        <f>'Cost Recovery Config'!C9</f>
        <v>0.5</v>
      </c>
      <c r="G6" s="29">
        <v>0</v>
      </c>
      <c r="H6" s="29">
        <v>1</v>
      </c>
      <c r="N6" t="s">
        <v>113</v>
      </c>
      <c r="P6" s="76"/>
    </row>
    <row r="7" spans="1:16" x14ac:dyDescent="0.25">
      <c r="B7" t="s">
        <v>110</v>
      </c>
      <c r="D7" s="29"/>
      <c r="E7" s="72">
        <v>1</v>
      </c>
      <c r="F7" s="77">
        <f>'Cost Recovery Config'!C4</f>
        <v>0.2</v>
      </c>
      <c r="G7" s="29">
        <v>0</v>
      </c>
      <c r="H7" s="29">
        <v>1</v>
      </c>
      <c r="N7" t="s">
        <v>110</v>
      </c>
      <c r="P7" s="76"/>
    </row>
    <row r="8" spans="1:16" x14ac:dyDescent="0.25">
      <c r="B8" t="s">
        <v>115</v>
      </c>
      <c r="D8" s="29"/>
      <c r="E8" s="72">
        <v>5</v>
      </c>
      <c r="F8" s="77">
        <f>'Cost Recovery Config'!C13</f>
        <v>0</v>
      </c>
      <c r="G8" s="29">
        <v>0</v>
      </c>
      <c r="H8" s="29">
        <v>1</v>
      </c>
      <c r="N8" t="s">
        <v>115</v>
      </c>
      <c r="P8" s="76"/>
    </row>
    <row r="9" spans="1:16" x14ac:dyDescent="0.25">
      <c r="B9" t="s">
        <v>117</v>
      </c>
      <c r="D9" s="29"/>
      <c r="E9" s="72"/>
      <c r="F9" s="77">
        <f>'Cost Recovery Config'!C14</f>
        <v>0</v>
      </c>
      <c r="G9" s="29">
        <v>0.05</v>
      </c>
      <c r="H9" s="29">
        <v>0.5</v>
      </c>
      <c r="N9" t="s">
        <v>117</v>
      </c>
      <c r="P9" s="76"/>
    </row>
    <row r="10" spans="1:16" x14ac:dyDescent="0.25">
      <c r="B10" t="s">
        <v>334</v>
      </c>
      <c r="D10" s="29"/>
      <c r="E10" s="72">
        <v>2</v>
      </c>
      <c r="F10" s="77">
        <f>'Cost Recovery Config'!C28</f>
        <v>1</v>
      </c>
      <c r="G10" s="29">
        <v>0</v>
      </c>
      <c r="H10" s="29">
        <v>1</v>
      </c>
      <c r="N10" t="s">
        <v>334</v>
      </c>
      <c r="P10" s="76"/>
    </row>
    <row r="11" spans="1:16" x14ac:dyDescent="0.25">
      <c r="B11" t="s">
        <v>335</v>
      </c>
      <c r="D11" s="29"/>
      <c r="E11" s="72"/>
      <c r="F11" s="77">
        <f>'Gross Split Config'!C30</f>
        <v>1</v>
      </c>
      <c r="G11" s="29">
        <v>0</v>
      </c>
      <c r="H11" s="29">
        <v>1</v>
      </c>
      <c r="N11" t="s">
        <v>335</v>
      </c>
      <c r="P11" s="76"/>
    </row>
    <row r="12" spans="1:16" x14ac:dyDescent="0.25">
      <c r="B12" t="s">
        <v>272</v>
      </c>
      <c r="D12" s="29"/>
      <c r="E12" s="72"/>
      <c r="F12" s="77">
        <f>'General Config'!C18</f>
        <v>0</v>
      </c>
      <c r="G12" s="29">
        <v>0</v>
      </c>
      <c r="H12" s="29">
        <v>1</v>
      </c>
      <c r="N12" t="s">
        <v>272</v>
      </c>
      <c r="P12" s="76"/>
    </row>
    <row r="13" spans="1:16" x14ac:dyDescent="0.25">
      <c r="B13" t="s">
        <v>336</v>
      </c>
      <c r="D13" s="29"/>
      <c r="E13" s="72">
        <v>4</v>
      </c>
      <c r="F13" s="77">
        <f>'Fiscal Config'!C3</f>
        <v>0.44</v>
      </c>
      <c r="G13" s="29">
        <v>0.1</v>
      </c>
      <c r="H13" s="29">
        <v>0.2</v>
      </c>
      <c r="N13" t="s">
        <v>336</v>
      </c>
      <c r="P13" s="76"/>
    </row>
    <row r="14" spans="1:16" x14ac:dyDescent="0.25"/>
    <row r="15" spans="1:16" hidden="1" x14ac:dyDescent="0.25">
      <c r="A15" s="9" t="s">
        <v>337</v>
      </c>
      <c r="D15" s="73" t="s">
        <v>339</v>
      </c>
      <c r="E15" s="73" t="s">
        <v>340</v>
      </c>
      <c r="F15" s="74" t="s">
        <v>342</v>
      </c>
      <c r="G15" s="73" t="s">
        <v>341</v>
      </c>
      <c r="H15" s="73" t="s">
        <v>343</v>
      </c>
      <c r="J15" s="72">
        <v>2</v>
      </c>
      <c r="M15" s="9" t="s">
        <v>350</v>
      </c>
    </row>
    <row r="16" spans="1:16" hidden="1" x14ac:dyDescent="0.25">
      <c r="B16" t="s">
        <v>338</v>
      </c>
      <c r="D16" s="29"/>
      <c r="E16" s="25">
        <v>2</v>
      </c>
      <c r="F16" s="77">
        <f>'Gross Split Config'!C13</f>
        <v>0.08</v>
      </c>
      <c r="G16" s="29">
        <v>0.1</v>
      </c>
      <c r="H16" s="29">
        <v>0.13</v>
      </c>
      <c r="N16" t="s">
        <v>338</v>
      </c>
      <c r="P16" s="76"/>
    </row>
    <row r="17" spans="2:16" hidden="1" x14ac:dyDescent="0.25">
      <c r="B17" t="s">
        <v>272</v>
      </c>
      <c r="D17" s="29"/>
      <c r="F17" s="77">
        <f>'General Config'!C18</f>
        <v>0</v>
      </c>
      <c r="G17" s="29">
        <v>0</v>
      </c>
      <c r="H17" s="29">
        <v>0.5</v>
      </c>
      <c r="N17" t="s">
        <v>272</v>
      </c>
      <c r="P17" s="76"/>
    </row>
    <row r="18" spans="2:16" hidden="1" x14ac:dyDescent="0.25">
      <c r="B18" t="s">
        <v>336</v>
      </c>
      <c r="D18" s="29"/>
      <c r="E18" s="25">
        <v>1</v>
      </c>
      <c r="F18" s="77">
        <f>'Fiscal Config'!C3</f>
        <v>0.44</v>
      </c>
      <c r="G18" s="29">
        <v>0.12</v>
      </c>
      <c r="H18" s="29">
        <v>0.5</v>
      </c>
      <c r="N18" t="s">
        <v>336</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438150</xdr:colOff>
                    <xdr:row>5</xdr:row>
                    <xdr:rowOff>19050</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171450</xdr:rowOff>
                  </from>
                  <to>
                    <xdr:col>3</xdr:col>
                    <xdr:colOff>438150</xdr:colOff>
                    <xdr:row>6</xdr:row>
                    <xdr:rowOff>19050</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171450</xdr:rowOff>
                  </from>
                  <to>
                    <xdr:col>3</xdr:col>
                    <xdr:colOff>438150</xdr:colOff>
                    <xdr:row>7</xdr:row>
                    <xdr:rowOff>19050</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171450</xdr:rowOff>
                  </from>
                  <to>
                    <xdr:col>3</xdr:col>
                    <xdr:colOff>438150</xdr:colOff>
                    <xdr:row>8</xdr:row>
                    <xdr:rowOff>19050</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171450</xdr:rowOff>
                  </from>
                  <to>
                    <xdr:col>3</xdr:col>
                    <xdr:colOff>438150</xdr:colOff>
                    <xdr:row>9</xdr:row>
                    <xdr:rowOff>19050</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171450</xdr:rowOff>
                  </from>
                  <to>
                    <xdr:col>3</xdr:col>
                    <xdr:colOff>438150</xdr:colOff>
                    <xdr:row>10</xdr:row>
                    <xdr:rowOff>19050</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171450</xdr:rowOff>
                  </from>
                  <to>
                    <xdr:col>3</xdr:col>
                    <xdr:colOff>438150</xdr:colOff>
                    <xdr:row>11</xdr:row>
                    <xdr:rowOff>19050</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171450</xdr:rowOff>
                  </from>
                  <to>
                    <xdr:col>3</xdr:col>
                    <xdr:colOff>438150</xdr:colOff>
                    <xdr:row>12</xdr:row>
                    <xdr:rowOff>19050</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171450</xdr:rowOff>
                  </from>
                  <to>
                    <xdr:col>3</xdr:col>
                    <xdr:colOff>438150</xdr:colOff>
                    <xdr:row>13</xdr:row>
                    <xdr:rowOff>19050</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438150</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19050</xdr:rowOff>
                  </from>
                  <to>
                    <xdr:col>3</xdr:col>
                    <xdr:colOff>438150</xdr:colOff>
                    <xdr:row>19</xdr:row>
                    <xdr:rowOff>161925</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438150</xdr:colOff>
                    <xdr:row>19</xdr:row>
                    <xdr:rowOff>161925</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19050</xdr:rowOff>
                  </from>
                  <to>
                    <xdr:col>3</xdr:col>
                    <xdr:colOff>438150</xdr:colOff>
                    <xdr:row>19</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
  <sheetViews>
    <sheetView workbookViewId="0">
      <selection activeCell="G20" sqref="G20"/>
    </sheetView>
  </sheetViews>
  <sheetFormatPr defaultRowHeight="15" x14ac:dyDescent="0.25"/>
  <sheetData>
    <row r="1" spans="1:1" x14ac:dyDescent="0.25">
      <c r="A1" s="84" t="s">
        <v>376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tabSelected="1" workbookViewId="0">
      <selection activeCell="F20" sqref="F20"/>
    </sheetView>
  </sheetViews>
  <sheetFormatPr defaultColWidth="0" defaultRowHeight="15"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369</v>
      </c>
      <c r="J1" s="9" t="s">
        <v>370</v>
      </c>
    </row>
    <row r="2" spans="1:18" x14ac:dyDescent="0.25">
      <c r="B2" s="83" t="s">
        <v>50</v>
      </c>
      <c r="C2" s="83" t="s">
        <v>371</v>
      </c>
      <c r="E2" s="83" t="s">
        <v>341</v>
      </c>
      <c r="F2" s="83" t="s">
        <v>342</v>
      </c>
      <c r="G2" s="83" t="s">
        <v>343</v>
      </c>
      <c r="H2" s="83" t="s">
        <v>373</v>
      </c>
      <c r="I2" s="83"/>
      <c r="K2" s="9" t="s">
        <v>356</v>
      </c>
    </row>
    <row r="3" spans="1:18" x14ac:dyDescent="0.25">
      <c r="B3" t="s">
        <v>366</v>
      </c>
      <c r="C3" s="25" t="s">
        <v>372</v>
      </c>
      <c r="E3" s="78">
        <v>60</v>
      </c>
      <c r="F3" s="25">
        <f>Sensitivity!D7</f>
        <v>0</v>
      </c>
      <c r="G3" s="78">
        <v>65</v>
      </c>
      <c r="H3" s="78">
        <v>0.2</v>
      </c>
      <c r="K3" s="80"/>
      <c r="L3" s="80"/>
      <c r="M3" s="80"/>
      <c r="N3" s="80"/>
      <c r="O3" s="80"/>
      <c r="P3" s="80"/>
      <c r="Q3" s="80"/>
      <c r="R3" s="80"/>
    </row>
    <row r="4" spans="1:18" x14ac:dyDescent="0.25">
      <c r="B4" t="s">
        <v>367</v>
      </c>
      <c r="C4" s="25" t="s">
        <v>384</v>
      </c>
      <c r="E4" s="78">
        <v>10</v>
      </c>
      <c r="F4" s="25">
        <f>Sensitivity!D8</f>
        <v>0</v>
      </c>
      <c r="G4" s="78">
        <v>15</v>
      </c>
      <c r="H4" s="78">
        <v>0.3</v>
      </c>
      <c r="K4" s="80"/>
      <c r="L4" s="80"/>
      <c r="M4" s="80"/>
      <c r="N4" s="80"/>
      <c r="O4" s="80"/>
      <c r="P4" s="80"/>
      <c r="Q4" s="80"/>
      <c r="R4" s="80"/>
    </row>
    <row r="5" spans="1:18" x14ac:dyDescent="0.25">
      <c r="B5" t="s">
        <v>230</v>
      </c>
      <c r="C5" s="25" t="s">
        <v>384</v>
      </c>
      <c r="E5" s="78">
        <v>20</v>
      </c>
      <c r="F5" s="25">
        <f>Sensitivity!D9</f>
        <v>0</v>
      </c>
      <c r="G5" s="78">
        <v>25</v>
      </c>
      <c r="H5" s="78">
        <v>0.2</v>
      </c>
      <c r="K5" s="80"/>
      <c r="L5" s="80"/>
      <c r="M5" s="80"/>
      <c r="N5" s="80"/>
      <c r="O5" s="80"/>
      <c r="P5" s="80"/>
      <c r="Q5" s="80"/>
      <c r="R5" s="80"/>
    </row>
    <row r="6" spans="1:18" x14ac:dyDescent="0.25">
      <c r="B6" t="s">
        <v>259</v>
      </c>
      <c r="C6" s="25" t="s">
        <v>372</v>
      </c>
      <c r="E6" s="78">
        <v>95</v>
      </c>
      <c r="F6" s="25">
        <f>Sensitivity!D10</f>
        <v>0</v>
      </c>
      <c r="G6" s="78">
        <v>100</v>
      </c>
      <c r="H6" s="78">
        <v>0.2</v>
      </c>
      <c r="K6" s="80"/>
      <c r="L6" s="80"/>
      <c r="M6" s="80"/>
      <c r="N6" s="80"/>
      <c r="O6" s="80"/>
      <c r="P6" s="80"/>
      <c r="Q6" s="80"/>
      <c r="R6" s="80"/>
    </row>
    <row r="7" spans="1:18" x14ac:dyDescent="0.25">
      <c r="B7" t="s">
        <v>368</v>
      </c>
      <c r="C7" s="25" t="s">
        <v>385</v>
      </c>
      <c r="E7" s="78">
        <v>10</v>
      </c>
      <c r="F7" s="25">
        <f>Sensitivity!D11</f>
        <v>0</v>
      </c>
      <c r="G7" s="78">
        <v>15</v>
      </c>
      <c r="H7" s="78">
        <v>0.2</v>
      </c>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346</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357</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331</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310</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313</v>
      </c>
    </row>
    <row r="4" spans="2:28" x14ac:dyDescent="0.25">
      <c r="B4" s="69" t="s">
        <v>0</v>
      </c>
      <c r="C4" s="69" t="s">
        <v>285</v>
      </c>
      <c r="D4" s="69" t="s">
        <v>286</v>
      </c>
      <c r="E4" s="69" t="s">
        <v>287</v>
      </c>
      <c r="F4" s="69" t="s">
        <v>317</v>
      </c>
      <c r="G4" s="69" t="s">
        <v>318</v>
      </c>
      <c r="H4" s="69" t="s">
        <v>319</v>
      </c>
      <c r="I4" s="69" t="s">
        <v>320</v>
      </c>
      <c r="J4" s="69" t="s">
        <v>304</v>
      </c>
      <c r="K4" s="69" t="s">
        <v>305</v>
      </c>
      <c r="L4" s="69" t="s">
        <v>289</v>
      </c>
      <c r="M4" s="69" t="s">
        <v>321</v>
      </c>
      <c r="N4" s="69" t="s">
        <v>322</v>
      </c>
      <c r="O4" s="69" t="s">
        <v>323</v>
      </c>
      <c r="P4" s="69" t="s">
        <v>324</v>
      </c>
      <c r="Q4" s="69" t="s">
        <v>232</v>
      </c>
      <c r="R4" s="69" t="s">
        <v>326</v>
      </c>
      <c r="S4" s="69" t="s">
        <v>325</v>
      </c>
      <c r="T4" s="69" t="s">
        <v>327</v>
      </c>
      <c r="U4" s="69" t="s">
        <v>328</v>
      </c>
      <c r="V4" s="69" t="s">
        <v>306</v>
      </c>
      <c r="W4" s="69" t="s">
        <v>307</v>
      </c>
      <c r="X4" s="69" t="s">
        <v>309</v>
      </c>
      <c r="Y4" s="69" t="s">
        <v>246</v>
      </c>
      <c r="Z4" s="69" t="s">
        <v>329</v>
      </c>
      <c r="AA4" s="69" t="s">
        <v>330</v>
      </c>
      <c r="AB4" s="69" t="s">
        <v>331</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314</v>
      </c>
    </row>
    <row r="58" spans="2:28" x14ac:dyDescent="0.25">
      <c r="B58" s="70" t="s">
        <v>0</v>
      </c>
      <c r="C58" s="70" t="s">
        <v>285</v>
      </c>
      <c r="D58" s="70" t="s">
        <v>286</v>
      </c>
      <c r="E58" s="70" t="s">
        <v>287</v>
      </c>
      <c r="F58" s="70" t="s">
        <v>317</v>
      </c>
      <c r="G58" s="70" t="s">
        <v>318</v>
      </c>
      <c r="H58" s="70" t="s">
        <v>319</v>
      </c>
      <c r="I58" s="70" t="s">
        <v>320</v>
      </c>
      <c r="J58" s="70" t="s">
        <v>304</v>
      </c>
      <c r="K58" s="70" t="s">
        <v>305</v>
      </c>
      <c r="L58" s="70" t="s">
        <v>289</v>
      </c>
      <c r="M58" s="70" t="s">
        <v>321</v>
      </c>
      <c r="N58" s="70" t="s">
        <v>322</v>
      </c>
      <c r="O58" s="70" t="s">
        <v>323</v>
      </c>
      <c r="P58" s="70" t="s">
        <v>324</v>
      </c>
      <c r="Q58" s="70" t="s">
        <v>232</v>
      </c>
      <c r="R58" s="70" t="s">
        <v>315</v>
      </c>
      <c r="S58" s="70" t="s">
        <v>325</v>
      </c>
      <c r="T58" s="70" t="s">
        <v>327</v>
      </c>
      <c r="U58" s="70" t="s">
        <v>328</v>
      </c>
      <c r="V58" s="70" t="s">
        <v>306</v>
      </c>
      <c r="W58" s="70" t="s">
        <v>307</v>
      </c>
      <c r="X58" s="70" t="s">
        <v>309</v>
      </c>
      <c r="Y58" s="70" t="s">
        <v>246</v>
      </c>
      <c r="Z58" s="70" t="s">
        <v>329</v>
      </c>
      <c r="AA58" s="70" t="s">
        <v>330</v>
      </c>
      <c r="AB58" s="70" t="s">
        <v>331</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316</v>
      </c>
    </row>
    <row r="112" spans="2:28" x14ac:dyDescent="0.25">
      <c r="B112" s="66" t="s">
        <v>0</v>
      </c>
      <c r="C112" s="66" t="s">
        <v>285</v>
      </c>
      <c r="D112" s="66" t="s">
        <v>286</v>
      </c>
      <c r="E112" s="66" t="s">
        <v>287</v>
      </c>
      <c r="F112" s="66" t="s">
        <v>317</v>
      </c>
      <c r="G112" s="66" t="s">
        <v>318</v>
      </c>
      <c r="H112" s="66" t="s">
        <v>319</v>
      </c>
      <c r="I112" s="66" t="s">
        <v>320</v>
      </c>
      <c r="J112" s="66" t="s">
        <v>304</v>
      </c>
      <c r="K112" s="66" t="s">
        <v>305</v>
      </c>
      <c r="L112" s="66" t="s">
        <v>289</v>
      </c>
      <c r="M112" s="66" t="s">
        <v>321</v>
      </c>
      <c r="N112" s="66" t="s">
        <v>322</v>
      </c>
      <c r="O112" s="66" t="s">
        <v>323</v>
      </c>
      <c r="P112" s="66" t="s">
        <v>324</v>
      </c>
      <c r="Q112" s="66" t="s">
        <v>232</v>
      </c>
      <c r="R112" s="66" t="s">
        <v>315</v>
      </c>
      <c r="S112" s="66" t="s">
        <v>325</v>
      </c>
      <c r="T112" s="66" t="s">
        <v>327</v>
      </c>
      <c r="U112" s="66" t="s">
        <v>328</v>
      </c>
      <c r="V112" s="66" t="s">
        <v>306</v>
      </c>
      <c r="W112" s="66" t="s">
        <v>307</v>
      </c>
      <c r="X112" s="66" t="s">
        <v>309</v>
      </c>
      <c r="Y112" s="66" t="s">
        <v>246</v>
      </c>
      <c r="Z112" s="66" t="s">
        <v>329</v>
      </c>
      <c r="AA112" s="66" t="s">
        <v>330</v>
      </c>
      <c r="AB112" s="66" t="s">
        <v>331</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313</v>
      </c>
    </row>
    <row r="4" spans="2:32" x14ac:dyDescent="0.25">
      <c r="B4" s="69" t="s">
        <v>0</v>
      </c>
      <c r="C4" s="69" t="s">
        <v>285</v>
      </c>
      <c r="D4" s="69" t="s">
        <v>286</v>
      </c>
      <c r="E4" s="69" t="s">
        <v>287</v>
      </c>
      <c r="F4" s="69" t="s">
        <v>288</v>
      </c>
      <c r="G4" s="69" t="s">
        <v>230</v>
      </c>
      <c r="H4" s="69" t="s">
        <v>231</v>
      </c>
      <c r="I4" s="69" t="s">
        <v>289</v>
      </c>
      <c r="J4" s="69" t="s">
        <v>290</v>
      </c>
      <c r="K4" s="69" t="s">
        <v>291</v>
      </c>
      <c r="L4" s="69" t="s">
        <v>292</v>
      </c>
      <c r="M4" s="69" t="s">
        <v>293</v>
      </c>
      <c r="N4" s="69" t="s">
        <v>294</v>
      </c>
      <c r="O4" s="69" t="s">
        <v>295</v>
      </c>
      <c r="P4" s="69" t="s">
        <v>296</v>
      </c>
      <c r="Q4" s="69" t="s">
        <v>297</v>
      </c>
      <c r="R4" s="69" t="s">
        <v>301</v>
      </c>
      <c r="S4" s="69" t="s">
        <v>299</v>
      </c>
      <c r="T4" s="69" t="s">
        <v>298</v>
      </c>
      <c r="U4" s="69" t="s">
        <v>300</v>
      </c>
      <c r="V4" s="69" t="s">
        <v>302</v>
      </c>
      <c r="W4" s="69" t="s">
        <v>303</v>
      </c>
      <c r="X4" s="69" t="s">
        <v>304</v>
      </c>
      <c r="Y4" s="69" t="s">
        <v>305</v>
      </c>
      <c r="Z4" s="69" t="s">
        <v>306</v>
      </c>
      <c r="AA4" s="69" t="s">
        <v>307</v>
      </c>
      <c r="AB4" s="69" t="s">
        <v>308</v>
      </c>
      <c r="AC4" s="69" t="s">
        <v>309</v>
      </c>
      <c r="AD4" s="69" t="s">
        <v>310</v>
      </c>
      <c r="AE4" s="69" t="s">
        <v>311</v>
      </c>
      <c r="AF4" s="69" t="s">
        <v>312</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314</v>
      </c>
    </row>
    <row r="58" spans="2:32" x14ac:dyDescent="0.25">
      <c r="B58" s="70" t="s">
        <v>0</v>
      </c>
      <c r="C58" s="70" t="s">
        <v>285</v>
      </c>
      <c r="D58" s="70" t="s">
        <v>286</v>
      </c>
      <c r="E58" s="70" t="s">
        <v>287</v>
      </c>
      <c r="F58" s="70" t="s">
        <v>288</v>
      </c>
      <c r="G58" s="70" t="s">
        <v>230</v>
      </c>
      <c r="H58" s="70" t="s">
        <v>231</v>
      </c>
      <c r="I58" s="70" t="s">
        <v>289</v>
      </c>
      <c r="J58" s="70" t="s">
        <v>290</v>
      </c>
      <c r="K58" s="70" t="s">
        <v>291</v>
      </c>
      <c r="L58" s="70" t="s">
        <v>292</v>
      </c>
      <c r="M58" s="70" t="s">
        <v>293</v>
      </c>
      <c r="N58" s="70" t="s">
        <v>294</v>
      </c>
      <c r="O58" s="70" t="s">
        <v>295</v>
      </c>
      <c r="P58" s="70" t="s">
        <v>296</v>
      </c>
      <c r="Q58" s="70" t="s">
        <v>297</v>
      </c>
      <c r="R58" s="70" t="s">
        <v>301</v>
      </c>
      <c r="S58" s="70" t="s">
        <v>315</v>
      </c>
      <c r="T58" s="70" t="s">
        <v>298</v>
      </c>
      <c r="U58" s="70" t="s">
        <v>300</v>
      </c>
      <c r="V58" s="70" t="s">
        <v>302</v>
      </c>
      <c r="W58" s="70" t="s">
        <v>303</v>
      </c>
      <c r="X58" s="70" t="s">
        <v>304</v>
      </c>
      <c r="Y58" s="70" t="s">
        <v>305</v>
      </c>
      <c r="Z58" s="70" t="s">
        <v>306</v>
      </c>
      <c r="AA58" s="70" t="s">
        <v>307</v>
      </c>
      <c r="AB58" s="70" t="s">
        <v>308</v>
      </c>
      <c r="AC58" s="70" t="s">
        <v>309</v>
      </c>
      <c r="AD58" s="70" t="s">
        <v>310</v>
      </c>
      <c r="AE58" s="70" t="s">
        <v>311</v>
      </c>
      <c r="AF58" s="70" t="s">
        <v>312</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316</v>
      </c>
    </row>
    <row r="112" spans="2:32" x14ac:dyDescent="0.25">
      <c r="B112" s="66" t="s">
        <v>0</v>
      </c>
      <c r="C112" s="66" t="s">
        <v>285</v>
      </c>
      <c r="D112" s="66" t="s">
        <v>286</v>
      </c>
      <c r="E112" s="66" t="s">
        <v>287</v>
      </c>
      <c r="F112" s="66" t="s">
        <v>288</v>
      </c>
      <c r="G112" s="66" t="s">
        <v>230</v>
      </c>
      <c r="H112" s="66" t="s">
        <v>231</v>
      </c>
      <c r="I112" s="66" t="s">
        <v>289</v>
      </c>
      <c r="J112" s="66" t="s">
        <v>290</v>
      </c>
      <c r="K112" s="66" t="s">
        <v>291</v>
      </c>
      <c r="L112" s="66" t="s">
        <v>292</v>
      </c>
      <c r="M112" s="66" t="s">
        <v>293</v>
      </c>
      <c r="N112" s="66" t="s">
        <v>294</v>
      </c>
      <c r="O112" s="66" t="s">
        <v>295</v>
      </c>
      <c r="P112" s="66" t="s">
        <v>296</v>
      </c>
      <c r="Q112" s="66" t="s">
        <v>297</v>
      </c>
      <c r="R112" s="66" t="s">
        <v>301</v>
      </c>
      <c r="S112" s="66" t="s">
        <v>315</v>
      </c>
      <c r="T112" s="66" t="s">
        <v>298</v>
      </c>
      <c r="U112" s="66" t="s">
        <v>300</v>
      </c>
      <c r="V112" s="66" t="s">
        <v>302</v>
      </c>
      <c r="W112" s="66" t="s">
        <v>303</v>
      </c>
      <c r="X112" s="66" t="s">
        <v>304</v>
      </c>
      <c r="Y112" s="66" t="s">
        <v>305</v>
      </c>
      <c r="Z112" s="66" t="s">
        <v>306</v>
      </c>
      <c r="AA112" s="66" t="s">
        <v>307</v>
      </c>
      <c r="AB112" s="66" t="s">
        <v>308</v>
      </c>
      <c r="AC112" s="66" t="s">
        <v>309</v>
      </c>
      <c r="AD112" s="66" t="s">
        <v>310</v>
      </c>
      <c r="AE112" s="66" t="s">
        <v>311</v>
      </c>
      <c r="AF112" s="66" t="s">
        <v>312</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39"/>
  <sheetViews>
    <sheetView showGridLines="0" showRowColHeaders="0" topLeftCell="A10" zoomScale="115" zoomScaleNormal="115" workbookViewId="0">
      <selection activeCell="B34" sqref="B34"/>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263</v>
      </c>
    </row>
    <row r="2" spans="1:3" x14ac:dyDescent="0.25">
      <c r="B2" t="s">
        <v>266</v>
      </c>
      <c r="C2" s="22" t="s">
        <v>383</v>
      </c>
    </row>
    <row r="3" spans="1:3" hidden="1" x14ac:dyDescent="0.25">
      <c r="B3" t="s">
        <v>264</v>
      </c>
      <c r="C3" s="22">
        <v>0.44</v>
      </c>
    </row>
    <row r="4" spans="1:3" x14ac:dyDescent="0.25"/>
    <row r="5" spans="1:3" x14ac:dyDescent="0.25">
      <c r="B5" s="64" t="s">
        <v>0</v>
      </c>
      <c r="C5" s="64" t="s">
        <v>264</v>
      </c>
    </row>
    <row r="6" spans="1:3" x14ac:dyDescent="0.25">
      <c r="B6" s="22">
        <v>2020</v>
      </c>
      <c r="C6" s="65">
        <v>0.4</v>
      </c>
    </row>
    <row r="7" spans="1:3" x14ac:dyDescent="0.25">
      <c r="B7" s="22">
        <v>2025</v>
      </c>
      <c r="C7" s="65">
        <v>0.5</v>
      </c>
    </row>
    <row r="8" spans="1:3" x14ac:dyDescent="0.25">
      <c r="B8" s="22">
        <v>2027</v>
      </c>
      <c r="C8" s="65">
        <v>0.6</v>
      </c>
    </row>
    <row r="9" spans="1:3" x14ac:dyDescent="0.25">
      <c r="B9" s="22"/>
      <c r="C9" s="65"/>
    </row>
    <row r="10" spans="1:3" x14ac:dyDescent="0.25">
      <c r="B10" s="22"/>
      <c r="C10" s="22"/>
    </row>
    <row r="11" spans="1:3" x14ac:dyDescent="0.25">
      <c r="B11" s="22"/>
      <c r="C11" s="22"/>
    </row>
    <row r="12" spans="1:3" x14ac:dyDescent="0.25"/>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382</v>
      </c>
    </row>
    <row r="20" spans="1:3" x14ac:dyDescent="0.25">
      <c r="B20" t="s">
        <v>380</v>
      </c>
      <c r="C20" s="22" t="s">
        <v>381</v>
      </c>
    </row>
    <row r="21" spans="1:3" x14ac:dyDescent="0.25"/>
    <row r="22" spans="1:3" x14ac:dyDescent="0.25">
      <c r="A22" s="9" t="s">
        <v>278</v>
      </c>
    </row>
    <row r="23" spans="1:3" x14ac:dyDescent="0.25">
      <c r="B23" t="s">
        <v>279</v>
      </c>
      <c r="C23" s="22">
        <v>0.02</v>
      </c>
    </row>
    <row r="24" spans="1:3" x14ac:dyDescent="0.25"/>
    <row r="25" spans="1:3" x14ac:dyDescent="0.25">
      <c r="A25" s="9" t="s">
        <v>280</v>
      </c>
    </row>
    <row r="26" spans="1:3" x14ac:dyDescent="0.25">
      <c r="B26" t="s">
        <v>281</v>
      </c>
      <c r="C26" s="22" t="s">
        <v>374</v>
      </c>
    </row>
    <row r="27" spans="1:3" x14ac:dyDescent="0.25"/>
    <row r="28" spans="1:3" x14ac:dyDescent="0.25">
      <c r="A28" s="9" t="s">
        <v>377</v>
      </c>
    </row>
    <row r="29" spans="1:3" x14ac:dyDescent="0.25">
      <c r="B29" t="s">
        <v>379</v>
      </c>
      <c r="C29" s="22" t="s">
        <v>383</v>
      </c>
    </row>
    <row r="30" spans="1:3" hidden="1" x14ac:dyDescent="0.25">
      <c r="B30" t="s">
        <v>378</v>
      </c>
      <c r="C30" s="22">
        <v>0.02</v>
      </c>
    </row>
    <row r="31" spans="1:3" x14ac:dyDescent="0.25"/>
    <row r="32" spans="1:3" x14ac:dyDescent="0.25">
      <c r="B32" s="64" t="s">
        <v>0</v>
      </c>
      <c r="C32" s="64" t="s">
        <v>378</v>
      </c>
    </row>
    <row r="33" spans="2:3" x14ac:dyDescent="0.25">
      <c r="B33" s="22">
        <v>2020</v>
      </c>
      <c r="C33" s="65">
        <v>0.02</v>
      </c>
    </row>
    <row r="34" spans="2:3" x14ac:dyDescent="0.25">
      <c r="B34" s="22">
        <v>2025</v>
      </c>
      <c r="C34" s="65">
        <v>0.03</v>
      </c>
    </row>
    <row r="35" spans="2:3" x14ac:dyDescent="0.25">
      <c r="B35" s="22">
        <v>2027</v>
      </c>
      <c r="C35" s="65">
        <v>0.04</v>
      </c>
    </row>
    <row r="36" spans="2:3" x14ac:dyDescent="0.25">
      <c r="B36" s="22"/>
      <c r="C36" s="65"/>
    </row>
    <row r="37" spans="2:3" x14ac:dyDescent="0.25">
      <c r="B37" s="22"/>
      <c r="C37" s="65"/>
    </row>
    <row r="38" spans="2:3" x14ac:dyDescent="0.25">
      <c r="B38" s="22"/>
      <c r="C38" s="65"/>
    </row>
    <row r="39" spans="2:3" x14ac:dyDescent="0.25"/>
  </sheetData>
  <dataValidations count="10">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3" xr:uid="{96A2F105-AA38-48E8-B01A-371391349B1D}">
      <formula1>0</formula1>
      <formula2>1</formula2>
    </dataValidation>
    <dataValidation type="list" allowBlank="1" showInputMessage="1" showErrorMessage="1" errorTitle="Data type" error="Should be in float" sqref="C26"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C29:C30" xr:uid="{1DE8691F-764D-4B8B-BA0A-CE7EE0C4C6C6}"/>
    <dataValidation type="whole" allowBlank="1" showInputMessage="1" showErrorMessage="1" errorTitle="Data Type" error="Should be year" sqref="B6:B11 B33:B38" xr:uid="{73E8C4BB-3E1F-4188-B79D-7E460395708B}">
      <formula1>1945</formula1>
      <formula2>3000</formula2>
    </dataValidation>
    <dataValidation type="decimal" allowBlank="1" showInputMessage="1" showErrorMessage="1" errorTitle="Data Type" error="Should be between 0 and 1" sqref="C6:C11 C33:C38" xr:uid="{CF646499-E3B4-4A30-B4A3-F4BC798BD89F}">
      <formula1>0</formula1>
      <formula2>1</formula2>
    </dataValidation>
    <dataValidation type="list" allowBlank="1" showInputMessage="1" showErrorMessage="1" sqref="C20" xr:uid="{C9A4F0EB-2D97-4EF1-A6B8-6963D71AB965}">
      <formula1>"End Year,Mid Year"</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mc:AlternateContent xmlns:mc="http://schemas.openxmlformats.org/markup-compatibility/2006">
          <mc:Choice Requires="x14">
            <control shapeId="303109" r:id="rId4" name="Spinner 5">
              <controlPr defaultSize="0" autoPict="0" macro="[0]!ThisWorkbook.SetInflationConfig">
                <anchor moveWithCells="1" sizeWithCells="1">
                  <from>
                    <xdr:col>2</xdr:col>
                    <xdr:colOff>1514475</xdr:colOff>
                    <xdr:row>28</xdr:row>
                    <xdr:rowOff>9525</xdr:rowOff>
                  </from>
                  <to>
                    <xdr:col>2</xdr:col>
                    <xdr:colOff>1685925</xdr:colOff>
                    <xdr:row>28</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zoomScale="98" zoomScaleNormal="98" workbookViewId="0">
      <pane xSplit="1" topLeftCell="C1" activePane="topRight" state="frozen"/>
      <selection pane="topRight" activeCell="D11" sqref="D11"/>
    </sheetView>
  </sheetViews>
  <sheetFormatPr defaultColWidth="0" defaultRowHeight="15" zeroHeight="1"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hidden="1" customWidth="1"/>
    <col min="10" max="10" width="22" hidden="1" customWidth="1"/>
    <col min="11" max="11" width="26.7109375" hidden="1" customWidth="1"/>
    <col min="12" max="12" width="21.7109375" hidden="1"/>
    <col min="13" max="13" width="22" hidden="1"/>
    <col min="14" max="14" width="26.7109375" hidden="1"/>
    <col min="15" max="15" width="21.7109375" hidden="1"/>
    <col min="16" max="16" width="22" hidden="1"/>
    <col min="17" max="17" width="26.7109375" hidden="1"/>
    <col min="18" max="18" width="22.7109375" hidden="1"/>
    <col min="19" max="19" width="22" hidden="1"/>
    <col min="20" max="20" width="26.7109375" hidden="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activeCell="C21" sqref="C21"/>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x14ac:dyDescent="0.25">
      <c r="A30" s="9" t="s">
        <v>106</v>
      </c>
      <c r="C30" s="24"/>
    </row>
    <row r="31" spans="1:3" x14ac:dyDescent="0.25">
      <c r="B31" t="s">
        <v>64</v>
      </c>
      <c r="C31" s="22" t="s">
        <v>26</v>
      </c>
    </row>
    <row r="32" spans="1:3" x14ac:dyDescent="0.25">
      <c r="B32" t="s">
        <v>65</v>
      </c>
      <c r="C32" s="22">
        <v>60</v>
      </c>
    </row>
    <row r="33" spans="1:6" x14ac:dyDescent="0.25">
      <c r="B33" t="s">
        <v>66</v>
      </c>
      <c r="C33" s="23">
        <v>39448</v>
      </c>
    </row>
    <row r="34" spans="1:6" x14ac:dyDescent="0.25">
      <c r="B34" t="s">
        <v>67</v>
      </c>
      <c r="C34" s="29">
        <v>0.25</v>
      </c>
    </row>
    <row r="35" spans="1:6" x14ac:dyDescent="0.25">
      <c r="B35" t="s">
        <v>68</v>
      </c>
      <c r="C35" s="29">
        <v>1</v>
      </c>
    </row>
    <row r="36" spans="1:6" x14ac:dyDescent="0.25"/>
    <row r="37" spans="1:6" hidden="1" x14ac:dyDescent="0.25">
      <c r="A37" s="9" t="s">
        <v>249</v>
      </c>
    </row>
    <row r="38" spans="1:6" ht="14.45" hidden="1" customHeight="1" x14ac:dyDescent="0.25">
      <c r="B38" s="104" t="s">
        <v>250</v>
      </c>
      <c r="C38" s="106" t="s">
        <v>251</v>
      </c>
      <c r="D38" s="100" t="s">
        <v>255</v>
      </c>
      <c r="E38" s="98" t="s">
        <v>256</v>
      </c>
      <c r="F38" s="47"/>
    </row>
    <row r="39" spans="1:6" hidden="1" x14ac:dyDescent="0.25">
      <c r="B39" s="105"/>
      <c r="C39" s="107"/>
      <c r="D39" s="101"/>
      <c r="E39" s="99"/>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04" t="s">
        <v>253</v>
      </c>
      <c r="C49" s="106" t="s">
        <v>254</v>
      </c>
      <c r="D49" s="100" t="s">
        <v>255</v>
      </c>
      <c r="E49" s="102" t="s">
        <v>256</v>
      </c>
    </row>
    <row r="50" spans="1:5" hidden="1" x14ac:dyDescent="0.25">
      <c r="B50" s="105"/>
      <c r="C50" s="107"/>
      <c r="D50" s="101"/>
      <c r="E50" s="103"/>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x14ac:dyDescent="0.25">
      <c r="A30" s="9" t="s">
        <v>106</v>
      </c>
      <c r="C30" s="24"/>
    </row>
    <row r="31" spans="1:3" ht="15" x14ac:dyDescent="0.25">
      <c r="B31" t="s">
        <v>64</v>
      </c>
      <c r="C31" s="22" t="s">
        <v>26</v>
      </c>
    </row>
    <row r="32" spans="1:3" ht="15" x14ac:dyDescent="0.25">
      <c r="B32" t="s">
        <v>65</v>
      </c>
      <c r="C32" s="22">
        <v>60</v>
      </c>
    </row>
    <row r="33" spans="1:6" ht="15" x14ac:dyDescent="0.25">
      <c r="B33" t="s">
        <v>66</v>
      </c>
      <c r="C33" s="23">
        <v>39448</v>
      </c>
    </row>
    <row r="34" spans="1:6" ht="15" x14ac:dyDescent="0.25">
      <c r="B34" t="s">
        <v>67</v>
      </c>
      <c r="C34" s="29">
        <v>0.25</v>
      </c>
    </row>
    <row r="35" spans="1:6" ht="15" x14ac:dyDescent="0.25">
      <c r="B35" t="s">
        <v>68</v>
      </c>
      <c r="C35" s="29">
        <v>1</v>
      </c>
    </row>
    <row r="36" spans="1:6" ht="15" x14ac:dyDescent="0.25"/>
    <row r="37" spans="1:6" ht="15" hidden="1" x14ac:dyDescent="0.25">
      <c r="A37" s="9" t="s">
        <v>249</v>
      </c>
    </row>
    <row r="38" spans="1:6" ht="14.45" hidden="1" customHeight="1" x14ac:dyDescent="0.25">
      <c r="B38" s="104" t="s">
        <v>250</v>
      </c>
      <c r="C38" s="106" t="s">
        <v>251</v>
      </c>
      <c r="D38" s="100" t="s">
        <v>255</v>
      </c>
      <c r="E38" s="98" t="s">
        <v>256</v>
      </c>
      <c r="F38" s="47"/>
    </row>
    <row r="39" spans="1:6" ht="15" hidden="1" x14ac:dyDescent="0.25">
      <c r="B39" s="105"/>
      <c r="C39" s="107"/>
      <c r="D39" s="101"/>
      <c r="E39" s="99"/>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04" t="s">
        <v>253</v>
      </c>
      <c r="C49" s="106" t="s">
        <v>254</v>
      </c>
      <c r="D49" s="100" t="s">
        <v>255</v>
      </c>
      <c r="E49" s="102" t="s">
        <v>256</v>
      </c>
    </row>
    <row r="50" spans="1:5" ht="15" hidden="1" x14ac:dyDescent="0.25">
      <c r="B50" s="105"/>
      <c r="C50" s="107"/>
      <c r="D50" s="101"/>
      <c r="E50" s="103"/>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344</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x14ac:dyDescent="0.25">
      <c r="A25" s="9" t="s">
        <v>106</v>
      </c>
      <c r="C25" s="24"/>
    </row>
    <row r="26" spans="1:3" x14ac:dyDescent="0.25">
      <c r="B26" t="s">
        <v>64</v>
      </c>
      <c r="C26" s="22" t="s">
        <v>26</v>
      </c>
    </row>
    <row r="27" spans="1:3" x14ac:dyDescent="0.25">
      <c r="B27" t="s">
        <v>65</v>
      </c>
      <c r="C27" s="22">
        <v>60</v>
      </c>
    </row>
    <row r="28" spans="1:3" x14ac:dyDescent="0.25">
      <c r="B28" t="s">
        <v>66</v>
      </c>
      <c r="C28" s="23">
        <v>39448</v>
      </c>
    </row>
    <row r="29" spans="1:3" x14ac:dyDescent="0.25">
      <c r="B29" t="s">
        <v>67</v>
      </c>
      <c r="C29" s="29">
        <v>0.25</v>
      </c>
    </row>
    <row r="30" spans="1:3" x14ac:dyDescent="0.25">
      <c r="B30" t="s">
        <v>68</v>
      </c>
      <c r="C30" s="29">
        <v>1</v>
      </c>
    </row>
    <row r="31" spans="1:3" x14ac:dyDescent="0.25"/>
    <row r="35" spans="2:8" hidden="1" x14ac:dyDescent="0.25">
      <c r="B35" s="108" t="s">
        <v>90</v>
      </c>
      <c r="C35" s="108"/>
      <c r="D35" s="108"/>
      <c r="F35" s="108" t="s">
        <v>97</v>
      </c>
      <c r="G35" s="108"/>
      <c r="H35" s="108"/>
    </row>
    <row r="36" spans="2:8" hidden="1" x14ac:dyDescent="0.25">
      <c r="B36" s="15" t="s">
        <v>49</v>
      </c>
      <c r="C36" s="15" t="s">
        <v>50</v>
      </c>
      <c r="D36" s="19" t="s">
        <v>76</v>
      </c>
      <c r="F36" s="15" t="s">
        <v>49</v>
      </c>
      <c r="G36" s="15" t="s">
        <v>50</v>
      </c>
      <c r="H36" s="19" t="s">
        <v>76</v>
      </c>
    </row>
    <row r="37" spans="2:8" hidden="1" x14ac:dyDescent="0.25">
      <c r="B37" s="115" t="s">
        <v>36</v>
      </c>
      <c r="C37" s="16" t="s">
        <v>51</v>
      </c>
      <c r="D37" s="21">
        <v>5</v>
      </c>
      <c r="F37" s="115" t="s">
        <v>36</v>
      </c>
      <c r="G37" s="16" t="s">
        <v>51</v>
      </c>
      <c r="H37" s="21">
        <v>5</v>
      </c>
    </row>
    <row r="38" spans="2:8" hidden="1" x14ac:dyDescent="0.25">
      <c r="B38" s="116"/>
      <c r="C38" s="16" t="s">
        <v>52</v>
      </c>
      <c r="D38" s="21">
        <v>0</v>
      </c>
      <c r="F38" s="116"/>
      <c r="G38" s="16" t="s">
        <v>52</v>
      </c>
      <c r="H38" s="21">
        <v>3</v>
      </c>
    </row>
    <row r="39" spans="2:8" hidden="1" x14ac:dyDescent="0.25">
      <c r="B39" s="116"/>
      <c r="C39" s="17" t="s">
        <v>75</v>
      </c>
      <c r="D39" s="21">
        <v>0</v>
      </c>
      <c r="F39" s="116"/>
      <c r="G39" s="17" t="s">
        <v>28</v>
      </c>
      <c r="H39" s="21">
        <v>0</v>
      </c>
    </row>
    <row r="40" spans="2:8" hidden="1" x14ac:dyDescent="0.25">
      <c r="B40" s="117"/>
      <c r="C40" s="20" t="s">
        <v>28</v>
      </c>
      <c r="D40" s="21">
        <v>-5</v>
      </c>
      <c r="F40" s="117"/>
      <c r="G40" s="19" t="s">
        <v>96</v>
      </c>
      <c r="H40" s="21" t="s">
        <v>96</v>
      </c>
    </row>
    <row r="41" spans="2:8" ht="14.45" hidden="1" customHeight="1" x14ac:dyDescent="0.25">
      <c r="B41" s="115" t="s">
        <v>60</v>
      </c>
      <c r="C41" s="17" t="s">
        <v>29</v>
      </c>
      <c r="D41" s="21">
        <v>0</v>
      </c>
      <c r="F41" s="115" t="s">
        <v>60</v>
      </c>
      <c r="G41" s="17" t="s">
        <v>29</v>
      </c>
      <c r="H41" s="21">
        <v>0</v>
      </c>
    </row>
    <row r="42" spans="2:8" hidden="1" x14ac:dyDescent="0.25">
      <c r="B42" s="116"/>
      <c r="C42" s="17" t="s">
        <v>69</v>
      </c>
      <c r="D42" s="21">
        <v>8</v>
      </c>
      <c r="F42" s="116"/>
      <c r="G42" s="17" t="s">
        <v>69</v>
      </c>
      <c r="H42" s="21">
        <v>8</v>
      </c>
    </row>
    <row r="43" spans="2:8" hidden="1" x14ac:dyDescent="0.25">
      <c r="B43" s="116"/>
      <c r="C43" s="17" t="s">
        <v>70</v>
      </c>
      <c r="D43" s="21">
        <v>10</v>
      </c>
      <c r="F43" s="116"/>
      <c r="G43" s="17" t="s">
        <v>70</v>
      </c>
      <c r="H43" s="21">
        <v>10</v>
      </c>
    </row>
    <row r="44" spans="2:8" hidden="1" x14ac:dyDescent="0.25">
      <c r="B44" s="116"/>
      <c r="C44" s="17" t="s">
        <v>71</v>
      </c>
      <c r="D44" s="21">
        <v>12</v>
      </c>
      <c r="F44" s="116"/>
      <c r="G44" s="17" t="s">
        <v>71</v>
      </c>
      <c r="H44" s="21">
        <v>12</v>
      </c>
    </row>
    <row r="45" spans="2:8" ht="30" hidden="1" x14ac:dyDescent="0.25">
      <c r="B45" s="116"/>
      <c r="C45" s="17" t="s">
        <v>72</v>
      </c>
      <c r="D45" s="21">
        <v>14</v>
      </c>
      <c r="F45" s="116"/>
      <c r="G45" s="17" t="s">
        <v>72</v>
      </c>
      <c r="H45" s="21">
        <v>14</v>
      </c>
    </row>
    <row r="46" spans="2:8" hidden="1" x14ac:dyDescent="0.25">
      <c r="B46" s="117"/>
      <c r="C46" s="17" t="s">
        <v>53</v>
      </c>
      <c r="D46" s="21">
        <v>16</v>
      </c>
      <c r="F46" s="117"/>
      <c r="G46" s="17" t="s">
        <v>53</v>
      </c>
      <c r="H46" s="21">
        <v>16</v>
      </c>
    </row>
    <row r="47" spans="2:8" hidden="1" x14ac:dyDescent="0.25">
      <c r="B47" s="115" t="s">
        <v>38</v>
      </c>
      <c r="C47" s="17" t="s">
        <v>46</v>
      </c>
      <c r="D47" s="21">
        <v>0</v>
      </c>
      <c r="F47" s="115" t="s">
        <v>38</v>
      </c>
      <c r="G47" s="17" t="s">
        <v>46</v>
      </c>
      <c r="H47" s="21">
        <v>0</v>
      </c>
    </row>
    <row r="48" spans="2:8" hidden="1" x14ac:dyDescent="0.25">
      <c r="B48" s="117"/>
      <c r="C48" s="18" t="s">
        <v>54</v>
      </c>
      <c r="D48" s="21">
        <v>1</v>
      </c>
      <c r="F48" s="117"/>
      <c r="G48" s="18" t="s">
        <v>54</v>
      </c>
      <c r="H48" s="21">
        <v>1</v>
      </c>
    </row>
    <row r="49" spans="2:8" hidden="1" x14ac:dyDescent="0.25">
      <c r="B49" s="109" t="s">
        <v>39</v>
      </c>
      <c r="C49" s="18" t="s">
        <v>30</v>
      </c>
      <c r="D49" s="21">
        <v>0</v>
      </c>
      <c r="F49" s="112" t="s">
        <v>39</v>
      </c>
      <c r="G49" s="18" t="s">
        <v>30</v>
      </c>
      <c r="H49" s="21">
        <v>0</v>
      </c>
    </row>
    <row r="50" spans="2:8" hidden="1" x14ac:dyDescent="0.25">
      <c r="B50" s="110"/>
      <c r="C50" s="18" t="s">
        <v>77</v>
      </c>
      <c r="D50" s="21">
        <v>2</v>
      </c>
      <c r="F50" s="114"/>
      <c r="G50" s="18" t="s">
        <v>55</v>
      </c>
      <c r="H50" s="21">
        <v>2</v>
      </c>
    </row>
    <row r="51" spans="2:8" hidden="1" x14ac:dyDescent="0.25">
      <c r="B51" s="111"/>
      <c r="C51" s="19" t="s">
        <v>96</v>
      </c>
      <c r="D51" s="19" t="s">
        <v>96</v>
      </c>
      <c r="F51" s="113"/>
      <c r="G51" s="18" t="s">
        <v>56</v>
      </c>
      <c r="H51" s="21">
        <v>4</v>
      </c>
    </row>
    <row r="52" spans="2:8" hidden="1" x14ac:dyDescent="0.25">
      <c r="B52" s="112" t="s">
        <v>40</v>
      </c>
      <c r="C52" s="18" t="s">
        <v>35</v>
      </c>
      <c r="D52" s="21">
        <v>0</v>
      </c>
      <c r="F52" s="112" t="s">
        <v>40</v>
      </c>
      <c r="G52" s="18" t="s">
        <v>35</v>
      </c>
      <c r="H52" s="21">
        <v>0</v>
      </c>
    </row>
    <row r="53" spans="2:8" hidden="1" x14ac:dyDescent="0.25">
      <c r="B53" s="113"/>
      <c r="C53" s="18" t="s">
        <v>73</v>
      </c>
      <c r="D53" s="21">
        <v>16</v>
      </c>
      <c r="F53" s="113"/>
      <c r="G53" s="18" t="s">
        <v>73</v>
      </c>
      <c r="H53" s="21">
        <v>16</v>
      </c>
    </row>
    <row r="54" spans="2:8" hidden="1" x14ac:dyDescent="0.25">
      <c r="B54" s="112" t="s">
        <v>43</v>
      </c>
      <c r="C54" s="18" t="s">
        <v>31</v>
      </c>
      <c r="D54" s="21">
        <v>1</v>
      </c>
      <c r="F54" s="112" t="s">
        <v>43</v>
      </c>
      <c r="G54" s="18" t="s">
        <v>31</v>
      </c>
      <c r="H54" s="21">
        <v>1</v>
      </c>
    </row>
    <row r="55" spans="2:8" hidden="1" x14ac:dyDescent="0.25">
      <c r="B55" s="113"/>
      <c r="C55" s="18" t="s">
        <v>74</v>
      </c>
      <c r="D55" s="21">
        <v>0</v>
      </c>
      <c r="F55" s="113"/>
      <c r="G55" s="18" t="s">
        <v>74</v>
      </c>
      <c r="H55" s="21">
        <v>0</v>
      </c>
    </row>
    <row r="56" spans="2:8" hidden="1" x14ac:dyDescent="0.25">
      <c r="B56" s="112" t="s">
        <v>61</v>
      </c>
      <c r="C56" s="18" t="s">
        <v>57</v>
      </c>
      <c r="D56" s="21">
        <v>0</v>
      </c>
      <c r="F56" s="112" t="s">
        <v>61</v>
      </c>
      <c r="G56" s="18" t="s">
        <v>57</v>
      </c>
      <c r="H56" s="21">
        <v>0</v>
      </c>
    </row>
    <row r="57" spans="2:8" hidden="1" x14ac:dyDescent="0.25">
      <c r="B57" s="114"/>
      <c r="C57" s="18" t="s">
        <v>78</v>
      </c>
      <c r="D57" s="21">
        <v>2</v>
      </c>
      <c r="F57" s="114"/>
      <c r="G57" s="18" t="s">
        <v>78</v>
      </c>
      <c r="H57" s="21">
        <v>2</v>
      </c>
    </row>
    <row r="58" spans="2:8" hidden="1" x14ac:dyDescent="0.25">
      <c r="B58" s="114"/>
      <c r="C58" s="18" t="s">
        <v>47</v>
      </c>
      <c r="D58" s="21">
        <v>3</v>
      </c>
      <c r="F58" s="114"/>
      <c r="G58" s="18" t="s">
        <v>47</v>
      </c>
      <c r="H58" s="21">
        <v>3</v>
      </c>
    </row>
    <row r="59" spans="2:8" hidden="1" x14ac:dyDescent="0.25">
      <c r="B59" s="113"/>
      <c r="C59" s="18" t="s">
        <v>79</v>
      </c>
      <c r="D59" s="21">
        <v>4</v>
      </c>
      <c r="F59" s="113"/>
      <c r="G59" s="18" t="s">
        <v>79</v>
      </c>
      <c r="H59" s="21">
        <v>4</v>
      </c>
    </row>
    <row r="60" spans="2:8" hidden="1" x14ac:dyDescent="0.25">
      <c r="B60" s="112" t="s">
        <v>27</v>
      </c>
      <c r="C60" s="18" t="s">
        <v>80</v>
      </c>
      <c r="D60" s="21">
        <v>0</v>
      </c>
      <c r="F60" s="112" t="s">
        <v>27</v>
      </c>
      <c r="G60" s="18" t="s">
        <v>80</v>
      </c>
      <c r="H60" s="21">
        <v>0</v>
      </c>
    </row>
    <row r="61" spans="2:8" hidden="1" x14ac:dyDescent="0.25">
      <c r="B61" s="114"/>
      <c r="C61" s="18" t="s">
        <v>48</v>
      </c>
      <c r="D61" s="21">
        <v>3</v>
      </c>
      <c r="F61" s="114"/>
      <c r="G61" s="18" t="s">
        <v>48</v>
      </c>
      <c r="H61" s="21">
        <v>6</v>
      </c>
    </row>
    <row r="62" spans="2:8" hidden="1" x14ac:dyDescent="0.25">
      <c r="B62" s="113"/>
      <c r="C62" s="18" t="s">
        <v>81</v>
      </c>
      <c r="D62" s="21">
        <v>5</v>
      </c>
      <c r="F62" s="113"/>
      <c r="G62" s="18" t="s">
        <v>81</v>
      </c>
      <c r="H62" s="21">
        <v>10</v>
      </c>
    </row>
    <row r="63" spans="2:8" hidden="1" x14ac:dyDescent="0.25">
      <c r="B63" s="112" t="s">
        <v>62</v>
      </c>
      <c r="C63" s="18" t="s">
        <v>33</v>
      </c>
      <c r="D63" s="21">
        <v>0</v>
      </c>
      <c r="F63" s="112" t="s">
        <v>62</v>
      </c>
      <c r="G63" s="18" t="s">
        <v>33</v>
      </c>
      <c r="H63" s="21">
        <v>0</v>
      </c>
    </row>
    <row r="64" spans="2:8" hidden="1" x14ac:dyDescent="0.25">
      <c r="B64" s="114"/>
      <c r="C64" s="18" t="s">
        <v>82</v>
      </c>
      <c r="D64" s="21">
        <v>0.5</v>
      </c>
      <c r="F64" s="114"/>
      <c r="G64" s="18" t="s">
        <v>82</v>
      </c>
      <c r="H64" s="21">
        <v>0.5</v>
      </c>
    </row>
    <row r="65" spans="2:8" hidden="1" x14ac:dyDescent="0.25">
      <c r="B65" s="114"/>
      <c r="C65" s="18" t="s">
        <v>83</v>
      </c>
      <c r="D65" s="21">
        <v>1</v>
      </c>
      <c r="F65" s="114"/>
      <c r="G65" s="18" t="s">
        <v>83</v>
      </c>
      <c r="H65" s="21">
        <v>1</v>
      </c>
    </row>
    <row r="66" spans="2:8" hidden="1" x14ac:dyDescent="0.25">
      <c r="B66" s="114"/>
      <c r="C66" s="18" t="s">
        <v>84</v>
      </c>
      <c r="D66" s="21">
        <v>1.5</v>
      </c>
      <c r="F66" s="114"/>
      <c r="G66" s="18" t="s">
        <v>84</v>
      </c>
      <c r="H66" s="21">
        <v>1.5</v>
      </c>
    </row>
    <row r="67" spans="2:8" hidden="1" x14ac:dyDescent="0.25">
      <c r="B67" s="114"/>
      <c r="C67" s="18" t="s">
        <v>85</v>
      </c>
      <c r="D67" s="21">
        <v>2</v>
      </c>
      <c r="F67" s="114"/>
      <c r="G67" s="18" t="s">
        <v>85</v>
      </c>
      <c r="H67" s="21">
        <v>2</v>
      </c>
    </row>
    <row r="68" spans="2:8" hidden="1" x14ac:dyDescent="0.25">
      <c r="B68" s="113"/>
      <c r="C68" s="18" t="s">
        <v>92</v>
      </c>
      <c r="D68" s="21">
        <v>4</v>
      </c>
      <c r="F68" s="113"/>
      <c r="G68" s="18" t="s">
        <v>92</v>
      </c>
      <c r="H68" s="21">
        <v>4</v>
      </c>
    </row>
    <row r="69" spans="2:8" hidden="1" x14ac:dyDescent="0.25">
      <c r="B69" s="112" t="s">
        <v>63</v>
      </c>
      <c r="C69" s="18" t="s">
        <v>34</v>
      </c>
      <c r="D69" s="21">
        <v>0</v>
      </c>
      <c r="F69" s="112" t="s">
        <v>63</v>
      </c>
      <c r="G69" s="18" t="s">
        <v>34</v>
      </c>
      <c r="H69" s="21">
        <v>0</v>
      </c>
    </row>
    <row r="70" spans="2:8" hidden="1" x14ac:dyDescent="0.25">
      <c r="B70" s="114"/>
      <c r="C70" s="18" t="s">
        <v>88</v>
      </c>
      <c r="D70" s="21">
        <v>0.5</v>
      </c>
      <c r="F70" s="114"/>
      <c r="G70" s="18" t="s">
        <v>93</v>
      </c>
      <c r="H70" s="21">
        <v>1</v>
      </c>
    </row>
    <row r="71" spans="2:8" hidden="1" x14ac:dyDescent="0.25">
      <c r="B71" s="114"/>
      <c r="C71" s="18" t="s">
        <v>89</v>
      </c>
      <c r="D71" s="21">
        <v>0.75</v>
      </c>
      <c r="F71" s="114"/>
      <c r="G71" s="18" t="s">
        <v>94</v>
      </c>
      <c r="H71" s="21">
        <v>2</v>
      </c>
    </row>
    <row r="72" spans="2:8" hidden="1" x14ac:dyDescent="0.25">
      <c r="B72" s="113"/>
      <c r="C72" s="18" t="s">
        <v>91</v>
      </c>
      <c r="D72" s="21">
        <v>1</v>
      </c>
      <c r="F72" s="114"/>
      <c r="G72" s="18" t="s">
        <v>86</v>
      </c>
      <c r="H72" s="21">
        <v>3</v>
      </c>
    </row>
    <row r="73" spans="2:8" hidden="1" x14ac:dyDescent="0.25">
      <c r="F73" s="114"/>
      <c r="G73" s="18" t="s">
        <v>87</v>
      </c>
      <c r="H73" s="21">
        <v>4</v>
      </c>
    </row>
    <row r="74" spans="2:8" hidden="1" x14ac:dyDescent="0.25">
      <c r="F74" s="113"/>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332</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workbookViewId="0">
      <selection activeCell="A2" sqref="A2"/>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A2" sqref="A2"/>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5.710937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row r="30" spans="1:3" ht="14.45" customHeight="1" x14ac:dyDescent="0.25"/>
    <row r="31" spans="1:3" ht="14.45" customHeight="1" x14ac:dyDescent="0.25"/>
    <row r="33" spans="2:8" ht="15" hidden="1" x14ac:dyDescent="0.25">
      <c r="B33" s="108" t="s">
        <v>90</v>
      </c>
      <c r="C33" s="108"/>
      <c r="D33" s="108"/>
      <c r="F33" s="108" t="s">
        <v>97</v>
      </c>
      <c r="G33" s="108"/>
      <c r="H33" s="108"/>
    </row>
    <row r="34" spans="2:8" ht="15" hidden="1" x14ac:dyDescent="0.25">
      <c r="B34" s="15" t="s">
        <v>49</v>
      </c>
      <c r="C34" s="15" t="s">
        <v>50</v>
      </c>
      <c r="D34" s="19" t="s">
        <v>76</v>
      </c>
      <c r="F34" s="15" t="s">
        <v>49</v>
      </c>
      <c r="G34" s="15" t="s">
        <v>50</v>
      </c>
      <c r="H34" s="19" t="s">
        <v>76</v>
      </c>
    </row>
    <row r="35" spans="2:8" ht="15" hidden="1" x14ac:dyDescent="0.25">
      <c r="B35" s="115" t="s">
        <v>36</v>
      </c>
      <c r="C35" s="16" t="s">
        <v>51</v>
      </c>
      <c r="D35" s="21">
        <v>5</v>
      </c>
      <c r="F35" s="115" t="s">
        <v>36</v>
      </c>
      <c r="G35" s="16" t="s">
        <v>51</v>
      </c>
      <c r="H35" s="21">
        <v>5</v>
      </c>
    </row>
    <row r="36" spans="2:8" ht="15" hidden="1" x14ac:dyDescent="0.25">
      <c r="B36" s="116"/>
      <c r="C36" s="16" t="s">
        <v>52</v>
      </c>
      <c r="D36" s="21">
        <v>0</v>
      </c>
      <c r="F36" s="116"/>
      <c r="G36" s="16" t="s">
        <v>52</v>
      </c>
      <c r="H36" s="21">
        <v>3</v>
      </c>
    </row>
    <row r="37" spans="2:8" ht="15" hidden="1" x14ac:dyDescent="0.25">
      <c r="B37" s="116"/>
      <c r="C37" s="17" t="s">
        <v>75</v>
      </c>
      <c r="D37" s="21">
        <v>0</v>
      </c>
      <c r="F37" s="116"/>
      <c r="G37" s="17" t="s">
        <v>28</v>
      </c>
      <c r="H37" s="21">
        <v>0</v>
      </c>
    </row>
    <row r="38" spans="2:8" ht="15" hidden="1" x14ac:dyDescent="0.25">
      <c r="B38" s="117"/>
      <c r="C38" s="20" t="s">
        <v>28</v>
      </c>
      <c r="D38" s="21">
        <v>-5</v>
      </c>
      <c r="F38" s="117"/>
      <c r="G38" s="19" t="s">
        <v>96</v>
      </c>
      <c r="H38" s="21" t="s">
        <v>96</v>
      </c>
    </row>
    <row r="39" spans="2:8" ht="14.45" hidden="1" customHeight="1" x14ac:dyDescent="0.25">
      <c r="B39" s="115" t="s">
        <v>60</v>
      </c>
      <c r="C39" s="17" t="s">
        <v>29</v>
      </c>
      <c r="D39" s="21">
        <v>0</v>
      </c>
      <c r="F39" s="115" t="s">
        <v>60</v>
      </c>
      <c r="G39" s="17" t="s">
        <v>29</v>
      </c>
      <c r="H39" s="21">
        <v>0</v>
      </c>
    </row>
    <row r="40" spans="2:8" ht="15" hidden="1" x14ac:dyDescent="0.25">
      <c r="B40" s="116"/>
      <c r="C40" s="17" t="s">
        <v>69</v>
      </c>
      <c r="D40" s="21">
        <v>8</v>
      </c>
      <c r="F40" s="116"/>
      <c r="G40" s="17" t="s">
        <v>69</v>
      </c>
      <c r="H40" s="21">
        <v>8</v>
      </c>
    </row>
    <row r="41" spans="2:8" ht="15" hidden="1" x14ac:dyDescent="0.25">
      <c r="B41" s="116"/>
      <c r="C41" s="17" t="s">
        <v>70</v>
      </c>
      <c r="D41" s="21">
        <v>10</v>
      </c>
      <c r="F41" s="116"/>
      <c r="G41" s="17" t="s">
        <v>70</v>
      </c>
      <c r="H41" s="21">
        <v>10</v>
      </c>
    </row>
    <row r="42" spans="2:8" ht="15" hidden="1" x14ac:dyDescent="0.25">
      <c r="B42" s="116"/>
      <c r="C42" s="17" t="s">
        <v>71</v>
      </c>
      <c r="D42" s="21">
        <v>12</v>
      </c>
      <c r="F42" s="116"/>
      <c r="G42" s="17" t="s">
        <v>71</v>
      </c>
      <c r="H42" s="21">
        <v>12</v>
      </c>
    </row>
    <row r="43" spans="2:8" ht="30" hidden="1" x14ac:dyDescent="0.25">
      <c r="B43" s="116"/>
      <c r="C43" s="17" t="s">
        <v>72</v>
      </c>
      <c r="D43" s="21">
        <v>14</v>
      </c>
      <c r="F43" s="116"/>
      <c r="G43" s="17" t="s">
        <v>72</v>
      </c>
      <c r="H43" s="21">
        <v>14</v>
      </c>
    </row>
    <row r="44" spans="2:8" ht="15" hidden="1" x14ac:dyDescent="0.25">
      <c r="B44" s="117"/>
      <c r="C44" s="17" t="s">
        <v>53</v>
      </c>
      <c r="D44" s="21">
        <v>16</v>
      </c>
      <c r="F44" s="117"/>
      <c r="G44" s="17" t="s">
        <v>53</v>
      </c>
      <c r="H44" s="21">
        <v>16</v>
      </c>
    </row>
    <row r="45" spans="2:8" ht="15" hidden="1" x14ac:dyDescent="0.25">
      <c r="B45" s="115" t="s">
        <v>38</v>
      </c>
      <c r="C45" s="17" t="s">
        <v>46</v>
      </c>
      <c r="D45" s="21">
        <v>0</v>
      </c>
      <c r="F45" s="115" t="s">
        <v>38</v>
      </c>
      <c r="G45" s="17" t="s">
        <v>46</v>
      </c>
      <c r="H45" s="21">
        <v>0</v>
      </c>
    </row>
    <row r="46" spans="2:8" ht="15" hidden="1" x14ac:dyDescent="0.25">
      <c r="B46" s="117"/>
      <c r="C46" s="18" t="s">
        <v>54</v>
      </c>
      <c r="D46" s="21">
        <v>1</v>
      </c>
      <c r="F46" s="117"/>
      <c r="G46" s="18" t="s">
        <v>54</v>
      </c>
      <c r="H46" s="21">
        <v>1</v>
      </c>
    </row>
    <row r="47" spans="2:8" ht="15" hidden="1" x14ac:dyDescent="0.25">
      <c r="B47" s="109" t="s">
        <v>39</v>
      </c>
      <c r="C47" s="18" t="s">
        <v>30</v>
      </c>
      <c r="D47" s="21">
        <v>0</v>
      </c>
      <c r="F47" s="112" t="s">
        <v>39</v>
      </c>
      <c r="G47" s="18" t="s">
        <v>30</v>
      </c>
      <c r="H47" s="21">
        <v>0</v>
      </c>
    </row>
    <row r="48" spans="2:8" ht="15" hidden="1" x14ac:dyDescent="0.25">
      <c r="B48" s="110"/>
      <c r="C48" s="18" t="s">
        <v>77</v>
      </c>
      <c r="D48" s="21">
        <v>2</v>
      </c>
      <c r="F48" s="114"/>
      <c r="G48" s="18" t="s">
        <v>55</v>
      </c>
      <c r="H48" s="21">
        <v>2</v>
      </c>
    </row>
    <row r="49" spans="2:8" ht="15" hidden="1" x14ac:dyDescent="0.25">
      <c r="B49" s="111"/>
      <c r="C49" s="19" t="s">
        <v>96</v>
      </c>
      <c r="D49" s="19" t="s">
        <v>96</v>
      </c>
      <c r="F49" s="113"/>
      <c r="G49" s="18" t="s">
        <v>56</v>
      </c>
      <c r="H49" s="21">
        <v>4</v>
      </c>
    </row>
    <row r="50" spans="2:8" ht="15" hidden="1" x14ac:dyDescent="0.25">
      <c r="B50" s="112" t="s">
        <v>40</v>
      </c>
      <c r="C50" s="18" t="s">
        <v>35</v>
      </c>
      <c r="D50" s="21">
        <v>0</v>
      </c>
      <c r="F50" s="112" t="s">
        <v>40</v>
      </c>
      <c r="G50" s="18" t="s">
        <v>35</v>
      </c>
      <c r="H50" s="21">
        <v>0</v>
      </c>
    </row>
    <row r="51" spans="2:8" ht="15" hidden="1" x14ac:dyDescent="0.25">
      <c r="B51" s="113"/>
      <c r="C51" s="18" t="s">
        <v>73</v>
      </c>
      <c r="D51" s="21">
        <v>16</v>
      </c>
      <c r="F51" s="113"/>
      <c r="G51" s="18" t="s">
        <v>73</v>
      </c>
      <c r="H51" s="21">
        <v>16</v>
      </c>
    </row>
    <row r="52" spans="2:8" ht="15" hidden="1" x14ac:dyDescent="0.25">
      <c r="B52" s="112" t="s">
        <v>43</v>
      </c>
      <c r="C52" s="18" t="s">
        <v>31</v>
      </c>
      <c r="D52" s="21">
        <v>1</v>
      </c>
      <c r="F52" s="112" t="s">
        <v>43</v>
      </c>
      <c r="G52" s="18" t="s">
        <v>31</v>
      </c>
      <c r="H52" s="21">
        <v>1</v>
      </c>
    </row>
    <row r="53" spans="2:8" ht="15" hidden="1" x14ac:dyDescent="0.25">
      <c r="B53" s="113"/>
      <c r="C53" s="18" t="s">
        <v>74</v>
      </c>
      <c r="D53" s="21">
        <v>0</v>
      </c>
      <c r="F53" s="113"/>
      <c r="G53" s="18" t="s">
        <v>74</v>
      </c>
      <c r="H53" s="21">
        <v>0</v>
      </c>
    </row>
    <row r="54" spans="2:8" ht="15" hidden="1" x14ac:dyDescent="0.25">
      <c r="B54" s="112" t="s">
        <v>61</v>
      </c>
      <c r="C54" s="18" t="s">
        <v>57</v>
      </c>
      <c r="D54" s="21">
        <v>0</v>
      </c>
      <c r="F54" s="112" t="s">
        <v>61</v>
      </c>
      <c r="G54" s="18" t="s">
        <v>57</v>
      </c>
      <c r="H54" s="21">
        <v>0</v>
      </c>
    </row>
    <row r="55" spans="2:8" ht="15" hidden="1" x14ac:dyDescent="0.25">
      <c r="B55" s="114"/>
      <c r="C55" s="18" t="s">
        <v>78</v>
      </c>
      <c r="D55" s="21">
        <v>2</v>
      </c>
      <c r="F55" s="114"/>
      <c r="G55" s="18" t="s">
        <v>78</v>
      </c>
      <c r="H55" s="21">
        <v>2</v>
      </c>
    </row>
    <row r="56" spans="2:8" ht="15" hidden="1" x14ac:dyDescent="0.25">
      <c r="B56" s="114"/>
      <c r="C56" s="18" t="s">
        <v>47</v>
      </c>
      <c r="D56" s="21">
        <v>3</v>
      </c>
      <c r="F56" s="114"/>
      <c r="G56" s="18" t="s">
        <v>47</v>
      </c>
      <c r="H56" s="21">
        <v>3</v>
      </c>
    </row>
    <row r="57" spans="2:8" ht="15" hidden="1" x14ac:dyDescent="0.25">
      <c r="B57" s="113"/>
      <c r="C57" s="18" t="s">
        <v>79</v>
      </c>
      <c r="D57" s="21">
        <v>4</v>
      </c>
      <c r="F57" s="113"/>
      <c r="G57" s="18" t="s">
        <v>79</v>
      </c>
      <c r="H57" s="21">
        <v>4</v>
      </c>
    </row>
    <row r="58" spans="2:8" ht="15" hidden="1" x14ac:dyDescent="0.25">
      <c r="B58" s="112" t="s">
        <v>27</v>
      </c>
      <c r="C58" s="18" t="s">
        <v>80</v>
      </c>
      <c r="D58" s="21">
        <v>0</v>
      </c>
      <c r="F58" s="112" t="s">
        <v>27</v>
      </c>
      <c r="G58" s="18" t="s">
        <v>58</v>
      </c>
      <c r="H58" s="21">
        <v>0</v>
      </c>
    </row>
    <row r="59" spans="2:8" ht="15" hidden="1" x14ac:dyDescent="0.25">
      <c r="B59" s="114"/>
      <c r="C59" s="18" t="s">
        <v>48</v>
      </c>
      <c r="D59" s="21">
        <v>3</v>
      </c>
      <c r="F59" s="114"/>
      <c r="G59" s="18" t="s">
        <v>32</v>
      </c>
      <c r="H59" s="21">
        <v>6</v>
      </c>
    </row>
    <row r="60" spans="2:8" ht="15" hidden="1" x14ac:dyDescent="0.25">
      <c r="B60" s="113"/>
      <c r="C60" s="18" t="s">
        <v>81</v>
      </c>
      <c r="D60" s="21">
        <v>5</v>
      </c>
      <c r="F60" s="113"/>
      <c r="G60" s="18" t="s">
        <v>59</v>
      </c>
      <c r="H60" s="21">
        <v>10</v>
      </c>
    </row>
    <row r="61" spans="2:8" ht="15" hidden="1" x14ac:dyDescent="0.25">
      <c r="B61" s="112" t="s">
        <v>62</v>
      </c>
      <c r="C61" s="18" t="s">
        <v>33</v>
      </c>
      <c r="D61" s="21">
        <v>0</v>
      </c>
      <c r="F61" s="112" t="s">
        <v>62</v>
      </c>
      <c r="G61" s="18" t="s">
        <v>33</v>
      </c>
      <c r="H61" s="21">
        <v>0</v>
      </c>
    </row>
    <row r="62" spans="2:8" ht="15" hidden="1" x14ac:dyDescent="0.25">
      <c r="B62" s="114"/>
      <c r="C62" s="18" t="s">
        <v>82</v>
      </c>
      <c r="D62" s="21">
        <v>0.5</v>
      </c>
      <c r="F62" s="114"/>
      <c r="G62" s="18" t="s">
        <v>82</v>
      </c>
      <c r="H62" s="21">
        <v>0.5</v>
      </c>
    </row>
    <row r="63" spans="2:8" ht="15" hidden="1" x14ac:dyDescent="0.25">
      <c r="B63" s="114"/>
      <c r="C63" s="18" t="s">
        <v>83</v>
      </c>
      <c r="D63" s="21">
        <v>1</v>
      </c>
      <c r="F63" s="114"/>
      <c r="G63" s="18" t="s">
        <v>83</v>
      </c>
      <c r="H63" s="21">
        <v>1</v>
      </c>
    </row>
    <row r="64" spans="2:8" ht="15" hidden="1" x14ac:dyDescent="0.25">
      <c r="B64" s="114"/>
      <c r="C64" s="18" t="s">
        <v>84</v>
      </c>
      <c r="D64" s="21">
        <v>1.5</v>
      </c>
      <c r="F64" s="114"/>
      <c r="G64" s="18" t="s">
        <v>84</v>
      </c>
      <c r="H64" s="21">
        <v>1.5</v>
      </c>
    </row>
    <row r="65" spans="2:8" ht="15" hidden="1" x14ac:dyDescent="0.25">
      <c r="B65" s="114"/>
      <c r="C65" s="18" t="s">
        <v>85</v>
      </c>
      <c r="D65" s="21">
        <v>2</v>
      </c>
      <c r="F65" s="114"/>
      <c r="G65" s="18" t="s">
        <v>85</v>
      </c>
      <c r="H65" s="21">
        <v>2</v>
      </c>
    </row>
    <row r="66" spans="2:8" ht="15" hidden="1" x14ac:dyDescent="0.25">
      <c r="B66" s="113"/>
      <c r="C66" s="18" t="s">
        <v>92</v>
      </c>
      <c r="D66" s="21">
        <v>4</v>
      </c>
      <c r="F66" s="113"/>
      <c r="G66" s="18" t="s">
        <v>92</v>
      </c>
      <c r="H66" s="21">
        <v>4</v>
      </c>
    </row>
    <row r="67" spans="2:8" ht="15" hidden="1" x14ac:dyDescent="0.25">
      <c r="B67" s="112" t="s">
        <v>63</v>
      </c>
      <c r="C67" s="18" t="s">
        <v>34</v>
      </c>
      <c r="D67" s="21">
        <v>0</v>
      </c>
      <c r="F67" s="112" t="s">
        <v>63</v>
      </c>
      <c r="G67" s="18" t="s">
        <v>34</v>
      </c>
      <c r="H67" s="21">
        <v>0</v>
      </c>
    </row>
    <row r="68" spans="2:8" ht="15" hidden="1" x14ac:dyDescent="0.25">
      <c r="B68" s="114"/>
      <c r="C68" s="18" t="s">
        <v>88</v>
      </c>
      <c r="D68" s="21">
        <v>0.5</v>
      </c>
      <c r="F68" s="114"/>
      <c r="G68" s="18" t="s">
        <v>93</v>
      </c>
      <c r="H68" s="21">
        <v>1</v>
      </c>
    </row>
    <row r="69" spans="2:8" ht="15" hidden="1" x14ac:dyDescent="0.25">
      <c r="B69" s="114"/>
      <c r="C69" s="18" t="s">
        <v>89</v>
      </c>
      <c r="D69" s="21">
        <v>0.75</v>
      </c>
      <c r="F69" s="114"/>
      <c r="G69" s="18" t="s">
        <v>94</v>
      </c>
      <c r="H69" s="21">
        <v>2</v>
      </c>
    </row>
    <row r="70" spans="2:8" ht="15" hidden="1" x14ac:dyDescent="0.25">
      <c r="B70" s="113"/>
      <c r="C70" s="18" t="s">
        <v>91</v>
      </c>
      <c r="D70" s="21">
        <v>1</v>
      </c>
      <c r="F70" s="114"/>
      <c r="G70" s="18" t="s">
        <v>86</v>
      </c>
      <c r="H70" s="21">
        <v>3</v>
      </c>
    </row>
    <row r="71" spans="2:8" ht="15" hidden="1" x14ac:dyDescent="0.25">
      <c r="F71" s="114"/>
      <c r="G71" s="18" t="s">
        <v>87</v>
      </c>
      <c r="H71" s="21">
        <v>4</v>
      </c>
    </row>
    <row r="72" spans="2:8" ht="15" hidden="1" x14ac:dyDescent="0.25">
      <c r="F72" s="113"/>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8</vt:i4>
      </vt:variant>
    </vt:vector>
  </HeadingPairs>
  <TitlesOfParts>
    <vt:vector size="34" baseType="lpstr">
      <vt:lpstr>Cover</vt:lpstr>
      <vt:lpstr>UserGuide</vt:lpstr>
      <vt:lpstr>Summary</vt:lpstr>
      <vt:lpstr>General Config</vt:lpstr>
      <vt:lpstr>Sensitivity</vt:lpstr>
      <vt:lpstr>Optimization</vt:lpstr>
      <vt:lpstr>Monte Carlo</vt:lpstr>
      <vt:lpstr>Uncertainity</vt:lpstr>
      <vt:lpstr>Result Table GS</vt:lpstr>
      <vt:lpstr>Result Table CR</vt:lpstr>
      <vt:lpstr>Fiscal Config</vt:lpstr>
      <vt:lpstr>Prod Oil</vt:lpstr>
      <vt:lpstr>Prod Gas</vt:lpstr>
      <vt:lpstr>Cost Recovery Config</vt:lpstr>
      <vt:lpstr>Cost Recovery Config (2)</vt:lpstr>
      <vt:lpstr>Gross Split Config</vt:lpstr>
      <vt:lpstr>Prod LPG Propane</vt:lpstr>
      <vt:lpstr>Prod LPG Butane</vt:lpstr>
      <vt:lpstr>Prod CO2</vt:lpstr>
      <vt:lpstr>Prod Sulfur</vt:lpstr>
      <vt:lpstr>Prod Electricity</vt:lpstr>
      <vt:lpstr>Cost Tangible</vt:lpstr>
      <vt:lpstr>Cost Intangible</vt:lpstr>
      <vt:lpstr>Cost OPEX</vt:lpstr>
      <vt:lpstr>Cost ASR</vt:lpstr>
      <vt:lpstr>Gross Split Config (2)</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2023-11-25T06:55:27Z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