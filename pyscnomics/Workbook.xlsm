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13.xml" ContentType="application/vnd.openxmlformats-officedocument.spreadsheetml.table+xml"/>
  <Override PartName="/xl/drawings/drawing5.xml" ContentType="application/vnd.openxmlformats-officedocument.drawing+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5909748D-87EE-4978-AAB8-FBF66611E626}" xr6:coauthVersionLast="47" xr6:coauthVersionMax="47" xr10:uidLastSave="{00000000-0000-0000-0000-000000000000}"/>
  <bookViews>
    <workbookView xWindow="28695" yWindow="0" windowWidth="14610" windowHeight="15585" tabRatio="912" firstSheet="16" activeTab="24" xr2:uid="{F41B6BF2-4712-40A6-B007-CDDECCED21AA}"/>
  </bookViews>
  <sheets>
    <sheet name="Cover" sheetId="19" state="hidden" r:id="rId1"/>
    <sheet name="UserGuide" sheetId="8" state="hidden" r:id="rId2"/>
    <sheet name="Summary" sheetId="18" state="hidden" r:id="rId3"/>
    <sheet name="General Config" sheetId="4" r:id="rId4"/>
    <sheet name="Cost OPEX" sheetId="74" state="hidden" r:id="rId5"/>
    <sheet name="Cost Tangible" sheetId="72" state="hidden" r:id="rId6"/>
    <sheet name="Prod Oil (2)" sheetId="380" state="hidden" r:id="rId7"/>
    <sheet name="Prod Sulfur" sheetId="9" state="hidden" r:id="rId8"/>
    <sheet name="Prod LPG Propane (2)" sheetId="381" state="hidden" r:id="rId9"/>
    <sheet name="Prod Sulfur (2)" sheetId="384" state="hidden" r:id="rId10"/>
    <sheet name="Prod Gas (2)" sheetId="379" state="hidden" r:id="rId11"/>
    <sheet name="Cost Intangible" sheetId="73" state="hidden" r:id="rId12"/>
    <sheet name="Cost ASR" sheetId="75" state="hidden" r:id="rId13"/>
    <sheet name="Prod CO2" sheetId="10" state="hidden" r:id="rId14"/>
    <sheet name="Prod LPG Propane" sheetId="6" state="hidden" r:id="rId15"/>
    <sheet name="Prod CO2 (2)" sheetId="386" state="hidden" r:id="rId16"/>
    <sheet name="Sensitivity" sheetId="376" r:id="rId17"/>
    <sheet name="Optimization" sheetId="375" r:id="rId18"/>
    <sheet name="Monte Carlo" sheetId="378" state="hidden" r:id="rId19"/>
    <sheet name="Uncertainty" sheetId="377" r:id="rId20"/>
    <sheet name="Result Table GS" sheetId="347" state="hidden" r:id="rId21"/>
    <sheet name="Result Table CR" sheetId="346" r:id="rId22"/>
    <sheet name="Fiscal Config" sheetId="345" state="hidden" r:id="rId23"/>
    <sheet name="Prod Oil" sheetId="54" state="hidden" r:id="rId24"/>
    <sheet name="Cost Recovery Config" sheetId="16" r:id="rId25"/>
    <sheet name="Cost Recovery Config (2)" sheetId="343" state="hidden" r:id="rId26"/>
    <sheet name="Gross Split Config" sheetId="15" state="hidden" r:id="rId27"/>
    <sheet name="Gross Split Config (2)" sheetId="103" state="hidden" r:id="rId28"/>
    <sheet name="Prod LPG Butane" sheetId="7" state="hidden" r:id="rId29"/>
    <sheet name="Prod Electricity" sheetId="353" state="hidden" r:id="rId30"/>
    <sheet name="Prod Gas" sheetId="5" state="hidden" r:id="rId31"/>
    <sheet name="Prod Electricity (2)" sheetId="385" state="hidden" r:id="rId32"/>
    <sheet name="Prod LPG Butane (2)" sheetId="382" state="hidden" r:id="rId33"/>
  </sheets>
  <functionGroups builtInGroupCount="19"/>
  <externalReferences>
    <externalReference r:id="rId34"/>
  </externalReferences>
  <definedNames>
    <definedName name="_fiscalType">'General Config'!$C$2</definedName>
    <definedName name="_nButane">'General Config'!$D$15</definedName>
    <definedName name="_nCO2">'General Config'!$D$16</definedName>
    <definedName name="_nElectricity">'General Config'!$D$18</definedName>
    <definedName name="_nGas">'General Config'!$D$13</definedName>
    <definedName name="_nOil">'General Config'!$D$12</definedName>
    <definedName name="_nPropane">'General Config'!$D$14</definedName>
    <definedName name="_nSulfur">'General Config'!$D$17</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3" i="345" l="1"/>
  <c r="F18" i="375"/>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Muhamad Adhim Mulia</author>
  </authors>
  <commentList>
    <comment ref="C31" authorId="0" shapeId="0" xr:uid="{B06E4DFF-3A36-4415-95D1-9B70EF88A67B}">
      <text>
        <r>
          <rPr>
            <b/>
            <sz val="9"/>
            <color indexed="81"/>
            <rFont val="Tahoma"/>
            <family val="2"/>
          </rPr>
          <t xml:space="preserve">PySCnomics:
</t>
        </r>
        <r>
          <rPr>
            <sz val="9"/>
            <color indexed="81"/>
            <rFont val="Tahoma"/>
            <family val="2"/>
          </rPr>
          <t>The POT calculation is based on the 31st December of the reference year</t>
        </r>
        <r>
          <rPr>
            <b/>
            <sz val="9"/>
            <color indexed="81"/>
            <rFont val="Tahoma"/>
            <family val="2"/>
          </rPr>
          <t>.</t>
        </r>
        <r>
          <rPr>
            <sz val="9"/>
            <color indexed="81"/>
            <rFont val="Tahoma"/>
            <family val="2"/>
          </rPr>
          <t xml:space="preserve">
</t>
        </r>
      </text>
    </comment>
  </commentList>
</comments>
</file>

<file path=xl/sharedStrings.xml><?xml version="1.0" encoding="utf-8"?>
<sst xmlns="http://schemas.openxmlformats.org/spreadsheetml/2006/main" count="1057" uniqueCount="389">
  <si>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</si>
  <si>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</si>
  <si>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</si>
  <si>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</si>
  <si>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</si>
  <si>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</si>
  <si>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</si>
  <si>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</si>
  <si>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</si>
  <si>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</si>
  <si>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</si>
  <si>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</si>
  <si>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</si>
  <si>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</si>
  <si>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</si>
  <si>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</si>
  <si>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</si>
  <si>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</si>
  <si>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</si>
  <si>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</si>
  <si>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</si>
  <si>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</si>
  <si>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</si>
  <si>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</si>
  <si>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</si>
  <si>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</si>
  <si>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</si>
  <si>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</si>
  <si>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</si>
  <si>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</si>
  <si>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</si>
  <si>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</si>
  <si>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</si>
  <si>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</si>
  <si>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</si>
  <si>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</si>
  <si>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</si>
  <si>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</si>
  <si>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</si>
  <si>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</si>
  <si>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</si>
  <si>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</si>
  <si>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</si>
  <si>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</si>
  <si>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</si>
  <si>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</si>
  <si>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</si>
  <si>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</si>
  <si>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</si>
  <si>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</si>
  <si>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</si>
  <si>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</si>
  <si>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</si>
  <si>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</si>
  <si>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</si>
  <si>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</si>
  <si>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</si>
  <si>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</si>
  <si>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</si>
  <si>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</si>
  <si>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</si>
  <si>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</si>
  <si>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</si>
  <si>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</si>
  <si>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</si>
  <si>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</si>
  <si>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</si>
  <si>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</si>
  <si>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</si>
  <si>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</si>
  <si>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</si>
  <si>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</si>
  <si>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</si>
  <si>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</si>
  <si>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</si>
  <si>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</si>
  <si>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</si>
  <si>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</si>
  <si>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</si>
  <si>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</si>
  <si>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</si>
  <si>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</si>
  <si>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</si>
  <si>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</si>
  <si>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</si>
  <si>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</si>
  <si>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</si>
  <si>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</si>
  <si>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</si>
  <si>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</si>
  <si>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</si>
  <si>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</si>
  <si>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</si>
  <si>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</si>
  <si>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</si>
  <si>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</si>
  <si>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</si>
  <si>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</si>
  <si>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</si>
  <si>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</si>
  <si>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</si>
  <si>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</si>
  <si>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</si>
  <si>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</si>
  <si>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</si>
  <si>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</si>
  <si>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</si>
  <si>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</si>
  <si>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</si>
  <si>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</si>
  <si>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</si>
  <si>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</si>
  <si>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</si>
  <si>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</si>
  <si>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</si>
  <si>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</si>
  <si>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</si>
  <si>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</si>
  <si>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</si>
  <si>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</si>
  <si>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</si>
  <si>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</si>
  <si>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</si>
  <si>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</si>
  <si>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</si>
  <si>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</si>
  <si>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</si>
  <si>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</si>
  <si>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</si>
  <si>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</si>
  <si>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</si>
  <si>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</si>
  <si>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</si>
  <si>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</si>
  <si>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</si>
  <si>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</si>
  <si>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</si>
  <si>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</si>
  <si>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</si>
  <si>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</si>
  <si>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</si>
  <si>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</si>
  <si>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</si>
  <si>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</si>
  <si>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</si>
  <si>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</si>
  <si>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</si>
  <si>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</si>
  <si>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</si>
  <si>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</si>
  <si>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</si>
  <si>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</si>
  <si>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</si>
  <si>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</si>
  <si>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</si>
  <si>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</si>
  <si>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</si>
  <si>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</si>
  <si>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</si>
  <si>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</si>
  <si>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</si>
  <si>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</si>
  <si>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</si>
  <si>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</si>
  <si>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</si>
  <si>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</si>
  <si>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</si>
  <si>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</si>
  <si>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</si>
  <si>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</si>
  <si>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</si>
  <si>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</si>
  <si>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</si>
  <si>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</si>
  <si>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</si>
  <si>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</si>
  <si>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</si>
  <si>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</si>
  <si>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</si>
  <si>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</si>
  <si>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</si>
  <si>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</si>
  <si>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</si>
  <si>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</si>
  <si>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</si>
  <si>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</si>
  <si>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</si>
  <si>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</si>
  <si>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</si>
  <si>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</si>
  <si>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</si>
  <si>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</si>
  <si>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</si>
  <si>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</si>
  <si>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</si>
  <si>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</si>
  <si>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</si>
  <si>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</si>
  <si>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</si>
  <si>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</si>
  <si>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</si>
  <si>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</si>
  <si>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</si>
  <si>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</si>
  <si>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</si>
  <si>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</si>
  <si>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</si>
  <si>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</si>
  <si>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</si>
  <si>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</si>
  <si>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</si>
  <si>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</si>
  <si>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</si>
  <si>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</si>
  <si>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</si>
  <si>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</si>
  <si>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</si>
  <si>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</si>
  <si>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</si>
  <si>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</si>
  <si>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</si>
  <si>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</si>
  <si>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</si>
  <si>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</si>
  <si>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</si>
  <si>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</si>
  <si>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</si>
  <si>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</si>
  <si>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</si>
  <si>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</si>
  <si>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</si>
  <si>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</si>
  <si>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</si>
  <si>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</si>
  <si>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</si>
  <si>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</si>
  <si>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</si>
  <si>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</si>
  <si>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</si>
  <si>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</si>
  <si>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</si>
  <si>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</si>
  <si>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</si>
  <si>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</si>
  <si>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</si>
  <si>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</si>
  <si>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</si>
  <si>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</si>
  <si>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</si>
  <si>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</si>
  <si>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</si>
  <si>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</si>
  <si>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</si>
  <si>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</si>
  <si>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</si>
  <si>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</si>
  <si>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</si>
  <si>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</si>
  <si>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</si>
  <si>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</si>
  <si>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</si>
  <si>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</si>
  <si>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</si>
  <si>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</si>
  <si>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</si>
  <si>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</si>
  <si>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</si>
  <si>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</si>
  <si>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</si>
  <si>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</si>
  <si>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</si>
  <si>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</si>
  <si>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</si>
  <si>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</si>
  <si>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</si>
  <si>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</si>
  <si>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</si>
  <si>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</si>
  <si>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</si>
  <si>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</si>
  <si>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</si>
  <si>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</si>
  <si>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</si>
  <si>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</si>
  <si>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</si>
  <si>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</si>
  <si>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</si>
  <si>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</si>
  <si>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</si>
  <si>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</si>
  <si>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</si>
  <si>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</si>
  <si>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</si>
  <si>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</si>
  <si>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</si>
  <si>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</si>
  <si>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</si>
  <si>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</si>
  <si>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</si>
  <si>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</si>
  <si>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</si>
  <si>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</si>
  <si>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</si>
  <si>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</si>
  <si>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</si>
  <si>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</si>
  <si>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</si>
  <si>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</si>
  <si>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</si>
  <si>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</si>
  <si>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</si>
  <si>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</si>
  <si>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</si>
  <si>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</si>
  <si>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</si>
  <si>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</si>
  <si>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</si>
  <si>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</si>
  <si>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</si>
  <si>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</si>
  <si>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</si>
  <si>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</si>
  <si>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</si>
  <si>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</si>
  <si>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</si>
  <si>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</si>
  <si>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</si>
  <si>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</si>
  <si>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</si>
  <si>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</si>
  <si>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</si>
  <si>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</si>
  <si>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</si>
  <si>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</si>
  <si>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</si>
  <si>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</si>
  <si>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</si>
  <si>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</si>
  <si>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</si>
  <si>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</si>
  <si>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</si>
  <si>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</si>
  <si>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</si>
  <si>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</si>
  <si>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</si>
  <si>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</si>
  <si>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</si>
  <si>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</si>
  <si>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</si>
  <si>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</si>
  <si>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</si>
  <si>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</si>
  <si>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</si>
  <si>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</si>
  <si>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</si>
  <si>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</si>
  <si>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</si>
  <si>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</si>
  <si>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</si>
  <si>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</si>
  <si>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</si>
  <si>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</si>
  <si>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</si>
  <si>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</si>
  <si>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</si>
  <si>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</si>
  <si>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</si>
  <si>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</si>
  <si>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Result</t>
  </si>
  <si>
    <t>Distribution</t>
  </si>
  <si>
    <t>Fixed</t>
  </si>
  <si>
    <t>Standard Deviation</t>
  </si>
  <si>
    <t>PSC Declining Balance</t>
  </si>
  <si>
    <t>PySCnomics</t>
  </si>
  <si>
    <t>Please Design The Monte Carlo here  !!!!</t>
  </si>
  <si>
    <t>Inflation Configuration</t>
  </si>
  <si>
    <t>Inflation Rate</t>
  </si>
  <si>
    <t>Inflation Rate Mode</t>
  </si>
  <si>
    <t>Discounting Mode</t>
  </si>
  <si>
    <t>End Year</t>
  </si>
  <si>
    <t>SKK Full Cycle Nominal Terms</t>
  </si>
  <si>
    <t>Second Project Start Date</t>
  </si>
  <si>
    <t>Second Project End Date</t>
  </si>
  <si>
    <t>Transition Configuration</t>
  </si>
  <si>
    <t>Transferred Unrec. Cost</t>
  </si>
  <si>
    <t>Uncertainty Configuration</t>
  </si>
  <si>
    <t>ASR Configuration</t>
  </si>
  <si>
    <t>User Input - Multi Value</t>
  </si>
  <si>
    <t>PSC Cost Recovery (CR)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</si>
</sst>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3" fillId="0" borderId="4" xfId="0" applyFont="1" applyBorder="1" applyAlignment="1">
      <alignment horizontal="center"/>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235">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rgb="FF000000"/>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rgb="FF000000"/>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Spin" dx="26" fmlaLink="$D$12" max="10" min="1" page="10" val="2"/>
</file>

<file path=xl/ctrlProps/ctrlProp8.xml><?xml version="1.0" encoding="utf-8"?>
<formControlPr xmlns="http://schemas.microsoft.com/office/spreadsheetml/2009/9/main" objectType="Spin" dx="26" fmlaLink="$D$13" max="20" min="1" page="10" val="2"/>
</file>

<file path=xl/ctrlProps/ctrlProp9.xml><?xml version="1.0" encoding="utf-8"?>
<formControlPr xmlns="http://schemas.microsoft.com/office/spreadsheetml/2009/9/main" objectType="Spin" dx="26" fmlaLink="$D$14" max="10" min="1" page="10" val="2"/>
</file>

<file path=xl/ctrlProps/ctrlProp10.xml><?xml version="1.0" encoding="utf-8"?>
<formControlPr xmlns="http://schemas.microsoft.com/office/spreadsheetml/2009/9/main" objectType="Spin" dx="26" fmlaLink="$D$15" max="10" min="1" page="10" val="2"/>
</file>

<file path=xl/ctrlProps/ctrlProp11.xml><?xml version="1.0" encoding="utf-8"?>
<formControlPr xmlns="http://schemas.microsoft.com/office/spreadsheetml/2009/9/main" objectType="Spin" dx="26" fmlaLink="$D$16" max="10" min="1" page="10" val="2"/>
</file>

<file path=xl/ctrlProps/ctrlProp12.xml><?xml version="1.0" encoding="utf-8"?>
<formControlPr xmlns="http://schemas.microsoft.com/office/spreadsheetml/2009/9/main" objectType="Spin" dx="26" fmlaLink="$D$17" max="10" min="1" page="10" val="2"/>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3" max="20" min="1" page="10" val="2"/>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Spin" dx="26" fmlaLink="$D$18" max="10" min="1" page="10" val="2"/>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noThreeD="1"/>
</file>

<file path=xl/ctrlProps/ctrlProp30.xml><?xml version="1.0" encoding="utf-8"?>
<formControlPr xmlns="http://schemas.microsoft.com/office/spreadsheetml/2009/9/main" objectType="CheckBox" checked="Checked"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29" max="2" min="1" page="10" val="0"/>
</file>

<file path=xl/ctrlProps/ctrlProp34.xml><?xml version="1.0" encoding="utf-8"?>
<formControlPr xmlns="http://schemas.microsoft.com/office/spreadsheetml/2009/9/main" objectType="Spin" dx="26" fmlaLink="$C$7" max="3" min="1" page="10" val="2"/>
</file>

<file path=xl/ctrlProps/ctrlProp35.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xdr:row>
          <xdr:rowOff>19050</xdr:rowOff>
        </xdr:from>
        <xdr:to>
          <xdr:col>3</xdr:col>
          <xdr:colOff>828</xdr:colOff>
          <xdr:row>12</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828</xdr:colOff>
          <xdr:row>12</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3</xdr:col>
          <xdr:colOff>276225</xdr:colOff>
          <xdr:row>13</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3</xdr:col>
          <xdr:colOff>352425</xdr:colOff>
          <xdr:row>14</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16</xdr:row>
          <xdr:rowOff>19050</xdr:rowOff>
        </xdr:from>
        <xdr:to>
          <xdr:col>3</xdr:col>
          <xdr:colOff>828</xdr:colOff>
          <xdr:row>16</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9525</xdr:rowOff>
        </xdr:from>
        <xdr:to>
          <xdr:col>3</xdr:col>
          <xdr:colOff>828</xdr:colOff>
          <xdr:row>15</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16</xdr:row>
          <xdr:rowOff>9525</xdr:rowOff>
        </xdr:from>
        <xdr:to>
          <xdr:col>4</xdr:col>
          <xdr:colOff>504825</xdr:colOff>
          <xdr:row>16</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12</xdr:row>
          <xdr:rowOff>9525</xdr:rowOff>
        </xdr:from>
        <xdr:to>
          <xdr:col>8</xdr:col>
          <xdr:colOff>361950</xdr:colOff>
          <xdr:row>12</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17</xdr:row>
          <xdr:rowOff>19050</xdr:rowOff>
        </xdr:from>
        <xdr:to>
          <xdr:col>3</xdr:col>
          <xdr:colOff>828</xdr:colOff>
          <xdr:row>17</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17</xdr:row>
          <xdr:rowOff>9525</xdr:rowOff>
        </xdr:from>
        <xdr:to>
          <xdr:col>4</xdr:col>
          <xdr:colOff>504825</xdr:colOff>
          <xdr:row>17</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5</xdr:row>
          <xdr:rowOff>19050</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11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6</xdr:row>
          <xdr:rowOff>19050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11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7</xdr:row>
          <xdr:rowOff>19050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11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8</xdr:row>
          <xdr:rowOff>19050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11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9</xdr:row>
          <xdr:rowOff>19050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11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10</xdr:row>
          <xdr:rowOff>19050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11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11</xdr:row>
          <xdr:rowOff>19050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11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12</xdr:row>
          <xdr:rowOff>19050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11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13</xdr:row>
          <xdr:rowOff>19050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11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11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11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11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19050</xdr:rowOff>
        </xdr:from>
        <xdr:to>
          <xdr:col>3</xdr:col>
          <xdr:colOff>438150</xdr:colOff>
          <xdr:row>19</xdr:row>
          <xdr:rowOff>161925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11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438150</xdr:colOff>
          <xdr:row>19</xdr:row>
          <xdr:rowOff>161925</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11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19050</xdr:rowOff>
        </xdr:from>
        <xdr:to>
          <xdr:col>3</xdr:col>
          <xdr:colOff>438150</xdr:colOff>
          <xdr:row>19</xdr:row>
          <xdr:rowOff>161925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11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16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28</xdr:row>
          <xdr:rowOff>9525</xdr:rowOff>
        </xdr:from>
        <xdr:to>
          <xdr:col>2</xdr:col>
          <xdr:colOff>1685925</xdr:colOff>
          <xdr:row>28</xdr:row>
          <xdr:rowOff>171450</xdr:rowOff>
        </xdr:to>
        <xdr:sp macro="" textlink="">
          <xdr:nvSpPr>
            <xdr:cNvPr id="303109" name="Spinner 5" hidden="1">
              <a:extLst>
                <a:ext uri="{63B3BB69-23CF-44E3-9099-C40C66FF867C}">
                  <a14:compatExt spid="_x0000_s303109"/>
                </a:ext>
                <a:ext uri="{FF2B5EF4-FFF2-40B4-BE49-F238E27FC236}">
                  <a16:creationId xmlns:a16="http://schemas.microsoft.com/office/drawing/2014/main" id="{00000000-0008-0000-1600-000005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8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9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234" dataDxfId="233">
  <autoFilter ref="A1:H200" xr:uid="{7C91890B-09E6-4AFA-B40C-6F75BB3A42FE}"/>
  <tableColumns count="8">
    <tableColumn id="1" xr3:uid="{AC895082-1EAA-441F-8FD0-34C18A1CB089}" name="Year" dataDxfId="232"/>
    <tableColumn id="3" xr3:uid="{FE660166-2BA0-42A0-937E-5DBF97CED42C}" name="Associated With" dataDxfId="231"/>
    <tableColumn id="4" xr3:uid="{C739732C-69FF-4102-B6A2-101C10C34836}" name="Fixed Cost (MUSD)" dataDxfId="230"/>
    <tableColumn id="5" xr3:uid="{67A869D6-1E1C-47FA-9CB2-B9EBAB8A9115}" name="Production Rate" dataDxfId="229"/>
    <tableColumn id="8" xr3:uid="{45C3823F-84A4-4F62-A0A4-DA263536063F}" name="Cost Per Production Volume" dataDxfId="228"/>
    <tableColumn id="6" xr3:uid="{1A0F968A-3852-413A-94F7-58572EA4EED6}" name="VAT Portion" dataDxfId="227"/>
    <tableColumn id="2" xr3:uid="{3BE87D45-FDD7-4B44-8923-9B29FC792264}" name="LBT Portion" dataDxfId="226"/>
    <tableColumn id="7" xr3:uid="{4719FAF0-B894-4DE5-830E-BDF8B52BACBC}" name="Description" dataDxfId="225"/>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224" dataDxfId="223">
  <autoFilter ref="A1:K200" xr:uid="{7C91890B-09E6-4AFA-B40C-6F75BB3A42FE}"/>
  <tableColumns count="11">
    <tableColumn id="1" xr3:uid="{C5E29AD2-AE25-44BD-901B-58F05DE5E702}" name="Year" dataDxfId="222"/>
    <tableColumn id="3" xr3:uid="{34B633CC-B7D2-4E02-B4C0-6546AED90ECD}" name="Associated With" dataDxfId="221"/>
    <tableColumn id="4" xr3:uid="{15363438-3001-44B3-BFFB-44F0E337DA0F}" name="Cost (MUSD)" dataDxfId="220"/>
    <tableColumn id="5" xr3:uid="{26A9C678-E732-4913-AC99-C95C83093FA8}" name="PIS Year" dataDxfId="219"/>
    <tableColumn id="8" xr3:uid="{7364EFAD-EAA4-45EB-8863-C84BB6B52FCF}" name="Useful Life (Years)" dataDxfId="218"/>
    <tableColumn id="9" xr3:uid="{7894BF9B-F0BD-4BFE-BFA3-3BE9D613C40A}" name="Depreciation Factor" dataDxfId="217"/>
    <tableColumn id="11" xr3:uid="{3328797F-722A-43DE-B743-779488C03E40}" name="Salvage Value" dataDxfId="216"/>
    <tableColumn id="10" xr3:uid="{88614DD2-0187-4679-A89D-61C72EA94D65}" name="Applied By IC" dataDxfId="215"/>
    <tableColumn id="6" xr3:uid="{A9867297-A677-4A93-9B0F-A32163B58107}" name="VAT Portion" dataDxfId="214"/>
    <tableColumn id="12" xr3:uid="{E4597EDC-E479-4B07-9316-B7D3C15AAE4C}" name="LBT Portion" dataDxfId="213"/>
    <tableColumn id="7" xr3:uid="{E6363697-EFAA-4A7E-A486-8D9583D38261}" name="Description" dataDxfId="212"/>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6613858-BF2F-4F9D-83A1-FCE3EC950DD3}" name="tbl_prod_oil8" displayName="tbl_prod_oil8" ref="A1:E50" totalsRowShown="0" headerRowDxfId="211" dataDxfId="210">
  <tableColumns count="5">
    <tableColumn id="1" xr3:uid="{5CEA5C2F-BB5B-486C-B83A-FE43662602AB}" name="Year" dataDxfId="209"/>
    <tableColumn id="2" xr3:uid="{7B25BDF3-3920-466B-9993-638F8C3F633D}" name="Oil Sales (MMBOPY)" dataDxfId="208"/>
    <tableColumn id="3" xr3:uid="{677C4E25-114D-4253-B0BC-F6F48EA428AE}" name="Oil Price (USD/BBL)" dataDxfId="207"/>
    <tableColumn id="4" xr3:uid="{0A15D953-6DF1-4F57-820B-41B0DC86F783}" name="Condensate Sales (MMBOPY)" dataDxfId="206"/>
    <tableColumn id="5" xr3:uid="{CEF3728F-9349-49CC-AD54-8130CAAB6550}" name="Condensate Price (USD/BBL)" dataDxfId="205"/>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204" dataDxfId="203">
  <autoFilter ref="A1:C50" xr:uid="{DEE72A9B-4BBC-4F3F-80BF-BC7085A5EA38}"/>
  <tableColumns count="3">
    <tableColumn id="1" xr3:uid="{36797F45-B4D8-4AAF-9EF9-72A94931E9BD}" name="Year" dataDxfId="202"/>
    <tableColumn id="2" xr3:uid="{F565D607-058E-4CC9-A868-ABC946C30F0A}" name="Sulfur Sales (Ton)" dataDxfId="201"/>
    <tableColumn id="3" xr3:uid="{FE95A159-27F7-4729-98BD-3BC24A13F318}" name="Price (MMUSD/Unit)" dataDxfId="20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AEE9998-2A3C-4EE3-8CED-911965089443}" name="tbl_prod_lpgpropane9" displayName="tbl_prod_lpgpropane9" ref="A1:C50" totalsRowShown="0" headerRowDxfId="199" dataDxfId="198">
  <autoFilter ref="A1:C50" xr:uid="{4F6CF9AB-FA3D-4BB4-ADAA-CA685555616C}"/>
  <tableColumns count="3">
    <tableColumn id="1" xr3:uid="{412893BC-8B75-4F6F-B80D-B255DA57C3E2}" name="Year" dataDxfId="197"/>
    <tableColumn id="2" xr3:uid="{CD11AA9D-B8BD-45D8-8706-12C9B0730F70}" name="LPG Propane Sales (MT)" dataDxfId="196"/>
    <tableColumn id="3" xr3:uid="{C0B4CC95-E42A-4E3B-A94A-E5CCE938CA45}" name="LPG Propane Price (USD/T)" dataDxfId="195"/>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9A9B94-8833-4ECA-A64E-E18947C13619}" name="tbl_prod_sulfur13" displayName="tbl_prod_sulfur13" ref="A1:C50" totalsRowShown="0" headerRowDxfId="194" dataDxfId="193">
  <autoFilter ref="A1:C50" xr:uid="{DEE72A9B-4BBC-4F3F-80BF-BC7085A5EA38}"/>
  <tableColumns count="3">
    <tableColumn id="1" xr3:uid="{3C5504C9-2ED7-4C72-B9F4-736514E56AE0}" name="Year" dataDxfId="192"/>
    <tableColumn id="2" xr3:uid="{18CA5C4F-F514-4FB1-84AE-69C4582342D4}" name="Sulfur Sales (Ton)" dataDxfId="191"/>
    <tableColumn id="3" xr3:uid="{46C2400F-5028-4B3B-928C-AEA434EC69AE}" name="Price (MMUSD/Unit)" dataDxfId="190"/>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D4414D-242D-460D-A20D-981CD7216275}" name="tbl_prod_gas2" displayName="tbl_prod_gas2" ref="A1:BJ50" totalsRowShown="0" headerRowDxfId="189" dataDxfId="188">
  <autoFilter ref="A1:BJ50" xr:uid="{F3B5FD60-3EF6-4239-90D9-138C2E5C0533}"/>
  <tableColumns count="62">
    <tableColumn id="1" xr3:uid="{4F781F64-7D28-41C5-A80C-5DF64182369F}" name="Year" dataDxfId="187"/>
    <tableColumn id="2" xr3:uid="{82F3847E-0437-4CE8-BB1D-BA9BE48CAB18}" name="Gas Production (BSCF)" dataDxfId="186"/>
    <tableColumn id="3" xr3:uid="{65F163F2-7C35-498A-8B81-A04A62AE72E5}" name="GSA 1 Volume (BSCF)" dataDxfId="185"/>
    <tableColumn id="4" xr3:uid="{92BF0012-7E81-49AE-9B21-7A4D62C6014A}" name="GSA 1 GHV (BTU/SCF)" dataDxfId="184"/>
    <tableColumn id="5" xr3:uid="{A8B1AA9A-52B2-4AED-987D-391788CDC2C5}" name="GSA 1 Price (USD/MMBTU)" dataDxfId="183"/>
    <tableColumn id="6" xr3:uid="{90DAB119-F925-4B1A-B404-2DED67A00F08}" name="GSA 2 Volume (BSCF)" dataDxfId="182"/>
    <tableColumn id="7" xr3:uid="{CE0122EB-81B5-4E56-87C1-D3B7AEC86BBF}" name="GSA 2 GHV (BTU/SCF)" dataDxfId="181"/>
    <tableColumn id="8" xr3:uid="{2178AF4D-5ECC-496F-95D4-BB4BD3E76F42}" name="GSA 2 Price (USD/MMBTU)" dataDxfId="180"/>
    <tableColumn id="9" xr3:uid="{A99DEB86-06D8-464D-9EF7-AE4C21F9BD56}" name="GSA 3 Volume (BSCF)" dataDxfId="179"/>
    <tableColumn id="10" xr3:uid="{C9C911F8-8C60-4D42-9796-8DB5EF374ED4}" name="GSA 3 GHV (BTU/SCF)" dataDxfId="178"/>
    <tableColumn id="11" xr3:uid="{C8A7E44B-22A5-4570-B244-EAE7836D0090}" name="GSA 3 Price (USD/MMBTU)" dataDxfId="177"/>
    <tableColumn id="12" xr3:uid="{A5B2FDDB-35B0-4398-A2E4-200D90E725A8}" name="GSA 4 Volume (BSCF)" dataDxfId="176"/>
    <tableColumn id="13" xr3:uid="{B0E9BC21-FECC-4E6A-838C-A4D23DCD6BD8}" name="GSA 4 GHV (BTU/SCF)" dataDxfId="175"/>
    <tableColumn id="14" xr3:uid="{B192273B-91BA-4CBE-8D97-7F29976D83DB}" name="GSA 4 Price (USD/MMBTU)" dataDxfId="174"/>
    <tableColumn id="15" xr3:uid="{6FBEA7CD-876D-4429-B15D-ECA5D42AE9AB}" name="GSA 5 Volume (BSCF)" dataDxfId="173"/>
    <tableColumn id="16" xr3:uid="{067C6244-A6CC-41E1-949F-4103A91004C0}" name="GSA 5 GHV (BTU/SCF)" dataDxfId="172"/>
    <tableColumn id="17" xr3:uid="{5F735F15-10ED-4CE0-99CC-1564703451BE}" name="GSA 5 Price (USD/MMBTU)" dataDxfId="171"/>
    <tableColumn id="18" xr3:uid="{1ED66634-DE7A-456A-9DFF-426AABA834A2}" name="GSA 6 Volume (BSCF)5" dataDxfId="170"/>
    <tableColumn id="19" xr3:uid="{8736BAD4-AC1F-4FB7-B5CC-7C2DDA3AD972}" name="GSA 6 GHV (BTU/SCF)" dataDxfId="169"/>
    <tableColumn id="20" xr3:uid="{A9752065-9F91-4825-ADA4-6F7A90CA66E4}" name="GSA 6 Price (USD/MMBTU)" dataDxfId="168"/>
    <tableColumn id="21" xr3:uid="{DDB8E1F6-252A-4129-AAE0-7AF3494F2046}" name="GSA 7 Volume (BSCF)" dataDxfId="167"/>
    <tableColumn id="22" xr3:uid="{95776942-7034-4C3B-9317-728E2BB9756A}" name="GSA 7 GHV (BTU/SCF)" dataDxfId="166"/>
    <tableColumn id="23" xr3:uid="{68DBF76C-4F9E-4E89-84DA-A9CEB994C81C}" name="GSA 7 Price (USD/MMBTU)" dataDxfId="165"/>
    <tableColumn id="24" xr3:uid="{B5A4014A-3A7F-4C06-AFDA-4D57BC197A94}" name="GSA 8 Volume (BSCF)" dataDxfId="164"/>
    <tableColumn id="25" xr3:uid="{7CE75E55-1E2C-40A4-AF4A-A325805258A6}" name="GSA 8 GHV (BTU/SCF)" dataDxfId="163"/>
    <tableColumn id="26" xr3:uid="{32501F40-D1F2-4918-8A46-AC1B8096F564}" name="GSA 8 Price (USD/MMBTU)" dataDxfId="162"/>
    <tableColumn id="27" xr3:uid="{57EA752D-7794-4882-A3B4-67944BAB616E}" name="GSA 9 Volume (BSCF)" dataDxfId="161"/>
    <tableColumn id="28" xr3:uid="{0491DCED-245A-45BA-95DB-6BF0AF977F1F}" name="GSA 9 GHV (BTU/SCF)" dataDxfId="160"/>
    <tableColumn id="29" xr3:uid="{78A27E57-B683-45F5-A256-5213ED7CCCF0}" name="GSA 9 Price (USD/MMBTU)" dataDxfId="159"/>
    <tableColumn id="30" xr3:uid="{DFF89FFF-40A4-437B-BD80-9FFAAFEB1EE5}" name="GSA 10 Volume (BSCF)" dataDxfId="158"/>
    <tableColumn id="31" xr3:uid="{E9774861-59DC-4582-91C4-9F34A1E81F67}" name="GSA 10 GHV (BTU/SCF)" dataDxfId="157"/>
    <tableColumn id="32" xr3:uid="{0B4D2581-C996-4E94-B356-FB78E60A3737}" name="GSA 10 Price (USD/MMBTU)" dataDxfId="156"/>
    <tableColumn id="33" xr3:uid="{B6E6DD5A-8AF4-4DAB-8861-AC0203FBC61B}" name="GSA 11 Volume (BSCF)" dataDxfId="155"/>
    <tableColumn id="34" xr3:uid="{980402EB-1627-4197-B791-30F936A9FA0F}" name="GSA 11 GHV (BTU/SCF)" dataDxfId="154"/>
    <tableColumn id="35" xr3:uid="{24652BD4-D3D7-4576-8379-26AAA875429F}" name="GSA 11 Price (USD/MMBTU)" dataDxfId="153"/>
    <tableColumn id="36" xr3:uid="{64FEA7F3-960C-4CB0-9E00-A14822ECCD33}" name="GSA 12 Volume (BSCF)" dataDxfId="152"/>
    <tableColumn id="37" xr3:uid="{1617AE55-B36C-4670-AEB6-569F9E5F3060}" name="GSA 12 GHV (BTU/SCF)" dataDxfId="151"/>
    <tableColumn id="38" xr3:uid="{14302BC9-4B19-4D78-B48D-B98EC97DA614}" name="GSA 12 Price (USD/MMBTU)" dataDxfId="150"/>
    <tableColumn id="39" xr3:uid="{9D7C9989-E54A-4492-A953-63653AD6500B}" name="GSA 13 Volume (BSCF)5" dataDxfId="149"/>
    <tableColumn id="40" xr3:uid="{5A4823B9-098D-40D4-814A-DF91626DD9CD}" name="GSA 13 GHV (BTU/SCF)" dataDxfId="148"/>
    <tableColumn id="41" xr3:uid="{AF3C6C04-90B2-494A-84E9-45EF29CED723}" name="GSA 13 Price (USD/MMBTU)" dataDxfId="147"/>
    <tableColumn id="42" xr3:uid="{23FD6F4F-5875-4DA8-9860-1D8CA8D711F6}" name="GSA 14 Volume (BSCF)" dataDxfId="146"/>
    <tableColumn id="43" xr3:uid="{50E928DF-094E-4DD9-B672-4679E152953A}" name="GSA 14 GHV (BTU/SCF)" dataDxfId="145"/>
    <tableColumn id="44" xr3:uid="{BB5890E7-851F-48F8-B708-39908482D7AE}" name="GSA 14 Price (USD/MMBTU)" dataDxfId="144"/>
    <tableColumn id="45" xr3:uid="{9C938309-8CD4-48CA-993F-DD72A0710283}" name="GSA 15 Volume (BSCF)" dataDxfId="143"/>
    <tableColumn id="46" xr3:uid="{86349CFC-4AAF-49C2-BD7C-3E67719AEE84}" name="GSA 15 GHV (BTU/SCF)" dataDxfId="142"/>
    <tableColumn id="47" xr3:uid="{DFC511DE-ED8C-45CC-89FF-C91388CA6F27}" name="GSA 15 Price (USD/MMBTU)" dataDxfId="141"/>
    <tableColumn id="48" xr3:uid="{7374AF0A-A0F1-48CD-A710-89619B408BDE}" name="GSA 16 Volume (BSCF)" dataDxfId="140"/>
    <tableColumn id="49" xr3:uid="{5AE47D76-1DA3-43F6-A12C-3A7210036F88}" name="GSA 16 GHV (BTU/SCF)" dataDxfId="139"/>
    <tableColumn id="50" xr3:uid="{5F52CE6D-735E-4BFA-9701-AAB21D536883}" name="GSA 16 Price (USD/MMBTU)" dataDxfId="138"/>
    <tableColumn id="51" xr3:uid="{DFA792F4-3F36-476C-AB67-874D4F4A6C92}" name="GSA 17 Volume (BSCF)" dataDxfId="137"/>
    <tableColumn id="52" xr3:uid="{E28659C5-C75A-47C3-993B-AE7DF552E3EB}" name="GSA 17 GHV (BTU/SCF)" dataDxfId="136"/>
    <tableColumn id="53" xr3:uid="{930BEE8A-2A33-43F2-99B4-2B2011425D92}" name="GSA 17 Price (USD/MMBTU)" dataDxfId="135"/>
    <tableColumn id="62" xr3:uid="{6C4BF7F8-A079-46CC-986E-E16C13F6B519}" name="GSA 18 Volume (BSCF)" dataDxfId="134"/>
    <tableColumn id="61" xr3:uid="{599ABA94-9D41-43AE-9613-645A1BD37A9F}" name="GSA 18 GHV (BTU/SCF)" dataDxfId="133"/>
    <tableColumn id="60" xr3:uid="{C0401DF9-9D4A-4C5B-B6D8-42C6894ED9D9}" name="GSA 18 Price (USD/MMBTU)" dataDxfId="132"/>
    <tableColumn id="54" xr3:uid="{5EDD3853-C06D-46BA-8E56-82A07A028053}" name="GSA 19 Volume (BSCF)" dataDxfId="131"/>
    <tableColumn id="55" xr3:uid="{393BFFB6-32B9-4BF4-85F2-5CC86D46E085}" name="GSA 19 GHV (BTU/SCF)" dataDxfId="130"/>
    <tableColumn id="56" xr3:uid="{FD1F832D-42DE-41A6-A61A-D32322C5793F}" name="GSA 19 Price (USD/MMBTU)" dataDxfId="129"/>
    <tableColumn id="57" xr3:uid="{FFC6709A-7289-42EC-AA8E-9A8DBBF1BE06}" name="GSA 20 Volume (BSCF)5" dataDxfId="128"/>
    <tableColumn id="58" xr3:uid="{91F9C8B6-F038-4C3B-8110-A172C0C81D4C}" name="GSA 20 GHV (BTU/SCF)" dataDxfId="127"/>
    <tableColumn id="59" xr3:uid="{72E2F05D-B335-4820-80AE-5E7CBAD4E894}" name="GSA 20 Price (USD/MMBTU)" dataDxfId="126"/>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125" dataDxfId="124">
  <autoFilter ref="A1:F200" xr:uid="{7C91890B-09E6-4AFA-B40C-6F75BB3A42FE}"/>
  <tableColumns count="6">
    <tableColumn id="1" xr3:uid="{EA9912A2-FB4D-4FF7-8E68-51936E856411}" name="Year" dataDxfId="123"/>
    <tableColumn id="3" xr3:uid="{1CE8F2C7-DD5F-4DEA-9086-BF2335D1081C}" name="Associated With" dataDxfId="122"/>
    <tableColumn id="4" xr3:uid="{7E00D1F9-CE30-44EC-8013-F359F8BB7526}" name="Cost (MUSD)" dataDxfId="121"/>
    <tableColumn id="6" xr3:uid="{6AA0DA30-A6A0-4F5A-8A9D-599F23F31F9A}" name="VAT Portion" dataDxfId="120"/>
    <tableColumn id="2" xr3:uid="{20C207BB-9D25-48F4-A557-2DE98DC86DE2}" name="LBT Portion" dataDxfId="119"/>
    <tableColumn id="7" xr3:uid="{88C69571-67EC-47E5-9D42-08FE1421FD7B}" name="Description" dataDxfId="118"/>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117" dataDxfId="116">
  <autoFilter ref="A1:F200" xr:uid="{7C91890B-09E6-4AFA-B40C-6F75BB3A42FE}"/>
  <tableColumns count="6">
    <tableColumn id="1" xr3:uid="{D90C6F3C-116C-43AA-9F64-E2131D95E5C5}" name="Year" dataDxfId="115"/>
    <tableColumn id="3" xr3:uid="{9372B980-5592-43DD-ACB0-807DB4570841}" name="Associated With" dataDxfId="114"/>
    <tableColumn id="4" xr3:uid="{206A9B04-1A88-477A-8F64-4C0F0E3C5733}" name="Cost (MUSD)" dataDxfId="113"/>
    <tableColumn id="6" xr3:uid="{6949DE12-A1F2-402E-AD64-B2E62B7B03B0}" name="VAT Portion" dataDxfId="112"/>
    <tableColumn id="2" xr3:uid="{8AB5815F-EA72-48B7-8147-A2F48253134F}" name="LBT Portion" dataDxfId="111"/>
    <tableColumn id="7" xr3:uid="{409BC20B-C4FF-4632-A019-CE1FBF972D05}" name="Description" dataDxfId="110"/>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109" dataDxfId="108" tableBorderDxfId="107">
  <autoFilter ref="A1:C50" xr:uid="{AFC9D790-2204-4F4A-AEE5-A13F7CE6AF28}"/>
  <tableColumns count="3">
    <tableColumn id="1" xr3:uid="{B94BBB40-0B72-4B57-B720-38EEC1B95A78}" name="Year" dataDxfId="106"/>
    <tableColumn id="2" xr3:uid="{F53E2F6F-AB58-41DA-895C-419E73EC60A8}" name="CO2 Sales (Ton)" dataDxfId="105"/>
    <tableColumn id="3" xr3:uid="{6782EC61-C652-4E3C-B9F2-11DB4EFF1616}" name="Price (MMUSD/Unit)" dataDxfId="104"/>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103" dataDxfId="102">
  <autoFilter ref="A1:C50" xr:uid="{4F6CF9AB-FA3D-4BB4-ADAA-CA685555616C}"/>
  <tableColumns count="3">
    <tableColumn id="1" xr3:uid="{0DB2853D-2883-477A-BEC2-C3A8EC6BE1B6}" name="Year" dataDxfId="101"/>
    <tableColumn id="2" xr3:uid="{01418EAC-C4F4-48E8-9287-8988948DB9F1}" name="LPG Propane Sales (MT)" dataDxfId="100"/>
    <tableColumn id="3" xr3:uid="{4374CFEA-F40D-4DFA-9E1A-50C068F77BB6}" name="LPG Propane Price (USD/T)" dataDxfId="99"/>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B03C1F9-6B27-4B95-9544-462D302AAEB8}" name="tbl_prod_co215" displayName="tbl_prod_co215" ref="A1:C50" totalsRowShown="0" headerRowDxfId="98" dataDxfId="97" tableBorderDxfId="96">
  <autoFilter ref="A1:C50" xr:uid="{AFC9D790-2204-4F4A-AEE5-A13F7CE6AF28}"/>
  <tableColumns count="3">
    <tableColumn id="1" xr3:uid="{AEB239B9-3C87-40E6-AF29-880B295E4E25}" name="Year" dataDxfId="95"/>
    <tableColumn id="2" xr3:uid="{BB8F7A52-EABE-4ED5-883F-37E03BE9284A}" name="CO2 Sales (Ton)" dataDxfId="94"/>
    <tableColumn id="3" xr3:uid="{14E75331-DE72-4DB4-A237-FD16B2BFD376}" name="Price (MMUSD/Unit)" dataDxfId="93"/>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92" dataDxfId="91">
  <tableColumns count="5">
    <tableColumn id="1" xr3:uid="{F5C1188B-5A01-4D20-9CDA-43938053BE14}" name="Year" dataDxfId="90"/>
    <tableColumn id="2" xr3:uid="{488F6F74-60C4-41C0-8968-CFABEEC8C577}" name="Oil Sales (MMBOPY)" dataDxfId="89"/>
    <tableColumn id="3" xr3:uid="{FA019DEC-C16E-43AA-B922-7626C07066D2}" name="Oil Price (USD/BBL)" dataDxfId="88"/>
    <tableColumn id="4" xr3:uid="{E46E713A-179D-444E-88B6-019AD68876B5}" name="Condensate Sales (MMBOPY)" dataDxfId="87"/>
    <tableColumn id="5" xr3:uid="{04F0C769-33F5-487D-B7D5-F46799049A69}" name="Condensate Price (USD/BBL)" dataDxfId="86"/>
  </tableColumns>
  <tableStyleInfo name="TableStyleLight1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85" dataDxfId="84" tableBorderDxfId="83">
  <autoFilter ref="A1:C50" xr:uid="{A8B16AAF-E66E-4CE6-9E4E-EF4357083D9F}"/>
  <tableColumns count="3">
    <tableColumn id="1" xr3:uid="{6D5873CF-438A-4FB6-916E-EE4D8EA16C1B}" name="Year" dataDxfId="82"/>
    <tableColumn id="2" xr3:uid="{43FF55CD-251A-41D3-8DF3-39F98EEBC7E1}" name="LPG Butane Sales (MT)" dataDxfId="81"/>
    <tableColumn id="3" xr3:uid="{2AAABAE2-6AC9-4B24-A446-5622714DF15D}" name="LPG Butane Price(USD/T)" dataDxfId="80"/>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79" dataDxfId="78">
  <autoFilter ref="A1:C50" xr:uid="{DEE72A9B-4BBC-4F3F-80BF-BC7085A5EA38}"/>
  <tableColumns count="3">
    <tableColumn id="1" xr3:uid="{9046D9DD-2F71-4AF2-8197-1C4A99CD21F1}" name="Year" dataDxfId="77"/>
    <tableColumn id="2" xr3:uid="{AC666C38-3CBA-4F89-96AF-CD0114273121}" name="Electricity Sales (Unit)" dataDxfId="76"/>
    <tableColumn id="3" xr3:uid="{A9E705E7-0E52-4109-A72A-9C8AD1165D12}" name="Price (MMUSD/Unit)" dataDxfId="75"/>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74" dataDxfId="73">
  <autoFilter ref="A1:BJ50" xr:uid="{F3B5FD60-3EF6-4239-90D9-138C2E5C0533}"/>
  <tableColumns count="62">
    <tableColumn id="1" xr3:uid="{77AB1563-534C-4000-8990-E78C5E489BD7}" name="Year" dataDxfId="72"/>
    <tableColumn id="2" xr3:uid="{D229AC35-73B4-42FD-BBA3-AD438E380811}" name="Gas Production (BSCF)" dataDxfId="71"/>
    <tableColumn id="3" xr3:uid="{FCC8C31C-5036-4AF9-B6CE-1EEA31C5FAE9}" name="GSA 1 Volume (BSCF)" dataDxfId="70"/>
    <tableColumn id="4" xr3:uid="{C43DEA5B-2B33-4E7F-A57F-5476C60E7DCB}" name="GSA 1 GHV (BTU/SCF)" dataDxfId="69"/>
    <tableColumn id="5" xr3:uid="{41CF3913-D317-4E9F-B718-27DD21583BF7}" name="GSA 1 Price (USD/MMBTU)" dataDxfId="68"/>
    <tableColumn id="6" xr3:uid="{D3447C8E-599C-4059-A25A-5992EAF3CA98}" name="GSA 2 Volume (BSCF)" dataDxfId="67"/>
    <tableColumn id="7" xr3:uid="{08251CDD-AB2B-44EA-BB2B-B83A1024372A}" name="GSA 2 GHV (BTU/SCF)" dataDxfId="66"/>
    <tableColumn id="8" xr3:uid="{2AAA0FEE-F453-4CDC-BB43-9260633E2A77}" name="GSA 2 Price (USD/MMBTU)" dataDxfId="65"/>
    <tableColumn id="9" xr3:uid="{11DE7FD8-4E88-43BA-9FC1-5BFC6B7A4152}" name="GSA 3 Volume (BSCF)" dataDxfId="64"/>
    <tableColumn id="10" xr3:uid="{62D5C9C4-267A-4911-9B26-395CA0A13963}" name="GSA 3 GHV (BTU/SCF)" dataDxfId="63"/>
    <tableColumn id="11" xr3:uid="{8E831C1F-1E47-4011-B7F2-3315ADF97880}" name="GSA 3 Price (USD/MMBTU)" dataDxfId="62"/>
    <tableColumn id="12" xr3:uid="{7495CB1E-FAD1-4D28-AFB9-5721BE9D6A62}" name="GSA 4 Volume (BSCF)" dataDxfId="61"/>
    <tableColumn id="13" xr3:uid="{CCEEC0D9-E00C-4AE0-A6FB-2A21358BEFD2}" name="GSA 4 GHV (BTU/SCF)" dataDxfId="60"/>
    <tableColumn id="14" xr3:uid="{02D4E6A1-2B65-421C-8510-61E7E14C93AF}" name="GSA 4 Price (USD/MMBTU)" dataDxfId="59"/>
    <tableColumn id="15" xr3:uid="{81A66C00-B18B-44A8-B655-2F196AEDE152}" name="GSA 5 Volume (BSCF)" dataDxfId="58"/>
    <tableColumn id="16" xr3:uid="{E3C45877-F389-429D-8AA5-C760BD17A529}" name="GSA 5 GHV (BTU/SCF)" dataDxfId="57"/>
    <tableColumn id="17" xr3:uid="{29EC26AB-1FD3-4B90-8A35-51DD0A51A022}" name="GSA 5 Price (USD/MMBTU)" dataDxfId="56"/>
    <tableColumn id="18" xr3:uid="{13A537C0-0178-4CB4-B395-6E350791AFD2}" name="GSA 6 Volume (BSCF)5" dataDxfId="55"/>
    <tableColumn id="19" xr3:uid="{200121C4-4603-4606-9C7C-E8E2BEB00D03}" name="GSA 6 GHV (BTU/SCF)" dataDxfId="54"/>
    <tableColumn id="20" xr3:uid="{8C225936-78F4-424A-A66E-AC5E32060AAF}" name="GSA 6 Price (USD/MMBTU)" dataDxfId="53"/>
    <tableColumn id="21" xr3:uid="{44CE13E9-EEEF-4BEC-8518-6B116C1AD26B}" name="GSA 7 Volume (BSCF)" dataDxfId="52"/>
    <tableColumn id="22" xr3:uid="{ECD91665-11BC-45C6-9498-68BDC2D7C660}" name="GSA 7 GHV (BTU/SCF)" dataDxfId="51"/>
    <tableColumn id="23" xr3:uid="{BBCF0D25-A5E6-4644-964E-087F828A3214}" name="GSA 7 Price (USD/MMBTU)" dataDxfId="50"/>
    <tableColumn id="24" xr3:uid="{8DBCA4FF-FABE-4194-B3F6-1DBCEF167B28}" name="GSA 8 Volume (BSCF)" dataDxfId="49"/>
    <tableColumn id="25" xr3:uid="{C036027E-6E33-43E1-BE27-B060EB711E54}" name="GSA 8 GHV (BTU/SCF)" dataDxfId="48"/>
    <tableColumn id="26" xr3:uid="{F97DC2DB-AC07-4EF5-8063-0BE58357542D}" name="GSA 8 Price (USD/MMBTU)" dataDxfId="47"/>
    <tableColumn id="27" xr3:uid="{DA65A24F-CADB-4DE1-8A15-3A7FBA499C71}" name="GSA 9 Volume (BSCF)" dataDxfId="46"/>
    <tableColumn id="28" xr3:uid="{965B634C-0E56-49A6-8114-ACEABD08501E}" name="GSA 9 GHV (BTU/SCF)" dataDxfId="45"/>
    <tableColumn id="29" xr3:uid="{EBB76C16-8154-4DF6-ACC0-632DF52511A6}" name="GSA 9 Price (USD/MMBTU)" dataDxfId="44"/>
    <tableColumn id="30" xr3:uid="{2EE56E13-7901-46A4-B827-82F154323535}" name="GSA 10 Volume (BSCF)" dataDxfId="43"/>
    <tableColumn id="31" xr3:uid="{B059A543-383C-48AF-974C-15AEF15B1E83}" name="GSA 10 GHV (BTU/SCF)" dataDxfId="42"/>
    <tableColumn id="32" xr3:uid="{EB5FE66C-4F13-4C5A-9295-9CA6B5EBE0DB}" name="GSA 10 Price (USD/MMBTU)" dataDxfId="41"/>
    <tableColumn id="33" xr3:uid="{48C2A0C4-CDE1-43D4-80DA-9A04CFD50DF3}" name="GSA 11 Volume (BSCF)" dataDxfId="40"/>
    <tableColumn id="34" xr3:uid="{D58B2C50-D5D3-4FA0-BF0F-B249498FE2E5}" name="GSA 11 GHV (BTU/SCF)" dataDxfId="39"/>
    <tableColumn id="35" xr3:uid="{086395B3-EDF7-4416-824F-DADC5A41C808}" name="GSA 11 Price (USD/MMBTU)" dataDxfId="38"/>
    <tableColumn id="36" xr3:uid="{50F0227B-E5CB-4438-A313-A1630B0C4478}" name="GSA 12 Volume (BSCF)" dataDxfId="37"/>
    <tableColumn id="37" xr3:uid="{2E59E514-274A-4FF3-97F1-4C10C438F92C}" name="GSA 12 GHV (BTU/SCF)" dataDxfId="36"/>
    <tableColumn id="38" xr3:uid="{DC78227B-224D-4D70-AAA8-998E0854A236}" name="GSA 12 Price (USD/MMBTU)" dataDxfId="35"/>
    <tableColumn id="39" xr3:uid="{380FF60C-4086-4E19-B225-F579C632C9DF}" name="GSA 13 Volume (BSCF)5" dataDxfId="34"/>
    <tableColumn id="40" xr3:uid="{EA265128-A0AF-496A-8215-D7EA67E172D9}" name="GSA 13 GHV (BTU/SCF)" dataDxfId="33"/>
    <tableColumn id="41" xr3:uid="{6B34D3A2-F4F8-4588-9485-1E1F4AB9929F}" name="GSA 13 Price (USD/MMBTU)" dataDxfId="32"/>
    <tableColumn id="42" xr3:uid="{13937CA0-4E6B-49CB-82C8-CD285DE9A0AD}" name="GSA 14 Volume (BSCF)" dataDxfId="31"/>
    <tableColumn id="43" xr3:uid="{F104848B-FC0E-4CBC-8952-456A40422817}" name="GSA 14 GHV (BTU/SCF)" dataDxfId="30"/>
    <tableColumn id="44" xr3:uid="{A52502E1-9A56-45E0-B86B-4ADC54D7C46F}" name="GSA 14 Price (USD/MMBTU)" dataDxfId="29"/>
    <tableColumn id="45" xr3:uid="{D0E6F40C-E9D8-476C-974F-CD8BD0CC9E3E}" name="GSA 15 Volume (BSCF)" dataDxfId="28"/>
    <tableColumn id="46" xr3:uid="{D56CBA84-14DB-427F-BA7E-8A9A8CD3EF99}" name="GSA 15 GHV (BTU/SCF)" dataDxfId="27"/>
    <tableColumn id="47" xr3:uid="{79C8FA99-16A2-404A-8433-D73D4D3115E8}" name="GSA 15 Price (USD/MMBTU)" dataDxfId="26"/>
    <tableColumn id="48" xr3:uid="{7000071C-AB3D-4E5E-BAFD-6D0FF7DC3959}" name="GSA 16 Volume (BSCF)" dataDxfId="25"/>
    <tableColumn id="49" xr3:uid="{666AD423-FDD2-4B36-B9F4-1190CD03FDA3}" name="GSA 16 GHV (BTU/SCF)" dataDxfId="24"/>
    <tableColumn id="50" xr3:uid="{AE6DCD42-F2A8-4EA9-8085-856DCD64C3F8}" name="GSA 16 Price (USD/MMBTU)" dataDxfId="23"/>
    <tableColumn id="51" xr3:uid="{0691CFC8-568E-4AD2-920C-23CAEB458DAD}" name="GSA 17 Volume (BSCF)" dataDxfId="22"/>
    <tableColumn id="52" xr3:uid="{16C1EC1E-B5AC-4161-A0BF-CBB9D4021BC8}" name="GSA 17 GHV (BTU/SCF)" dataDxfId="21"/>
    <tableColumn id="53" xr3:uid="{1508BBC4-8EA3-47F1-8A28-5F141C9A3043}" name="GSA 17 Price (USD/MMBTU)" dataDxfId="20"/>
    <tableColumn id="62" xr3:uid="{969F6049-83E6-4535-A53A-482126AA77D7}" name="GSA 18 Volume (BSCF)" dataDxfId="19"/>
    <tableColumn id="61" xr3:uid="{03793DC0-561A-4F93-A29A-C63F176A5815}" name="GSA 18 GHV (BTU/SCF)" dataDxfId="18"/>
    <tableColumn id="60" xr3:uid="{FEAD4B29-4CB5-4083-BBB7-B1DBD002BE7E}" name="GSA 18 Price (USD/MMBTU)" dataDxfId="17"/>
    <tableColumn id="54" xr3:uid="{FDC4A9DF-4688-4830-B992-39D1F5107766}" name="GSA 19 Volume (BSCF)" dataDxfId="16"/>
    <tableColumn id="55" xr3:uid="{B0D7E298-E213-45EC-81C3-3AEA0B511A75}" name="GSA 19 GHV (BTU/SCF)" dataDxfId="15"/>
    <tableColumn id="56" xr3:uid="{65BE7B38-E137-4116-BE99-9732D0D27601}" name="GSA 19 Price (USD/MMBTU)" dataDxfId="14"/>
    <tableColumn id="57" xr3:uid="{66A45D79-4EFD-4A60-B7FC-2AAF364EBD1D}" name="GSA 20 Volume (BSCF)5" dataDxfId="13"/>
    <tableColumn id="58" xr3:uid="{F6354756-CE1B-4E3C-993B-28993F1AAAD2}" name="GSA 20 GHV (BTU/SCF)" dataDxfId="12"/>
    <tableColumn id="59" xr3:uid="{DCC94FD8-C643-4565-AB15-65A7E5B1F9AA}" name="GSA 20 Price (USD/MMBTU)" dataDxfId="11"/>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65AF3D-4EDF-4CB7-8E27-A13CF29AB3EF}" name="tbl_prod_sulfur1214" displayName="tbl_prod_sulfur1214" ref="A1:C50" totalsRowShown="0" headerRowDxfId="10" dataDxfId="9">
  <autoFilter ref="A1:C50" xr:uid="{DEE72A9B-4BBC-4F3F-80BF-BC7085A5EA38}"/>
  <tableColumns count="3">
    <tableColumn id="1" xr3:uid="{F355D78A-0EE5-461D-AED8-B286BECA3B3A}" name="Year" dataDxfId="8"/>
    <tableColumn id="2" xr3:uid="{17099D1A-D199-4229-B6FD-9614D3214659}" name="Electricity Sales (Unit)" dataDxfId="7"/>
    <tableColumn id="3" xr3:uid="{B8D8BE00-8AA2-4A85-9658-CDFFD03C8F15}" name="Price (MMUSD/Unit)" dataDxfId="6"/>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8FBFDC0-900F-499C-B2B4-93437971E353}" name="tbl_prod_lpgbutane10" displayName="tbl_prod_lpgbutane10" ref="A1:C50" totalsRowShown="0" headerRowDxfId="5" dataDxfId="4" tableBorderDxfId="3">
  <autoFilter ref="A1:C50" xr:uid="{A8B16AAF-E66E-4CE6-9E4E-EF4357083D9F}"/>
  <tableColumns count="3">
    <tableColumn id="1" xr3:uid="{E78909F4-030E-467C-9A45-94AA4BBC762B}" name="Year" dataDxfId="2"/>
    <tableColumn id="2" xr3:uid="{ADE59E46-4E68-429C-B04F-40143DEFDA2C}" name="LPG Butane Sales (MT)" dataDxfId="1"/>
    <tableColumn id="3" xr3:uid="{2EB99984-324C-40BE-9CA7-568E79C7BC1D}" name="LPG Butane Price(USD/T)"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3.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140" zoomScaleNormal="14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373</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181</v>
      </c>
    </row>
    <row r="3" spans="1:19" ht="4.1500000000000004"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364</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1.9"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1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7.9" customHeight="1" x14ac:dyDescent="0.25"/>
    <row r="33" spans="1:2" x14ac:dyDescent="0.25">
      <c r="A33" s="9" t="s">
        <v>195</v>
      </c>
    </row>
    <row r="34" spans="1:2" x14ac:dyDescent="0.25">
      <c r="B34" t="s">
        <v>196</v>
      </c>
    </row>
    <row r="35" spans="1:2" ht="7.9"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15" customHeight="1" x14ac:dyDescent="0.25"/>
    <row r="51" spans="1:2" x14ac:dyDescent="0.25">
      <c r="A51" s="9" t="s">
        <v>209</v>
      </c>
    </row>
    <row r="52" spans="1:2" x14ac:dyDescent="0.25">
      <c r="A52" s="10"/>
      <c r="B52" t="s">
        <v>207</v>
      </c>
    </row>
    <row r="53" spans="1:2" ht="10.15" customHeight="1" x14ac:dyDescent="0.25"/>
    <row r="54" spans="1:2" x14ac:dyDescent="0.25">
      <c r="A54" s="9" t="s">
        <v>210</v>
      </c>
    </row>
    <row r="55" spans="1:2" x14ac:dyDescent="0.25">
      <c r="A55" s="10"/>
      <c r="B55" t="s">
        <v>208</v>
      </c>
    </row>
    <row r="56" spans="1:2" ht="10.1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topLeftCell="A16" zoomScale="115" zoomScaleNormal="115" workbookViewId="0">
      <selection activeCell="C30" sqref="C30"/>
    </sheetView>
  </sheetViews>
  <sheetFormatPr defaultColWidth="0" defaultRowHeight="15" zeroHeight="1" x14ac:dyDescent="0.25"/>
  <cols>
    <col min="1" max="1" width="3.28515625" customWidth="1"/>
    <col min="2" max="2" width="8.85546875" customWidth="1"/>
    <col min="3" max="3" width="34.28515625" customWidth="1"/>
    <col min="4" max="4" width="11.7109375" bestFit="1" customWidth="1"/>
    <col min="5" max="5" width="12.5703125" bestFit="1" customWidth="1"/>
    <col min="6" max="6" width="4.285156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357</v>
      </c>
      <c r="D7" s="30" t="s">
        <v>360</v>
      </c>
      <c r="E7" s="32">
        <v>0</v>
      </c>
    </row>
    <row r="8" spans="2:5" x14ac:dyDescent="0.25">
      <c r="B8" s="30">
        <v>4</v>
      </c>
      <c r="C8" s="31" t="s">
        <v>358</v>
      </c>
      <c r="D8" s="30" t="s">
        <v>359</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361</v>
      </c>
      <c r="D20" s="30" t="s">
        <v>221</v>
      </c>
      <c r="E20" s="32">
        <v>0</v>
      </c>
    </row>
    <row r="21" spans="2:5" x14ac:dyDescent="0.25">
      <c r="B21" s="87"/>
      <c r="C21" s="31" t="s">
        <v>233</v>
      </c>
      <c r="D21" s="30" t="s">
        <v>234</v>
      </c>
      <c r="E21" s="39">
        <v>0</v>
      </c>
    </row>
    <row r="22" spans="2:5" x14ac:dyDescent="0.25">
      <c r="B22" s="87">
        <v>11</v>
      </c>
      <c r="C22" s="31" t="s">
        <v>362</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363</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7:B19"/>
    <mergeCell ref="B20:B21"/>
    <mergeCell ref="B22:B23"/>
    <mergeCell ref="B24:B32"/>
    <mergeCell ref="B33:B40"/>
    <mergeCell ref="B14:B16"/>
    <mergeCell ref="B2:B4"/>
    <mergeCell ref="C2:C4"/>
    <mergeCell ref="D2:D4"/>
    <mergeCell ref="E2:E4"/>
    <mergeCell ref="B10:B12"/>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22"/>
  <sheetViews>
    <sheetView showGridLines="0" showRowColHeaders="0" zoomScale="115" zoomScaleNormal="115" workbookViewId="0">
      <selection activeCell="C9" sqref="C9:E9"/>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customWidth="1"/>
    <col min="8" max="8" width="3.7109375" customWidth="1"/>
    <col min="9" max="9" width="5.28515625" customWidth="1"/>
    <col min="10" max="10" width="2.28515625" customWidth="1"/>
    <col min="11" max="16384" width="8.85546875" hidden="1"/>
  </cols>
  <sheetData>
    <row r="1" spans="1:9" x14ac:dyDescent="0.25">
      <c r="A1" s="9" t="s">
        <v>103</v>
      </c>
      <c r="B1" s="9"/>
    </row>
    <row r="2" spans="1:9" x14ac:dyDescent="0.25">
      <c r="B2" t="s">
        <v>19</v>
      </c>
      <c r="C2" s="89" t="s">
        <v>388</v>
      </c>
      <c r="D2" s="90"/>
      <c r="E2" s="91"/>
    </row>
    <row r="3" spans="1:9" x14ac:dyDescent="0.25">
      <c r="B3" t="s">
        <v>20</v>
      </c>
      <c r="C3" s="89">
        <v>2023</v>
      </c>
      <c r="D3" s="90"/>
      <c r="E3" s="91"/>
    </row>
    <row r="4" spans="1:9" x14ac:dyDescent="0.25">
      <c r="B4" t="s">
        <v>262</v>
      </c>
      <c r="C4" s="89">
        <v>0.1</v>
      </c>
      <c r="D4" s="90"/>
      <c r="E4" s="91"/>
    </row>
    <row r="5" spans="1:9" x14ac:dyDescent="0.25">
      <c r="B5" t="s">
        <v>21</v>
      </c>
      <c r="C5" s="89" t="s">
        <v>259</v>
      </c>
      <c r="D5" s="90"/>
      <c r="E5" s="91"/>
    </row>
    <row r="6" spans="1:9" x14ac:dyDescent="0.25">
      <c r="B6" t="s">
        <v>98</v>
      </c>
      <c r="C6" s="92">
        <v>44927</v>
      </c>
      <c r="D6" s="93"/>
      <c r="E6" s="94"/>
    </row>
    <row r="7" spans="1:9" x14ac:dyDescent="0.25">
      <c r="B7" t="s">
        <v>99</v>
      </c>
      <c r="C7" s="92">
        <v>47848</v>
      </c>
      <c r="D7" s="93"/>
      <c r="E7" s="94"/>
    </row>
    <row r="8" spans="1:9" hidden="1" x14ac:dyDescent="0.25">
      <c r="B8" t="s">
        <v>381</v>
      </c>
      <c r="C8" s="92">
        <v>47849</v>
      </c>
      <c r="D8" s="93"/>
      <c r="E8" s="94"/>
    </row>
    <row r="9" spans="1:9" hidden="1" x14ac:dyDescent="0.25">
      <c r="B9" t="s">
        <v>382</v>
      </c>
      <c r="C9" s="92">
        <v>49674</v>
      </c>
      <c r="D9" s="93"/>
      <c r="E9" s="94"/>
    </row>
    <row r="10" spans="1:9" x14ac:dyDescent="0.25">
      <c r="B10" t="s">
        <v>100</v>
      </c>
      <c r="C10" s="92"/>
      <c r="D10" s="93"/>
      <c r="E10" s="94"/>
    </row>
    <row r="11" spans="1:9" x14ac:dyDescent="0.25">
      <c r="B11" t="s">
        <v>101</v>
      </c>
      <c r="C11" s="92"/>
      <c r="D11" s="93"/>
      <c r="E11" s="94"/>
    </row>
    <row r="12" spans="1:9" x14ac:dyDescent="0.25">
      <c r="B12" s="42" t="s">
        <v>102</v>
      </c>
      <c r="C12" s="43"/>
      <c r="D12" s="45">
        <v>2</v>
      </c>
      <c r="E12" s="44"/>
    </row>
    <row r="13" spans="1:9" x14ac:dyDescent="0.25">
      <c r="B13" s="42"/>
      <c r="C13" s="43"/>
      <c r="D13" s="45">
        <v>2</v>
      </c>
      <c r="E13" s="44"/>
      <c r="G13" s="62" t="s">
        <v>257</v>
      </c>
      <c r="H13" s="61">
        <v>2</v>
      </c>
      <c r="I13" s="60"/>
    </row>
    <row r="14" spans="1:9" x14ac:dyDescent="0.25">
      <c r="C14" s="43"/>
      <c r="D14" s="45">
        <v>2</v>
      </c>
      <c r="E14" s="44"/>
    </row>
    <row r="15" spans="1:9" x14ac:dyDescent="0.25">
      <c r="C15" s="43"/>
      <c r="D15" s="45">
        <v>2</v>
      </c>
      <c r="E15" s="44"/>
    </row>
    <row r="16" spans="1:9" x14ac:dyDescent="0.25">
      <c r="C16" s="43"/>
      <c r="D16" s="45">
        <v>2</v>
      </c>
      <c r="E16" s="44"/>
    </row>
    <row r="17" spans="2:5" x14ac:dyDescent="0.25">
      <c r="C17" s="43"/>
      <c r="D17" s="45">
        <v>2</v>
      </c>
      <c r="E17" s="44"/>
    </row>
    <row r="18" spans="2:5" x14ac:dyDescent="0.25">
      <c r="C18" s="43"/>
      <c r="D18" s="45">
        <v>2</v>
      </c>
      <c r="E18" s="44"/>
    </row>
    <row r="19" spans="2:5" x14ac:dyDescent="0.25"/>
    <row r="20" spans="2:5" ht="14.45" customHeight="1" x14ac:dyDescent="0.25">
      <c r="B20" t="s">
        <v>272</v>
      </c>
      <c r="C20" s="95">
        <v>0</v>
      </c>
      <c r="D20" s="96"/>
      <c r="E20" s="97"/>
    </row>
    <row r="21" spans="2:5" x14ac:dyDescent="0.25">
      <c r="B21" t="s">
        <v>273</v>
      </c>
      <c r="C21" s="95">
        <v>0</v>
      </c>
      <c r="D21" s="96"/>
      <c r="E21" s="97"/>
    </row>
    <row r="22" spans="2:5" x14ac:dyDescent="0.25"/>
  </sheetData>
  <mergeCells count="12">
    <mergeCell ref="C2:E2"/>
    <mergeCell ref="C3:E3"/>
    <mergeCell ref="C5:E5"/>
    <mergeCell ref="C6:E6"/>
    <mergeCell ref="C21:E21"/>
    <mergeCell ref="C4:E4"/>
    <mergeCell ref="C20:E20"/>
    <mergeCell ref="C7:E7"/>
    <mergeCell ref="C10:E10"/>
    <mergeCell ref="C11:E11"/>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10:E11"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2:C18"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9" xr:uid="{B79AECBC-3119-45C7-9374-6C0167E1399F}">
      <formula1>16438</formula1>
      <formula2>401769</formula2>
    </dataValidation>
    <dataValidation type="decimal" allowBlank="1" showInputMessage="1" showErrorMessage="1" errorTitle="Data Type" error="Should be integer" sqref="C4:E4 C20:E21" xr:uid="{44EC628A-CE61-43D2-96A9-10235EA6A9DA}">
      <formula1>0</formula1>
      <formula2>1</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11</xdr:row>
                    <xdr:rowOff>19050</xdr:rowOff>
                  </from>
                  <to>
                    <xdr:col>2</xdr:col>
                    <xdr:colOff>514350</xdr:colOff>
                    <xdr:row>12</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12</xdr:row>
                    <xdr:rowOff>19050</xdr:rowOff>
                  </from>
                  <to>
                    <xdr:col>2</xdr:col>
                    <xdr:colOff>514350</xdr:colOff>
                    <xdr:row>12</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13</xdr:row>
                    <xdr:rowOff>9525</xdr:rowOff>
                  </from>
                  <to>
                    <xdr:col>3</xdr:col>
                    <xdr:colOff>276225</xdr:colOff>
                    <xdr:row>13</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14</xdr:row>
                    <xdr:rowOff>19050</xdr:rowOff>
                  </from>
                  <to>
                    <xdr:col>3</xdr:col>
                    <xdr:colOff>352425</xdr:colOff>
                    <xdr:row>14</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16</xdr:row>
                    <xdr:rowOff>19050</xdr:rowOff>
                  </from>
                  <to>
                    <xdr:col>2</xdr:col>
                    <xdr:colOff>514350</xdr:colOff>
                    <xdr:row>16</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15</xdr:row>
                    <xdr:rowOff>9525</xdr:rowOff>
                  </from>
                  <to>
                    <xdr:col>2</xdr:col>
                    <xdr:colOff>514350</xdr:colOff>
                    <xdr:row>15</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15</xdr:row>
                    <xdr:rowOff>9525</xdr:rowOff>
                  </from>
                  <to>
                    <xdr:col>4</xdr:col>
                    <xdr:colOff>504825</xdr:colOff>
                    <xdr:row>15</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16</xdr:row>
                    <xdr:rowOff>9525</xdr:rowOff>
                  </from>
                  <to>
                    <xdr:col>4</xdr:col>
                    <xdr:colOff>504825</xdr:colOff>
                    <xdr:row>16</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12</xdr:row>
                    <xdr:rowOff>9525</xdr:rowOff>
                  </from>
                  <to>
                    <xdr:col>8</xdr:col>
                    <xdr:colOff>361950</xdr:colOff>
                    <xdr:row>12</xdr:row>
                    <xdr:rowOff>171450</xdr:rowOff>
                  </to>
                </anchor>
              </controlPr>
            </control>
          </mc:Choice>
        </mc:AlternateContent>
        <mc:AlternateContent xmlns:mc="http://schemas.openxmlformats.org/markup-compatibility/2006">
          <mc:Choice Requires="x14">
            <control shapeId="2090" r:id="rId18" name="Check Box 42">
              <controlPr defaultSize="0" autoFill="0" autoLine="0" autoPict="0" macro="[0]!ThisWorkbook.ShowSheetElectricity">
                <anchor moveWithCells="1">
                  <from>
                    <xdr:col>2</xdr:col>
                    <xdr:colOff>38100</xdr:colOff>
                    <xdr:row>17</xdr:row>
                    <xdr:rowOff>19050</xdr:rowOff>
                  </from>
                  <to>
                    <xdr:col>2</xdr:col>
                    <xdr:colOff>514350</xdr:colOff>
                    <xdr:row>17</xdr:row>
                    <xdr:rowOff>171450</xdr:rowOff>
                  </to>
                </anchor>
              </controlPr>
            </control>
          </mc:Choice>
        </mc:AlternateContent>
        <mc:AlternateContent xmlns:mc="http://schemas.openxmlformats.org/markup-compatibility/2006">
          <mc:Choice Requires="x14">
            <control shapeId="2091" r:id="rId19" name="Spinner 43">
              <controlPr defaultSize="0" autoPict="0" macro="[0]!ThisWorkbook.NewSheetElectricity">
                <anchor moveWithCells="1" sizeWithCells="1">
                  <from>
                    <xdr:col>4</xdr:col>
                    <xdr:colOff>333375</xdr:colOff>
                    <xdr:row>17</xdr:row>
                    <xdr:rowOff>9525</xdr:rowOff>
                  </from>
                  <to>
                    <xdr:col>4</xdr:col>
                    <xdr:colOff>504825</xdr:colOff>
                    <xdr:row>17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D27" sqref="D27"/>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v>2023</v>
      </c>
      <c r="B2" s="25" t="s">
        <v>312</v>
      </c>
      <c r="C2" s="25">
        <v>100</v>
      </c>
      <c r="D2" s="25"/>
      <c r="E2" s="25"/>
      <c r="F2" s="25"/>
      <c r="G2" s="25"/>
      <c r="H2" s="25"/>
    </row>
    <row r="3" spans="1:8" x14ac:dyDescent="0.25">
      <c r="A3" s="25">
        <v>2023</v>
      </c>
      <c r="B3" s="25" t="s">
        <v>312</v>
      </c>
      <c r="C3" s="25">
        <v>100</v>
      </c>
      <c r="D3" s="25"/>
      <c r="E3" s="25"/>
      <c r="F3" s="25"/>
      <c r="G3" s="25"/>
      <c r="H3" s="25"/>
    </row>
    <row r="4" spans="1:8" x14ac:dyDescent="0.25">
      <c r="A4" s="25">
        <v>2025</v>
      </c>
      <c r="B4" s="25" t="s">
        <v>312</v>
      </c>
      <c r="C4" s="25">
        <v>100</v>
      </c>
      <c r="D4" s="25"/>
      <c r="E4" s="25"/>
      <c r="F4" s="25"/>
      <c r="G4" s="25"/>
      <c r="H4" s="25"/>
    </row>
    <row r="5" spans="1:8" x14ac:dyDescent="0.25">
      <c r="A5" s="25">
        <v>2025</v>
      </c>
      <c r="B5" s="25" t="s">
        <v>312</v>
      </c>
      <c r="C5" s="25">
        <v>100</v>
      </c>
      <c r="D5" s="25"/>
      <c r="E5" s="25"/>
      <c r="F5" s="25"/>
      <c r="G5" s="25"/>
      <c r="H5" s="25"/>
    </row>
    <row r="6" spans="1:8" x14ac:dyDescent="0.25">
      <c r="A6" s="25">
        <v>2030</v>
      </c>
      <c r="B6" s="25" t="s">
        <v>313</v>
      </c>
      <c r="C6" s="25">
        <v>25</v>
      </c>
      <c r="D6" s="25"/>
      <c r="E6" s="25"/>
      <c r="F6" s="25"/>
      <c r="G6" s="25"/>
      <c r="H6" s="25"/>
    </row>
    <row r="7" spans="1:8" x14ac:dyDescent="0.25">
      <c r="A7" s="25">
        <v>2030</v>
      </c>
      <c r="B7" s="25" t="s">
        <v>313</v>
      </c>
      <c r="C7" s="25">
        <v>25</v>
      </c>
      <c r="D7" s="25"/>
      <c r="E7" s="25"/>
      <c r="F7" s="25"/>
      <c r="G7" s="25"/>
      <c r="H7" s="25"/>
    </row>
    <row r="8" spans="1:8" x14ac:dyDescent="0.25">
      <c r="A8" s="25">
        <v>2031</v>
      </c>
      <c r="B8" s="25" t="s">
        <v>312</v>
      </c>
      <c r="C8" s="25">
        <v>67</v>
      </c>
      <c r="D8" s="25"/>
      <c r="E8" s="25"/>
      <c r="F8" s="25"/>
      <c r="G8" s="25"/>
      <c r="H8" s="25"/>
    </row>
    <row r="9" spans="1:8" x14ac:dyDescent="0.25">
      <c r="A9" s="25">
        <v>2035</v>
      </c>
      <c r="B9" s="25" t="s">
        <v>312</v>
      </c>
      <c r="C9" s="25">
        <v>50</v>
      </c>
      <c r="D9" s="25"/>
      <c r="E9" s="25"/>
      <c r="F9" s="25"/>
      <c r="G9" s="25"/>
      <c r="H9" s="25"/>
    </row>
    <row r="10" spans="1:8" x14ac:dyDescent="0.25">
      <c r="A10" s="25">
        <v>2030</v>
      </c>
      <c r="B10" s="25" t="s">
        <v>313</v>
      </c>
      <c r="C10" s="25">
        <v>25</v>
      </c>
      <c r="D10" s="25"/>
      <c r="E10" s="25"/>
      <c r="F10" s="25"/>
      <c r="G10" s="25"/>
      <c r="H10" s="25"/>
    </row>
    <row r="11" spans="1:8" x14ac:dyDescent="0.25">
      <c r="A11" s="25">
        <v>2031</v>
      </c>
      <c r="B11" s="25" t="s">
        <v>312</v>
      </c>
      <c r="C11" s="25">
        <v>67</v>
      </c>
      <c r="D11" s="25"/>
      <c r="E11" s="25"/>
      <c r="F11" s="25"/>
      <c r="G11" s="25"/>
      <c r="H11" s="25"/>
    </row>
    <row r="12" spans="1:8" x14ac:dyDescent="0.25">
      <c r="A12" s="25">
        <v>2031</v>
      </c>
      <c r="B12" s="25" t="s">
        <v>312</v>
      </c>
      <c r="C12" s="25">
        <v>67</v>
      </c>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C2" sqref="C2:C15"/>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v>2023</v>
      </c>
      <c r="B2" s="25" t="s">
        <v>312</v>
      </c>
      <c r="C2" s="25">
        <v>100</v>
      </c>
      <c r="D2" s="25">
        <v>2023</v>
      </c>
      <c r="E2" s="25">
        <v>5</v>
      </c>
      <c r="F2" s="25">
        <v>0.5</v>
      </c>
      <c r="G2" s="25">
        <v>0</v>
      </c>
      <c r="H2" s="25" t="s">
        <v>122</v>
      </c>
      <c r="I2" s="25">
        <v>1</v>
      </c>
      <c r="J2" s="25">
        <v>1</v>
      </c>
      <c r="K2" s="25"/>
    </row>
    <row r="3" spans="1:11" x14ac:dyDescent="0.25">
      <c r="A3" s="25">
        <v>2023</v>
      </c>
      <c r="B3" s="25" t="s">
        <v>312</v>
      </c>
      <c r="C3" s="25">
        <v>100</v>
      </c>
      <c r="D3" s="25">
        <v>2023</v>
      </c>
      <c r="E3" s="25">
        <v>5</v>
      </c>
      <c r="F3" s="25">
        <v>0.5</v>
      </c>
      <c r="G3" s="25">
        <v>0</v>
      </c>
      <c r="H3" s="25" t="s">
        <v>122</v>
      </c>
      <c r="I3" s="25">
        <v>1</v>
      </c>
      <c r="J3" s="25">
        <v>1</v>
      </c>
      <c r="K3" s="25"/>
    </row>
    <row r="4" spans="1:11" x14ac:dyDescent="0.25">
      <c r="A4" s="25">
        <v>2025</v>
      </c>
      <c r="B4" s="25" t="s">
        <v>312</v>
      </c>
      <c r="C4" s="25">
        <v>100</v>
      </c>
      <c r="D4" s="25">
        <v>2025</v>
      </c>
      <c r="E4" s="25">
        <v>5</v>
      </c>
      <c r="F4" s="25">
        <v>0.5</v>
      </c>
      <c r="G4" s="25">
        <v>0</v>
      </c>
      <c r="H4" s="25" t="s">
        <v>122</v>
      </c>
      <c r="I4" s="25">
        <v>1</v>
      </c>
      <c r="J4" s="25">
        <v>1</v>
      </c>
      <c r="K4" s="25"/>
    </row>
    <row r="5" spans="1:11" x14ac:dyDescent="0.25">
      <c r="A5" s="25">
        <v>2025</v>
      </c>
      <c r="B5" s="25" t="s">
        <v>312</v>
      </c>
      <c r="C5" s="25">
        <v>100</v>
      </c>
      <c r="D5" s="25">
        <v>2025</v>
      </c>
      <c r="E5" s="25">
        <v>5</v>
      </c>
      <c r="F5" s="25">
        <v>0.5</v>
      </c>
      <c r="G5" s="25">
        <v>0</v>
      </c>
      <c r="H5" s="25" t="s">
        <v>122</v>
      </c>
      <c r="I5" s="25">
        <v>1</v>
      </c>
      <c r="J5" s="25">
        <v>1</v>
      </c>
      <c r="K5" s="25"/>
    </row>
    <row r="6" spans="1:11" x14ac:dyDescent="0.25">
      <c r="A6" s="25">
        <v>2030</v>
      </c>
      <c r="B6" s="25" t="s">
        <v>313</v>
      </c>
      <c r="C6" s="25">
        <v>25</v>
      </c>
      <c r="D6" s="25">
        <v>2030</v>
      </c>
      <c r="E6" s="25">
        <v>5</v>
      </c>
      <c r="F6" s="25">
        <v>0.5</v>
      </c>
      <c r="G6" s="25">
        <v>0</v>
      </c>
      <c r="H6" s="25" t="s">
        <v>122</v>
      </c>
      <c r="I6" s="25">
        <v>1</v>
      </c>
      <c r="J6" s="25">
        <v>1</v>
      </c>
      <c r="K6" s="25"/>
    </row>
    <row r="7" spans="1:11" x14ac:dyDescent="0.25">
      <c r="A7" s="25">
        <v>2030</v>
      </c>
      <c r="B7" s="25" t="s">
        <v>313</v>
      </c>
      <c r="C7" s="25">
        <v>25</v>
      </c>
      <c r="D7" s="25">
        <v>2030</v>
      </c>
      <c r="E7" s="25">
        <v>5</v>
      </c>
      <c r="F7" s="25">
        <v>0.5</v>
      </c>
      <c r="G7" s="25">
        <v>0</v>
      </c>
      <c r="H7" s="25" t="s">
        <v>122</v>
      </c>
      <c r="I7" s="25">
        <v>1</v>
      </c>
      <c r="J7" s="25">
        <v>1</v>
      </c>
      <c r="K7" s="25"/>
    </row>
    <row r="8" spans="1:11" x14ac:dyDescent="0.25">
      <c r="A8" s="25">
        <v>2031</v>
      </c>
      <c r="B8" s="25" t="s">
        <v>312</v>
      </c>
      <c r="C8" s="25">
        <v>67</v>
      </c>
      <c r="D8" s="25">
        <v>2031</v>
      </c>
      <c r="E8" s="25">
        <v>5</v>
      </c>
      <c r="F8" s="25">
        <v>0.5</v>
      </c>
      <c r="G8" s="25">
        <v>0</v>
      </c>
      <c r="H8" s="25" t="s">
        <v>122</v>
      </c>
      <c r="I8" s="25">
        <v>1</v>
      </c>
      <c r="J8" s="25">
        <v>1</v>
      </c>
      <c r="K8" s="25"/>
    </row>
    <row r="9" spans="1:11" x14ac:dyDescent="0.25">
      <c r="A9" s="25">
        <v>2035</v>
      </c>
      <c r="B9" s="25" t="s">
        <v>312</v>
      </c>
      <c r="C9" s="25">
        <v>50</v>
      </c>
      <c r="D9" s="25">
        <v>2035</v>
      </c>
      <c r="E9" s="25">
        <v>5</v>
      </c>
      <c r="F9" s="25">
        <v>0.5</v>
      </c>
      <c r="G9" s="25">
        <v>0</v>
      </c>
      <c r="H9" s="25" t="s">
        <v>122</v>
      </c>
      <c r="I9" s="25">
        <v>1</v>
      </c>
      <c r="J9" s="25">
        <v>1</v>
      </c>
      <c r="K9" s="25"/>
    </row>
    <row r="10" spans="1:11" x14ac:dyDescent="0.25">
      <c r="A10" s="25">
        <v>2030</v>
      </c>
      <c r="B10" s="25" t="s">
        <v>313</v>
      </c>
      <c r="C10" s="25">
        <v>25</v>
      </c>
      <c r="D10" s="25">
        <v>2030</v>
      </c>
      <c r="E10" s="25">
        <v>5</v>
      </c>
      <c r="F10" s="25">
        <v>0.5</v>
      </c>
      <c r="G10" s="25">
        <v>0</v>
      </c>
      <c r="H10" s="25" t="s">
        <v>122</v>
      </c>
      <c r="I10" s="25">
        <v>1</v>
      </c>
      <c r="J10" s="25">
        <v>1</v>
      </c>
      <c r="K10" s="25"/>
    </row>
    <row r="11" spans="1:11" x14ac:dyDescent="0.25">
      <c r="A11" s="25">
        <v>2030</v>
      </c>
      <c r="B11" s="25" t="s">
        <v>313</v>
      </c>
      <c r="C11" s="25">
        <v>25</v>
      </c>
      <c r="D11" s="25">
        <v>2030</v>
      </c>
      <c r="E11" s="25">
        <v>5</v>
      </c>
      <c r="F11" s="25">
        <v>0.5</v>
      </c>
      <c r="G11" s="25">
        <v>0</v>
      </c>
      <c r="H11" s="25" t="s">
        <v>122</v>
      </c>
      <c r="I11" s="25">
        <v>1</v>
      </c>
      <c r="J11" s="25">
        <v>1</v>
      </c>
      <c r="K11" s="25"/>
    </row>
    <row r="12" spans="1:11" x14ac:dyDescent="0.25">
      <c r="A12" s="25">
        <v>2031</v>
      </c>
      <c r="B12" s="25" t="s">
        <v>312</v>
      </c>
      <c r="C12" s="25">
        <v>67</v>
      </c>
      <c r="D12" s="25">
        <v>2031</v>
      </c>
      <c r="E12" s="25">
        <v>5</v>
      </c>
      <c r="F12" s="25">
        <v>0.5</v>
      </c>
      <c r="G12" s="25">
        <v>0</v>
      </c>
      <c r="H12" s="25" t="s">
        <v>122</v>
      </c>
      <c r="I12" s="25">
        <v>1</v>
      </c>
      <c r="J12" s="25">
        <v>1</v>
      </c>
      <c r="K12" s="25"/>
    </row>
    <row r="13" spans="1:11" x14ac:dyDescent="0.25">
      <c r="A13" s="25">
        <v>2031</v>
      </c>
      <c r="B13" s="25" t="s">
        <v>312</v>
      </c>
      <c r="C13" s="25">
        <v>67</v>
      </c>
      <c r="D13" s="25">
        <v>2031</v>
      </c>
      <c r="E13" s="25">
        <v>5</v>
      </c>
      <c r="F13" s="25">
        <v>0.5</v>
      </c>
      <c r="G13" s="25">
        <v>0</v>
      </c>
      <c r="H13" s="25" t="s">
        <v>122</v>
      </c>
      <c r="I13" s="25">
        <v>1</v>
      </c>
      <c r="J13" s="25">
        <v>1</v>
      </c>
      <c r="K13" s="25"/>
    </row>
    <row r="14" spans="1:11" x14ac:dyDescent="0.25">
      <c r="A14" s="25">
        <v>2035</v>
      </c>
      <c r="B14" s="25" t="s">
        <v>312</v>
      </c>
      <c r="C14" s="25">
        <v>50</v>
      </c>
      <c r="D14" s="25">
        <v>2035</v>
      </c>
      <c r="E14" s="25">
        <v>5</v>
      </c>
      <c r="F14" s="25">
        <v>0.5</v>
      </c>
      <c r="G14" s="25">
        <v>0</v>
      </c>
      <c r="H14" s="25" t="s">
        <v>122</v>
      </c>
      <c r="I14" s="25">
        <v>1</v>
      </c>
      <c r="J14" s="25">
        <v>1</v>
      </c>
      <c r="K14" s="25"/>
    </row>
    <row r="15" spans="1:11" x14ac:dyDescent="0.25">
      <c r="A15" s="25">
        <v>2035</v>
      </c>
      <c r="B15" s="25" t="s">
        <v>312</v>
      </c>
      <c r="C15" s="25">
        <v>50</v>
      </c>
      <c r="D15" s="25">
        <v>2035</v>
      </c>
      <c r="E15" s="25">
        <v>5</v>
      </c>
      <c r="F15" s="25">
        <v>0.5</v>
      </c>
      <c r="G15" s="25">
        <v>0</v>
      </c>
      <c r="H15" s="25" t="s">
        <v>122</v>
      </c>
      <c r="I15" s="25">
        <v>1</v>
      </c>
      <c r="J15" s="25">
        <v>1</v>
      </c>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9583A-D4F4-4CB8-9F7E-07D8CCF12A81}">
  <sheetPr codeName="Sheet28">
    <tabColor rgb="FFA3B8BA"/>
  </sheetPr>
  <dimension ref="A1:E50"/>
  <sheetViews>
    <sheetView workbookViewId="0">
      <pane xSplit="1" topLeftCell="B1" activePane="topRight" state="frozen"/>
      <selection activeCell="D21" sqref="D21"/>
      <selection pane="topRight" activeCell="B2" sqref="B2:C14"/>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v>2023</v>
      </c>
      <c r="B2" s="25">
        <v>10</v>
      </c>
      <c r="C2" s="25">
        <v>10</v>
      </c>
      <c r="D2" s="25">
        <v>10</v>
      </c>
      <c r="E2" s="25">
        <v>10</v>
      </c>
    </row>
    <row r="3" spans="1:5" x14ac:dyDescent="0.25">
      <c r="A3" s="25">
        <v>2024</v>
      </c>
      <c r="B3" s="25">
        <v>10</v>
      </c>
      <c r="C3" s="25">
        <v>10</v>
      </c>
      <c r="D3" s="25">
        <v>10</v>
      </c>
      <c r="E3" s="25">
        <v>10</v>
      </c>
    </row>
    <row r="4" spans="1:5" x14ac:dyDescent="0.25">
      <c r="A4" s="25">
        <v>2025</v>
      </c>
      <c r="B4" s="25">
        <v>10</v>
      </c>
      <c r="C4" s="25">
        <v>10</v>
      </c>
      <c r="D4" s="25">
        <v>10</v>
      </c>
      <c r="E4" s="25">
        <v>10</v>
      </c>
    </row>
    <row r="5" spans="1:5" x14ac:dyDescent="0.25">
      <c r="A5" s="25">
        <v>2026</v>
      </c>
      <c r="B5" s="25">
        <v>10</v>
      </c>
      <c r="C5" s="25">
        <v>10</v>
      </c>
      <c r="D5" s="25">
        <v>10</v>
      </c>
      <c r="E5" s="25">
        <v>10</v>
      </c>
    </row>
    <row r="6" spans="1:5" x14ac:dyDescent="0.25">
      <c r="A6" s="25">
        <v>2027</v>
      </c>
      <c r="B6" s="25">
        <v>10</v>
      </c>
      <c r="C6" s="25">
        <v>10</v>
      </c>
      <c r="D6" s="25">
        <v>10</v>
      </c>
      <c r="E6" s="25">
        <v>10</v>
      </c>
    </row>
    <row r="7" spans="1:5" x14ac:dyDescent="0.25">
      <c r="A7" s="25">
        <v>2028</v>
      </c>
      <c r="B7" s="25">
        <v>10</v>
      </c>
      <c r="C7" s="25">
        <v>10</v>
      </c>
      <c r="D7" s="25">
        <v>10</v>
      </c>
      <c r="E7" s="25">
        <v>10</v>
      </c>
    </row>
    <row r="8" spans="1:5" x14ac:dyDescent="0.25">
      <c r="A8" s="25">
        <v>2029</v>
      </c>
      <c r="B8" s="25">
        <v>10</v>
      </c>
      <c r="C8" s="25">
        <v>10</v>
      </c>
      <c r="D8" s="25">
        <v>10</v>
      </c>
      <c r="E8" s="25">
        <v>10</v>
      </c>
    </row>
    <row r="9" spans="1:5" x14ac:dyDescent="0.25">
      <c r="A9" s="25">
        <v>2030</v>
      </c>
      <c r="B9" s="25">
        <v>10</v>
      </c>
      <c r="C9" s="25">
        <v>10</v>
      </c>
      <c r="D9" s="25">
        <v>10</v>
      </c>
      <c r="E9" s="25">
        <v>10</v>
      </c>
    </row>
    <row r="10" spans="1:5" x14ac:dyDescent="0.25">
      <c r="A10" s="25">
        <v>2031</v>
      </c>
      <c r="B10" s="25">
        <v>1.2</v>
      </c>
      <c r="C10" s="25">
        <v>1.2</v>
      </c>
      <c r="D10" s="25">
        <v>1.2</v>
      </c>
      <c r="E10" s="25">
        <v>1.2</v>
      </c>
    </row>
    <row r="11" spans="1:5" x14ac:dyDescent="0.25">
      <c r="A11" s="25">
        <v>2032</v>
      </c>
      <c r="B11" s="25">
        <v>1.2</v>
      </c>
      <c r="C11" s="25">
        <v>1.2</v>
      </c>
      <c r="D11" s="25">
        <v>1.2</v>
      </c>
      <c r="E11" s="25">
        <v>1.2</v>
      </c>
    </row>
    <row r="12" spans="1:5" x14ac:dyDescent="0.25">
      <c r="A12" s="25">
        <v>2033</v>
      </c>
      <c r="B12" s="25">
        <v>1.2</v>
      </c>
      <c r="C12" s="25">
        <v>1.2</v>
      </c>
      <c r="D12" s="25">
        <v>1.2</v>
      </c>
      <c r="E12" s="25">
        <v>1.2</v>
      </c>
    </row>
    <row r="13" spans="1:5" x14ac:dyDescent="0.25">
      <c r="A13" s="25">
        <v>2034</v>
      </c>
      <c r="B13" s="25">
        <v>1.2</v>
      </c>
      <c r="C13" s="25">
        <v>1.2</v>
      </c>
      <c r="D13" s="25">
        <v>1.2</v>
      </c>
      <c r="E13" s="25">
        <v>1.2</v>
      </c>
    </row>
    <row r="14" spans="1:5" x14ac:dyDescent="0.25">
      <c r="A14" s="25">
        <v>2035</v>
      </c>
      <c r="B14" s="25">
        <v>1.2</v>
      </c>
      <c r="C14" s="25">
        <v>1.2</v>
      </c>
      <c r="D14" s="25">
        <v>1.2</v>
      </c>
      <c r="E14" s="25">
        <v>1.2</v>
      </c>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OrEqual" allowBlank="1" showInputMessage="1" showErrorMessage="1" errorTitle="Data Type Error" error="Should be greater than equal to 0" sqref="C15:C50" xr:uid="{47ADB0BD-FADE-48CF-B66C-910DF04C9D79}">
      <formula1>0</formula1>
    </dataValidation>
    <dataValidation type="decimal" operator="greaterThanOrEqual" allowBlank="1" showInputMessage="1" showErrorMessage="1" errorTitle="Data Type Error" error="Should be greater than or equal to 0" sqref="D15:E50 B2:B50 C2:E14" xr:uid="{75897B06-8021-4504-998E-2DABAADDC305}">
      <formula1>0</formula1>
    </dataValidation>
    <dataValidation type="whole" operator="greaterThan" allowBlank="1" showInputMessage="1" showErrorMessage="1" errorTitle="Data Type Error" error="Should be Number not Text." sqref="A2:A1048576" xr:uid="{5EBA3E5D-C17B-44C2-9EEF-E2EE51504731}">
      <formula1>0</formula1>
    </dataValidation>
    <dataValidation type="decimal" operator="greaterThan" allowBlank="1" showInputMessage="1" showErrorMessage="1" errorTitle="Data Type Error" error="Should be Number not Text." sqref="B51:E1048576" xr:uid="{7E957DE3-8181-4E92-B114-1A88792C09F9}">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C7006-DAEF-4A4B-AC3E-2D06694DC6FE}">
  <sheetPr codeName="Sheet29">
    <tabColor rgb="FFA3B8BA"/>
  </sheetPr>
  <dimension ref="A1:C50"/>
  <sheetViews>
    <sheetView workbookViewId="0">
      <selection activeCell="C14" sqref="A2:C14"/>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C28C9E69-CDF0-4310-91FF-F72D04C7420C}">
      <formula1>0</formula1>
    </dataValidation>
    <dataValidation type="decimal" operator="greaterThan" allowBlank="1" showInputMessage="1" showErrorMessage="1" errorTitle="Data Type Error" error="Should be Number not Text" sqref="B51:C1048576" xr:uid="{8E82B7ED-5E0F-4A44-836B-D95DA33A8B95}">
      <formula1>0</formula1>
    </dataValidation>
    <dataValidation type="whole" operator="greaterThan" allowBlank="1" showInputMessage="1" showErrorMessage="1" errorTitle="Data Type Error" error="Should be Number not Text" sqref="A2:A1048576" xr:uid="{15F8D36D-0061-4EEA-BB8B-A3881D62FC49}">
      <formula1>0</formula1>
    </dataValidation>
    <dataValidation operator="greaterThan" allowBlank="1" showInputMessage="1" showErrorMessage="1" errorTitle="Data Type Error" error="Should be Number not Text." sqref="D1:XFD1" xr:uid="{C2D84E6C-6947-4489-A308-AB73686B4D33}"/>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530F0-B391-4AE2-A20D-BEDABA2FB2D5}">
  <sheetPr codeName="Sheet31">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3D8C0B86-1FB6-4AF3-B086-733C58164C0A}">
      <formula1>0</formula1>
    </dataValidation>
    <dataValidation type="decimal" operator="greaterThan" allowBlank="1" showInputMessage="1" showErrorMessage="1" errorTitle="Data Type Error" error="Should be Number not Text" sqref="B51:C1048576" xr:uid="{F3C4DA7A-7F66-4C8D-BE7E-DD6B645CE4EA}">
      <formula1>0</formula1>
    </dataValidation>
    <dataValidation type="whole" operator="greaterThan" allowBlank="1" showInputMessage="1" showErrorMessage="1" errorTitle="Data Type Error" error="Should be Number not Text" sqref="A2:A1048576" xr:uid="{97F0B81C-8B20-4388-BD9B-EE1CE7A9E29C}">
      <formula1>0</formula1>
    </dataValidation>
    <dataValidation operator="greaterThan" allowBlank="1" showInputMessage="1" showErrorMessage="1" errorTitle="Data Type Error" error="Should be Number not Text." sqref="D1:XFD1" xr:uid="{E00CF29B-FD78-4029-9CAF-96BE6EB4D149}"/>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A841E-F46E-4A5D-9B48-824D109D3865}">
  <sheetPr codeName="Sheet27">
    <tabColor rgb="FFA3B8BA"/>
  </sheetPr>
  <dimension ref="A1:BW50"/>
  <sheetViews>
    <sheetView zoomScale="98" zoomScaleNormal="98" workbookViewId="0">
      <pane xSplit="1" topLeftCell="B1" activePane="topRight" state="frozen"/>
      <selection pane="topRight" activeCell="E21" sqref="E21"/>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decimal" operator="greaterThanOrEqual" allowBlank="1" showInputMessage="1" showErrorMessage="1" errorTitle="Data Type Error" error="Should be greater than or equal to 0" sqref="I2:BJ50 B10:H50" xr:uid="{27C57549-E4AF-4D43-AFFE-7049495ADD5C}">
      <formula1>0</formula1>
    </dataValidation>
    <dataValidation type="decimal" operator="greaterThan" allowBlank="1" showInputMessage="1" showErrorMessage="1" errorTitle="Data Type Error" error="Should be Number not Text" sqref="B51:E1048576" xr:uid="{4F776F78-2D49-4EFE-957D-15475015A853}">
      <formula1>0</formula1>
    </dataValidation>
    <dataValidation type="whole" operator="greaterThan" allowBlank="1" showInputMessage="1" showErrorMessage="1" errorTitle="Data Type Error" error="Should be Number not Text." sqref="A2:A1048576 B2:H9" xr:uid="{6AE68F9D-BFDB-4898-BA4C-5D724F81563A}">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C12"/>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v>2023</v>
      </c>
      <c r="B2" s="25" t="s">
        <v>312</v>
      </c>
      <c r="C2" s="25">
        <v>100</v>
      </c>
      <c r="D2" s="25">
        <v>1</v>
      </c>
      <c r="E2" s="25">
        <v>1</v>
      </c>
      <c r="F2" s="25"/>
    </row>
    <row r="3" spans="1:6" x14ac:dyDescent="0.25">
      <c r="A3" s="25">
        <v>2023</v>
      </c>
      <c r="B3" s="25" t="s">
        <v>312</v>
      </c>
      <c r="C3" s="25">
        <v>100</v>
      </c>
      <c r="D3" s="25">
        <v>1</v>
      </c>
      <c r="E3" s="25">
        <v>1</v>
      </c>
      <c r="F3" s="25"/>
    </row>
    <row r="4" spans="1:6" x14ac:dyDescent="0.25">
      <c r="A4" s="25">
        <v>2025</v>
      </c>
      <c r="B4" s="25" t="s">
        <v>312</v>
      </c>
      <c r="C4" s="25">
        <v>100</v>
      </c>
      <c r="D4" s="25">
        <v>1</v>
      </c>
      <c r="E4" s="25">
        <v>1</v>
      </c>
      <c r="F4" s="25"/>
    </row>
    <row r="5" spans="1:6" x14ac:dyDescent="0.25">
      <c r="A5" s="25">
        <v>2025</v>
      </c>
      <c r="B5" s="25" t="s">
        <v>312</v>
      </c>
      <c r="C5" s="25">
        <v>100</v>
      </c>
      <c r="D5" s="25">
        <v>1</v>
      </c>
      <c r="E5" s="25">
        <v>1</v>
      </c>
      <c r="F5" s="25"/>
    </row>
    <row r="6" spans="1:6" x14ac:dyDescent="0.25">
      <c r="A6" s="25">
        <v>2030</v>
      </c>
      <c r="B6" s="25" t="s">
        <v>313</v>
      </c>
      <c r="C6" s="25">
        <v>25</v>
      </c>
      <c r="D6" s="25">
        <v>1</v>
      </c>
      <c r="E6" s="25">
        <v>1</v>
      </c>
      <c r="F6" s="25"/>
    </row>
    <row r="7" spans="1:6" x14ac:dyDescent="0.25">
      <c r="A7" s="25">
        <v>2030</v>
      </c>
      <c r="B7" s="25" t="s">
        <v>313</v>
      </c>
      <c r="C7" s="25">
        <v>25</v>
      </c>
      <c r="D7" s="25">
        <v>1</v>
      </c>
      <c r="E7" s="25">
        <v>1</v>
      </c>
      <c r="F7" s="25"/>
    </row>
    <row r="8" spans="1:6" x14ac:dyDescent="0.25">
      <c r="A8" s="25">
        <v>2031</v>
      </c>
      <c r="B8" s="25" t="s">
        <v>312</v>
      </c>
      <c r="C8" s="25">
        <v>67</v>
      </c>
      <c r="D8" s="25">
        <v>1</v>
      </c>
      <c r="E8" s="25">
        <v>1</v>
      </c>
      <c r="F8" s="25"/>
    </row>
    <row r="9" spans="1:6" x14ac:dyDescent="0.25">
      <c r="A9" s="25">
        <v>2035</v>
      </c>
      <c r="B9" s="25" t="s">
        <v>312</v>
      </c>
      <c r="C9" s="25">
        <v>50</v>
      </c>
      <c r="D9" s="25">
        <v>1</v>
      </c>
      <c r="E9" s="25">
        <v>1</v>
      </c>
      <c r="F9" s="25"/>
    </row>
    <row r="10" spans="1:6" x14ac:dyDescent="0.25">
      <c r="A10" s="25">
        <v>2030</v>
      </c>
      <c r="B10" s="25" t="s">
        <v>313</v>
      </c>
      <c r="C10" s="25">
        <v>25</v>
      </c>
      <c r="D10" s="25">
        <v>1</v>
      </c>
      <c r="E10" s="25">
        <v>1</v>
      </c>
      <c r="F10" s="25"/>
    </row>
    <row r="11" spans="1:6" x14ac:dyDescent="0.25">
      <c r="A11" s="25">
        <v>2031</v>
      </c>
      <c r="B11" s="25" t="s">
        <v>312</v>
      </c>
      <c r="C11" s="25">
        <v>67</v>
      </c>
      <c r="D11" s="25">
        <v>1</v>
      </c>
      <c r="E11" s="25">
        <v>1</v>
      </c>
      <c r="F11" s="25"/>
    </row>
    <row r="12" spans="1:6" x14ac:dyDescent="0.25">
      <c r="A12" s="25">
        <v>2031</v>
      </c>
      <c r="B12" s="25" t="s">
        <v>312</v>
      </c>
      <c r="C12" s="25">
        <v>67</v>
      </c>
      <c r="D12" s="25">
        <v>1</v>
      </c>
      <c r="E12" s="25">
        <v>1</v>
      </c>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C19" sqref="C19"/>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v>2023</v>
      </c>
      <c r="B2" s="25" t="s">
        <v>312</v>
      </c>
      <c r="C2" s="25">
        <v>100</v>
      </c>
      <c r="D2" s="25">
        <v>1</v>
      </c>
      <c r="E2" s="25">
        <v>1</v>
      </c>
      <c r="F2" s="25"/>
    </row>
    <row r="3" spans="1:6" x14ac:dyDescent="0.25">
      <c r="A3" s="25">
        <v>2023</v>
      </c>
      <c r="B3" s="25" t="s">
        <v>312</v>
      </c>
      <c r="C3" s="25">
        <v>100</v>
      </c>
      <c r="D3" s="25">
        <v>1</v>
      </c>
      <c r="E3" s="25">
        <v>1</v>
      </c>
      <c r="F3" s="25"/>
    </row>
    <row r="4" spans="1:6" x14ac:dyDescent="0.25">
      <c r="A4" s="25">
        <v>2025</v>
      </c>
      <c r="B4" s="25" t="s">
        <v>312</v>
      </c>
      <c r="C4" s="25">
        <v>100</v>
      </c>
      <c r="D4" s="25">
        <v>1</v>
      </c>
      <c r="E4" s="25">
        <v>1</v>
      </c>
      <c r="F4" s="25"/>
    </row>
    <row r="5" spans="1:6" x14ac:dyDescent="0.25">
      <c r="A5" s="25">
        <v>2025</v>
      </c>
      <c r="B5" s="25" t="s">
        <v>312</v>
      </c>
      <c r="C5" s="25">
        <v>100</v>
      </c>
      <c r="D5" s="25">
        <v>1</v>
      </c>
      <c r="E5" s="25">
        <v>1</v>
      </c>
      <c r="F5" s="25"/>
    </row>
    <row r="6" spans="1:6" x14ac:dyDescent="0.25">
      <c r="A6" s="25">
        <v>2030</v>
      </c>
      <c r="B6" s="25" t="s">
        <v>313</v>
      </c>
      <c r="C6" s="25">
        <v>25</v>
      </c>
      <c r="D6" s="25">
        <v>1</v>
      </c>
      <c r="E6" s="25">
        <v>1</v>
      </c>
      <c r="F6" s="25"/>
    </row>
    <row r="7" spans="1:6" x14ac:dyDescent="0.25">
      <c r="A7" s="25">
        <v>2030</v>
      </c>
      <c r="B7" s="25" t="s">
        <v>313</v>
      </c>
      <c r="C7" s="25">
        <v>25</v>
      </c>
      <c r="D7" s="25">
        <v>1</v>
      </c>
      <c r="E7" s="25">
        <v>1</v>
      </c>
      <c r="F7" s="25"/>
    </row>
    <row r="8" spans="1:6" x14ac:dyDescent="0.25">
      <c r="A8" s="25">
        <v>2031</v>
      </c>
      <c r="B8" s="25" t="s">
        <v>312</v>
      </c>
      <c r="C8" s="25">
        <v>67</v>
      </c>
      <c r="D8" s="25">
        <v>1</v>
      </c>
      <c r="E8" s="25">
        <v>1</v>
      </c>
      <c r="F8" s="25"/>
    </row>
    <row r="9" spans="1:6" x14ac:dyDescent="0.25">
      <c r="A9" s="25">
        <v>2035</v>
      </c>
      <c r="B9" s="25" t="s">
        <v>312</v>
      </c>
      <c r="C9" s="25">
        <v>50</v>
      </c>
      <c r="D9" s="25">
        <v>1</v>
      </c>
      <c r="E9" s="25">
        <v>1</v>
      </c>
      <c r="F9" s="25"/>
    </row>
    <row r="10" spans="1:6" x14ac:dyDescent="0.25">
      <c r="A10" s="25">
        <v>2030</v>
      </c>
      <c r="B10" s="25" t="s">
        <v>313</v>
      </c>
      <c r="C10" s="25">
        <v>25</v>
      </c>
      <c r="D10" s="25">
        <v>1</v>
      </c>
      <c r="E10" s="25">
        <v>1</v>
      </c>
      <c r="F10" s="25"/>
    </row>
    <row r="11" spans="1:6" x14ac:dyDescent="0.25">
      <c r="A11" s="25">
        <v>2030</v>
      </c>
      <c r="B11" s="25" t="s">
        <v>313</v>
      </c>
      <c r="C11" s="25">
        <v>25</v>
      </c>
      <c r="D11" s="25">
        <v>1</v>
      </c>
      <c r="E11" s="25">
        <v>1</v>
      </c>
      <c r="F11" s="25"/>
    </row>
    <row r="12" spans="1:6" x14ac:dyDescent="0.25">
      <c r="A12" s="25">
        <v>2031</v>
      </c>
      <c r="B12" s="25" t="s">
        <v>312</v>
      </c>
      <c r="C12" s="25">
        <v>67</v>
      </c>
      <c r="D12" s="25">
        <v>1</v>
      </c>
      <c r="E12" s="25">
        <v>1</v>
      </c>
      <c r="F12" s="25"/>
    </row>
    <row r="13" spans="1:6" x14ac:dyDescent="0.25">
      <c r="A13" s="25">
        <v>2031</v>
      </c>
      <c r="B13" s="25" t="s">
        <v>312</v>
      </c>
      <c r="C13" s="25">
        <v>67</v>
      </c>
      <c r="D13" s="25">
        <v>1</v>
      </c>
      <c r="E13" s="25">
        <v>1</v>
      </c>
      <c r="F13" s="25"/>
    </row>
    <row r="14" spans="1:6" x14ac:dyDescent="0.25">
      <c r="A14" s="25">
        <v>2035</v>
      </c>
      <c r="B14" s="25" t="s">
        <v>312</v>
      </c>
      <c r="C14" s="25">
        <v>50</v>
      </c>
      <c r="D14" s="25">
        <v>1</v>
      </c>
      <c r="E14" s="25">
        <v>1</v>
      </c>
      <c r="F14" s="25"/>
    </row>
    <row r="15" spans="1:6" x14ac:dyDescent="0.25">
      <c r="A15" s="25">
        <v>2035</v>
      </c>
      <c r="B15" s="25" t="s">
        <v>312</v>
      </c>
      <c r="C15" s="25">
        <v>50</v>
      </c>
      <c r="D15" s="25">
        <v>1</v>
      </c>
      <c r="E15" s="25">
        <v>1</v>
      </c>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B18" sqref="B18"/>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C14"/>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55B04-3208-459D-8DC0-F167AC3DEA8A}">
  <sheetPr codeName="Sheet33">
    <tabColor rgb="FFA3B8BA"/>
  </sheetPr>
  <dimension ref="A1:C50"/>
  <sheetViews>
    <sheetView workbookViewId="0">
      <selection activeCell="C21" sqref="C21"/>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7D0CDECE-4B3E-4F58-BA73-F818CC74C598}">
      <formula1>0</formula1>
    </dataValidation>
    <dataValidation type="decimal" operator="greaterThan" allowBlank="1" showInputMessage="1" showErrorMessage="1" errorTitle="Data Type Error" error="Should be Number not Text" sqref="B51:C1048576" xr:uid="{27E688FD-5F06-4B57-8AD1-3A79D194D81C}">
      <formula1>0</formula1>
    </dataValidation>
    <dataValidation type="whole" operator="greaterThan" allowBlank="1" showInputMessage="1" showErrorMessage="1" errorTitle="Data Type Error" error="Should be Number not Text" sqref="A2:A1048576" xr:uid="{20BA4C3A-DEEE-4906-8D47-216D79CEAAC5}">
      <formula1>0</formula1>
    </dataValidation>
    <dataValidation operator="greaterThan" allowBlank="1" showInputMessage="1" showErrorMessage="1" errorTitle="Data Type Error" error="Should be Number not Text." sqref="D1:XFD1" xr:uid="{B6307540-B099-4DA3-A8CA-D9718DD1BDCD}"/>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350</v>
      </c>
      <c r="F1" s="9" t="s">
        <v>354</v>
      </c>
    </row>
    <row r="2" spans="1:14" x14ac:dyDescent="0.25">
      <c r="B2" t="s">
        <v>351</v>
      </c>
      <c r="C2" s="29">
        <v>0.2</v>
      </c>
      <c r="G2" s="9" t="s">
        <v>355</v>
      </c>
    </row>
    <row r="3" spans="1:14" x14ac:dyDescent="0.25">
      <c r="B3" t="s">
        <v>352</v>
      </c>
      <c r="C3" s="29">
        <v>0.2</v>
      </c>
      <c r="G3" s="80"/>
      <c r="H3" s="80"/>
      <c r="I3" s="80"/>
      <c r="J3" s="80"/>
      <c r="K3" s="80"/>
      <c r="L3" s="80"/>
      <c r="M3" s="80"/>
      <c r="N3" s="80"/>
    </row>
    <row r="4" spans="1:14" x14ac:dyDescent="0.25">
      <c r="B4" t="s">
        <v>353</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340</v>
      </c>
      <c r="D6" s="83" t="s">
        <v>341</v>
      </c>
      <c r="E6" s="83" t="s">
        <v>342</v>
      </c>
      <c r="G6" s="80"/>
      <c r="H6" s="80"/>
      <c r="I6" s="80"/>
      <c r="J6" s="80"/>
      <c r="K6" s="80"/>
      <c r="L6" s="80"/>
      <c r="M6" s="80"/>
      <c r="N6" s="80"/>
    </row>
    <row r="7" spans="1:14" x14ac:dyDescent="0.25">
      <c r="B7" t="s">
        <v>365</v>
      </c>
      <c r="C7" s="25">
        <f>D7-$C$2*D7</f>
        <v>53.076923076923073</v>
      </c>
      <c r="D7" s="25">
        <f>IFERROR(AVERAGE(tbl_prod_oil[Oil Price (USD/BBL)]),0)</f>
        <v>66.34615384615384</v>
      </c>
      <c r="E7" s="25">
        <f>D7+$C$3*D7</f>
        <v>79.615384615384613</v>
      </c>
      <c r="G7" s="80"/>
      <c r="H7" s="80"/>
      <c r="I7" s="80"/>
      <c r="J7" s="80"/>
      <c r="K7" s="80"/>
      <c r="L7" s="80"/>
      <c r="M7" s="80"/>
      <c r="N7" s="80"/>
    </row>
    <row r="8" spans="1:14" x14ac:dyDescent="0.25">
      <c r="B8" t="s">
        <v>366</v>
      </c>
      <c r="C8" s="25">
        <f t="shared" ref="C8:C11" si="0">D8-$C$2*D8</f>
        <v>56.923076923076927</v>
      </c>
      <c r="D8" s="25">
        <f>IFERROR(AVERAGE(tbl_prod_gas[GSA 1 Price (USD/MMBTU)]),0)</f>
        <v>71.15384615384616</v>
      </c>
      <c r="E8" s="25">
        <f t="shared" ref="E8:E11" si="1">D8+$C$3*D8</f>
        <v>85.384615384615387</v>
      </c>
      <c r="G8" s="80"/>
      <c r="H8" s="80"/>
      <c r="I8" s="80"/>
      <c r="J8" s="80"/>
      <c r="K8" s="80"/>
      <c r="L8" s="80"/>
      <c r="M8" s="80"/>
      <c r="N8" s="80"/>
    </row>
    <row r="9" spans="1:14" x14ac:dyDescent="0.25">
      <c r="B9" t="s">
        <v>230</v>
      </c>
      <c r="C9" s="25">
        <f t="shared" si="0"/>
        <v>580.79999999999995</v>
      </c>
      <c r="D9" s="25">
        <f>SUM(tbl_cost_opex[Fixed Cost (MUSD)])</f>
        <v>726</v>
      </c>
      <c r="E9" s="25">
        <f t="shared" si="1"/>
        <v>871.2</v>
      </c>
      <c r="G9" s="80"/>
      <c r="H9" s="80"/>
      <c r="I9" s="80"/>
      <c r="J9" s="80"/>
      <c r="K9" s="80"/>
      <c r="L9" s="80"/>
      <c r="M9" s="80"/>
      <c r="N9" s="80"/>
    </row>
    <row r="10" spans="1:14" x14ac:dyDescent="0.25">
      <c r="B10" t="s">
        <v>259</v>
      </c>
      <c r="C10" s="25">
        <f t="shared" si="0"/>
        <v>680.8</v>
      </c>
      <c r="D10" s="25">
        <f>SUM(tbl_cost_tangible[Cost (MUSD)])</f>
        <v>851</v>
      </c>
      <c r="E10" s="25">
        <f t="shared" si="1"/>
        <v>1021.2</v>
      </c>
      <c r="G10" s="80"/>
      <c r="H10" s="80"/>
      <c r="I10" s="80"/>
      <c r="J10" s="80"/>
      <c r="K10" s="80"/>
      <c r="L10" s="80"/>
      <c r="M10" s="80"/>
      <c r="N10" s="80"/>
    </row>
    <row r="11" spans="1:14" x14ac:dyDescent="0.25">
      <c r="B11" t="s">
        <v>367</v>
      </c>
      <c r="C11" s="25">
        <f t="shared" si="0"/>
        <v>1430</v>
      </c>
      <c r="D11" s="25">
        <f>SUM(tbl_prod_oil[Oil Sales (MMBOPY)]) + SUM(tbl_prod_gas[Gas Production (BSCF)])</f>
        <v>1787.5</v>
      </c>
      <c r="E11" s="25">
        <f t="shared" si="1"/>
        <v>2145</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345</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356</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330</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309</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D2" sqref="D2"/>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344</v>
      </c>
      <c r="M1" s="9" t="s">
        <v>347</v>
      </c>
    </row>
    <row r="2" spans="1:16" x14ac:dyDescent="0.25">
      <c r="B2" t="s">
        <v>213</v>
      </c>
      <c r="D2" s="29" t="s">
        <v>345</v>
      </c>
      <c r="E2" s="75" t="s">
        <v>346</v>
      </c>
      <c r="F2" s="78">
        <v>0.15</v>
      </c>
      <c r="N2" t="str">
        <f>CONCATENATE(D2," ","Result")</f>
        <v>IRR Result</v>
      </c>
      <c r="P2" s="76"/>
    </row>
    <row r="3" spans="1:16" x14ac:dyDescent="0.25"/>
    <row r="4" spans="1:16" x14ac:dyDescent="0.25">
      <c r="A4" s="9" t="s">
        <v>332</v>
      </c>
      <c r="D4" s="73" t="s">
        <v>338</v>
      </c>
      <c r="E4" s="73" t="s">
        <v>339</v>
      </c>
      <c r="F4" s="74" t="s">
        <v>341</v>
      </c>
      <c r="G4" s="74" t="s">
        <v>340</v>
      </c>
      <c r="H4" s="74" t="s">
        <v>342</v>
      </c>
      <c r="J4" s="25">
        <v>0</v>
      </c>
      <c r="M4" s="9" t="s">
        <v>348</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333</v>
      </c>
      <c r="D10" s="29"/>
      <c r="E10" s="72"/>
      <c r="F10" s="77">
        <f>'Cost Recovery Config'!C28</f>
        <v>1</v>
      </c>
      <c r="G10" s="29"/>
      <c r="H10" s="29"/>
      <c r="N10" t="s">
        <v>333</v>
      </c>
      <c r="P10" s="76"/>
    </row>
    <row r="11" spans="1:16" x14ac:dyDescent="0.25">
      <c r="B11" t="s">
        <v>334</v>
      </c>
      <c r="D11" s="29"/>
      <c r="E11" s="72"/>
      <c r="F11" s="77">
        <f>'Gross Split Config'!C30</f>
        <v>1</v>
      </c>
      <c r="G11" s="29"/>
      <c r="H11" s="29"/>
      <c r="N11" t="s">
        <v>334</v>
      </c>
      <c r="P11" s="76"/>
    </row>
    <row r="12" spans="1:16" x14ac:dyDescent="0.25">
      <c r="B12" t="s">
        <v>272</v>
      </c>
      <c r="D12" s="29"/>
      <c r="E12" s="72"/>
      <c r="F12" s="77">
        <f>'General Config'!C20</f>
        <v>0</v>
      </c>
      <c r="G12" s="29"/>
      <c r="H12" s="29"/>
      <c r="N12" t="s">
        <v>272</v>
      </c>
      <c r="P12" s="76"/>
    </row>
    <row r="13" spans="1:16" x14ac:dyDescent="0.25">
      <c r="B13" t="s">
        <v>335</v>
      </c>
      <c r="D13" s="29"/>
      <c r="E13" s="72"/>
      <c r="F13" s="77">
        <f>'Fiscal Config'!C3</f>
        <v>0.44</v>
      </c>
      <c r="G13" s="29"/>
      <c r="H13" s="29"/>
      <c r="N13" t="s">
        <v>335</v>
      </c>
      <c r="P13" s="76"/>
    </row>
    <row r="14" spans="1:16" x14ac:dyDescent="0.25"/>
    <row r="15" spans="1:16" hidden="1" x14ac:dyDescent="0.25">
      <c r="A15" s="9" t="s">
        <v>336</v>
      </c>
      <c r="D15" s="73" t="s">
        <v>338</v>
      </c>
      <c r="E15" s="73" t="s">
        <v>339</v>
      </c>
      <c r="F15" s="74" t="s">
        <v>341</v>
      </c>
      <c r="G15" s="73" t="s">
        <v>340</v>
      </c>
      <c r="H15" s="73" t="s">
        <v>342</v>
      </c>
      <c r="J15" s="72">
        <v>3</v>
      </c>
      <c r="M15" s="9" t="s">
        <v>349</v>
      </c>
    </row>
    <row r="16" spans="1:16" hidden="1" x14ac:dyDescent="0.25">
      <c r="B16" t="s">
        <v>337</v>
      </c>
      <c r="D16" s="29"/>
      <c r="E16" s="25">
        <v>1</v>
      </c>
      <c r="F16" s="77">
        <f>'Gross Split Config'!C13</f>
        <v>0.08</v>
      </c>
      <c r="G16" s="29"/>
      <c r="H16" s="29"/>
      <c r="N16" t="s">
        <v>337</v>
      </c>
      <c r="P16" s="76"/>
    </row>
    <row r="17" spans="2:16" hidden="1" x14ac:dyDescent="0.25">
      <c r="B17" t="s">
        <v>272</v>
      </c>
      <c r="D17" s="29"/>
      <c r="E17" s="25">
        <v>2</v>
      </c>
      <c r="F17" s="77">
        <f>'General Config'!C20</f>
        <v>0</v>
      </c>
      <c r="G17" s="29"/>
      <c r="H17" s="29"/>
      <c r="N17" t="s">
        <v>272</v>
      </c>
      <c r="P17" s="76"/>
    </row>
    <row r="18" spans="2:16" hidden="1" x14ac:dyDescent="0.25">
      <c r="B18" t="s">
        <v>335</v>
      </c>
      <c r="D18" s="29"/>
      <c r="E18" s="25">
        <v>3</v>
      </c>
      <c r="F18" s="77">
        <f>'Fiscal Config'!C3</f>
        <v>0.44</v>
      </c>
      <c r="G18" s="29"/>
      <c r="H18" s="29"/>
      <c r="N18" t="s">
        <v>335</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5</xdr:row>
                    <xdr:rowOff>19050</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6</xdr:row>
                    <xdr:rowOff>19050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7</xdr:row>
                    <xdr:rowOff>19050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8</xdr:row>
                    <xdr:rowOff>19050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9</xdr:row>
                    <xdr:rowOff>19050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10</xdr:row>
                    <xdr:rowOff>19050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11</xdr:row>
                    <xdr:rowOff>19050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12</xdr:row>
                    <xdr:rowOff>19050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13</xdr:row>
                    <xdr:rowOff>19050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19050</xdr:rowOff>
                  </from>
                  <to>
                    <xdr:col>3</xdr:col>
                    <xdr:colOff>438150</xdr:colOff>
                    <xdr:row>19</xdr:row>
                    <xdr:rowOff>161925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438150</xdr:colOff>
                    <xdr:row>19</xdr:row>
                    <xdr:rowOff>161925</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19050</xdr:rowOff>
                  </from>
                  <to>
                    <xdr:col>3</xdr:col>
                    <xdr:colOff>438150</xdr:colOff>
                    <xdr:row>19</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4" t="s">
        <v>374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E3" sqref="E3"/>
    </sheetView>
  </sheetViews>
  <sheetFormatPr defaultColWidth="0" defaultRowHeight="15"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385</v>
      </c>
      <c r="J1" s="9" t="s">
        <v>368</v>
      </c>
    </row>
    <row r="2" spans="1:18" x14ac:dyDescent="0.25">
      <c r="B2" s="83" t="s">
        <v>50</v>
      </c>
      <c r="C2" s="83" t="s">
        <v>369</v>
      </c>
      <c r="E2" s="83" t="s">
        <v>340</v>
      </c>
      <c r="F2" s="83" t="s">
        <v>341</v>
      </c>
      <c r="G2" s="83" t="s">
        <v>342</v>
      </c>
      <c r="H2" s="83" t="s">
        <v>371</v>
      </c>
      <c r="I2" s="83"/>
      <c r="K2" s="9" t="s">
        <v>355</v>
      </c>
    </row>
    <row r="3" spans="1:18" x14ac:dyDescent="0.25">
      <c r="B3" t="s">
        <v>365</v>
      </c>
      <c r="C3" s="25" t="s">
        <v>370</v>
      </c>
      <c r="E3" s="78"/>
      <c r="F3" s="25">
        <f>Sensitivity!D7</f>
        <v>66.34615384615384</v>
      </c>
      <c r="G3" s="78"/>
      <c r="H3" s="78"/>
      <c r="K3" s="80"/>
      <c r="L3" s="80"/>
      <c r="M3" s="80"/>
      <c r="N3" s="80"/>
      <c r="O3" s="80"/>
      <c r="P3" s="80"/>
      <c r="Q3" s="80"/>
      <c r="R3" s="80"/>
    </row>
    <row r="4" spans="1:18" x14ac:dyDescent="0.25">
      <c r="B4" t="s">
        <v>366</v>
      </c>
      <c r="C4" s="25" t="s">
        <v>370</v>
      </c>
      <c r="E4" s="78"/>
      <c r="F4" s="25">
        <f>Sensitivity!D8</f>
        <v>71.15384615384616</v>
      </c>
      <c r="G4" s="78"/>
      <c r="H4" s="78"/>
      <c r="K4" s="80"/>
      <c r="L4" s="80"/>
      <c r="M4" s="80"/>
      <c r="N4" s="80"/>
      <c r="O4" s="80"/>
      <c r="P4" s="80"/>
      <c r="Q4" s="80"/>
      <c r="R4" s="80"/>
    </row>
    <row r="5" spans="1:18" x14ac:dyDescent="0.25">
      <c r="B5" t="s">
        <v>230</v>
      </c>
      <c r="C5" s="25" t="s">
        <v>370</v>
      </c>
      <c r="E5" s="78"/>
      <c r="F5" s="25">
        <f>Sensitivity!D9</f>
        <v>726</v>
      </c>
      <c r="G5" s="78"/>
      <c r="H5" s="78"/>
      <c r="K5" s="80"/>
      <c r="L5" s="80"/>
      <c r="M5" s="80"/>
      <c r="N5" s="80"/>
      <c r="O5" s="80"/>
      <c r="P5" s="80"/>
      <c r="Q5" s="80"/>
      <c r="R5" s="80"/>
    </row>
    <row r="6" spans="1:18" x14ac:dyDescent="0.25">
      <c r="B6" t="s">
        <v>259</v>
      </c>
      <c r="C6" s="25" t="s">
        <v>370</v>
      </c>
      <c r="E6" s="78"/>
      <c r="F6" s="25">
        <f>Sensitivity!D10</f>
        <v>851</v>
      </c>
      <c r="G6" s="78"/>
      <c r="H6" s="78"/>
      <c r="K6" s="80"/>
      <c r="L6" s="80"/>
      <c r="M6" s="80"/>
      <c r="N6" s="80"/>
      <c r="O6" s="80"/>
      <c r="P6" s="80"/>
      <c r="Q6" s="80"/>
      <c r="R6" s="80"/>
    </row>
    <row r="7" spans="1:18" x14ac:dyDescent="0.25">
      <c r="B7" t="s">
        <v>367</v>
      </c>
      <c r="C7" s="25" t="s">
        <v>370</v>
      </c>
      <c r="E7" s="78"/>
      <c r="F7" s="25">
        <f>Sensitivity!D11</f>
        <v>1787.5</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345</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356</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330</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309</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312</v>
      </c>
    </row>
    <row r="4" spans="2:28" x14ac:dyDescent="0.25">
      <c r="B4" s="69" t="s">
        <v>0</v>
      </c>
      <c r="C4" s="69" t="s">
        <v>284</v>
      </c>
      <c r="D4" s="69" t="s">
        <v>285</v>
      </c>
      <c r="E4" s="69" t="s">
        <v>286</v>
      </c>
      <c r="F4" s="69" t="s">
        <v>316</v>
      </c>
      <c r="G4" s="69" t="s">
        <v>317</v>
      </c>
      <c r="H4" s="69" t="s">
        <v>318</v>
      </c>
      <c r="I4" s="69" t="s">
        <v>319</v>
      </c>
      <c r="J4" s="69" t="s">
        <v>303</v>
      </c>
      <c r="K4" s="69" t="s">
        <v>304</v>
      </c>
      <c r="L4" s="69" t="s">
        <v>288</v>
      </c>
      <c r="M4" s="69" t="s">
        <v>320</v>
      </c>
      <c r="N4" s="69" t="s">
        <v>321</v>
      </c>
      <c r="O4" s="69" t="s">
        <v>322</v>
      </c>
      <c r="P4" s="69" t="s">
        <v>323</v>
      </c>
      <c r="Q4" s="69" t="s">
        <v>232</v>
      </c>
      <c r="R4" s="69" t="s">
        <v>325</v>
      </c>
      <c r="S4" s="69" t="s">
        <v>324</v>
      </c>
      <c r="T4" s="69" t="s">
        <v>326</v>
      </c>
      <c r="U4" s="69" t="s">
        <v>327</v>
      </c>
      <c r="V4" s="69" t="s">
        <v>305</v>
      </c>
      <c r="W4" s="69" t="s">
        <v>306</v>
      </c>
      <c r="X4" s="69" t="s">
        <v>308</v>
      </c>
      <c r="Y4" s="69" t="s">
        <v>246</v>
      </c>
      <c r="Z4" s="69" t="s">
        <v>328</v>
      </c>
      <c r="AA4" s="69" t="s">
        <v>329</v>
      </c>
      <c r="AB4" s="69" t="s">
        <v>330</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313</v>
      </c>
    </row>
    <row r="58" spans="2:28" x14ac:dyDescent="0.25">
      <c r="B58" s="70" t="s">
        <v>0</v>
      </c>
      <c r="C58" s="70" t="s">
        <v>284</v>
      </c>
      <c r="D58" s="70" t="s">
        <v>285</v>
      </c>
      <c r="E58" s="70" t="s">
        <v>286</v>
      </c>
      <c r="F58" s="70" t="s">
        <v>316</v>
      </c>
      <c r="G58" s="70" t="s">
        <v>317</v>
      </c>
      <c r="H58" s="70" t="s">
        <v>318</v>
      </c>
      <c r="I58" s="70" t="s">
        <v>319</v>
      </c>
      <c r="J58" s="70" t="s">
        <v>303</v>
      </c>
      <c r="K58" s="70" t="s">
        <v>304</v>
      </c>
      <c r="L58" s="70" t="s">
        <v>288</v>
      </c>
      <c r="M58" s="70" t="s">
        <v>320</v>
      </c>
      <c r="N58" s="70" t="s">
        <v>321</v>
      </c>
      <c r="O58" s="70" t="s">
        <v>322</v>
      </c>
      <c r="P58" s="70" t="s">
        <v>323</v>
      </c>
      <c r="Q58" s="70" t="s">
        <v>232</v>
      </c>
      <c r="R58" s="70" t="s">
        <v>314</v>
      </c>
      <c r="S58" s="70" t="s">
        <v>324</v>
      </c>
      <c r="T58" s="70" t="s">
        <v>326</v>
      </c>
      <c r="U58" s="70" t="s">
        <v>327</v>
      </c>
      <c r="V58" s="70" t="s">
        <v>305</v>
      </c>
      <c r="W58" s="70" t="s">
        <v>306</v>
      </c>
      <c r="X58" s="70" t="s">
        <v>308</v>
      </c>
      <c r="Y58" s="70" t="s">
        <v>246</v>
      </c>
      <c r="Z58" s="70" t="s">
        <v>328</v>
      </c>
      <c r="AA58" s="70" t="s">
        <v>329</v>
      </c>
      <c r="AB58" s="70" t="s">
        <v>330</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315</v>
      </c>
    </row>
    <row r="112" spans="2:28" x14ac:dyDescent="0.25">
      <c r="B112" s="66" t="s">
        <v>0</v>
      </c>
      <c r="C112" s="66" t="s">
        <v>284</v>
      </c>
      <c r="D112" s="66" t="s">
        <v>285</v>
      </c>
      <c r="E112" s="66" t="s">
        <v>286</v>
      </c>
      <c r="F112" s="66" t="s">
        <v>316</v>
      </c>
      <c r="G112" s="66" t="s">
        <v>317</v>
      </c>
      <c r="H112" s="66" t="s">
        <v>318</v>
      </c>
      <c r="I112" s="66" t="s">
        <v>319</v>
      </c>
      <c r="J112" s="66" t="s">
        <v>303</v>
      </c>
      <c r="K112" s="66" t="s">
        <v>304</v>
      </c>
      <c r="L112" s="66" t="s">
        <v>288</v>
      </c>
      <c r="M112" s="66" t="s">
        <v>320</v>
      </c>
      <c r="N112" s="66" t="s">
        <v>321</v>
      </c>
      <c r="O112" s="66" t="s">
        <v>322</v>
      </c>
      <c r="P112" s="66" t="s">
        <v>323</v>
      </c>
      <c r="Q112" s="66" t="s">
        <v>232</v>
      </c>
      <c r="R112" s="66" t="s">
        <v>314</v>
      </c>
      <c r="S112" s="66" t="s">
        <v>324</v>
      </c>
      <c r="T112" s="66" t="s">
        <v>326</v>
      </c>
      <c r="U112" s="66" t="s">
        <v>327</v>
      </c>
      <c r="V112" s="66" t="s">
        <v>305</v>
      </c>
      <c r="W112" s="66" t="s">
        <v>306</v>
      </c>
      <c r="X112" s="66" t="s">
        <v>308</v>
      </c>
      <c r="Y112" s="66" t="s">
        <v>246</v>
      </c>
      <c r="Z112" s="66" t="s">
        <v>328</v>
      </c>
      <c r="AA112" s="66" t="s">
        <v>329</v>
      </c>
      <c r="AB112" s="66" t="s">
        <v>330</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312</v>
      </c>
    </row>
    <row r="4" spans="2:32" x14ac:dyDescent="0.25">
      <c r="B4" s="69" t="s">
        <v>0</v>
      </c>
      <c r="C4" s="69" t="s">
        <v>284</v>
      </c>
      <c r="D4" s="69" t="s">
        <v>285</v>
      </c>
      <c r="E4" s="69" t="s">
        <v>286</v>
      </c>
      <c r="F4" s="69" t="s">
        <v>287</v>
      </c>
      <c r="G4" s="69" t="s">
        <v>230</v>
      </c>
      <c r="H4" s="69" t="s">
        <v>231</v>
      </c>
      <c r="I4" s="69" t="s">
        <v>288</v>
      </c>
      <c r="J4" s="69" t="s">
        <v>289</v>
      </c>
      <c r="K4" s="69" t="s">
        <v>290</v>
      </c>
      <c r="L4" s="69" t="s">
        <v>291</v>
      </c>
      <c r="M4" s="69" t="s">
        <v>292</v>
      </c>
      <c r="N4" s="69" t="s">
        <v>293</v>
      </c>
      <c r="O4" s="69" t="s">
        <v>294</v>
      </c>
      <c r="P4" s="69" t="s">
        <v>295</v>
      </c>
      <c r="Q4" s="69" t="s">
        <v>296</v>
      </c>
      <c r="R4" s="69" t="s">
        <v>300</v>
      </c>
      <c r="S4" s="69" t="s">
        <v>298</v>
      </c>
      <c r="T4" s="69" t="s">
        <v>297</v>
      </c>
      <c r="U4" s="69" t="s">
        <v>299</v>
      </c>
      <c r="V4" s="69" t="s">
        <v>301</v>
      </c>
      <c r="W4" s="69" t="s">
        <v>302</v>
      </c>
      <c r="X4" s="69" t="s">
        <v>303</v>
      </c>
      <c r="Y4" s="69" t="s">
        <v>304</v>
      </c>
      <c r="Z4" s="69" t="s">
        <v>305</v>
      </c>
      <c r="AA4" s="69" t="s">
        <v>306</v>
      </c>
      <c r="AB4" s="69" t="s">
        <v>307</v>
      </c>
      <c r="AC4" s="69" t="s">
        <v>308</v>
      </c>
      <c r="AD4" s="69" t="s">
        <v>309</v>
      </c>
      <c r="AE4" s="69" t="s">
        <v>310</v>
      </c>
      <c r="AF4" s="69" t="s">
        <v>311</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313</v>
      </c>
    </row>
    <row r="58" spans="2:32" x14ac:dyDescent="0.25">
      <c r="B58" s="70" t="s">
        <v>0</v>
      </c>
      <c r="C58" s="70" t="s">
        <v>284</v>
      </c>
      <c r="D58" s="70" t="s">
        <v>285</v>
      </c>
      <c r="E58" s="70" t="s">
        <v>286</v>
      </c>
      <c r="F58" s="70" t="s">
        <v>287</v>
      </c>
      <c r="G58" s="70" t="s">
        <v>230</v>
      </c>
      <c r="H58" s="70" t="s">
        <v>231</v>
      </c>
      <c r="I58" s="70" t="s">
        <v>288</v>
      </c>
      <c r="J58" s="70" t="s">
        <v>289</v>
      </c>
      <c r="K58" s="70" t="s">
        <v>290</v>
      </c>
      <c r="L58" s="70" t="s">
        <v>291</v>
      </c>
      <c r="M58" s="70" t="s">
        <v>292</v>
      </c>
      <c r="N58" s="70" t="s">
        <v>293</v>
      </c>
      <c r="O58" s="70" t="s">
        <v>294</v>
      </c>
      <c r="P58" s="70" t="s">
        <v>295</v>
      </c>
      <c r="Q58" s="70" t="s">
        <v>296</v>
      </c>
      <c r="R58" s="70" t="s">
        <v>300</v>
      </c>
      <c r="S58" s="70" t="s">
        <v>314</v>
      </c>
      <c r="T58" s="70" t="s">
        <v>297</v>
      </c>
      <c r="U58" s="70" t="s">
        <v>299</v>
      </c>
      <c r="V58" s="70" t="s">
        <v>301</v>
      </c>
      <c r="W58" s="70" t="s">
        <v>302</v>
      </c>
      <c r="X58" s="70" t="s">
        <v>303</v>
      </c>
      <c r="Y58" s="70" t="s">
        <v>304</v>
      </c>
      <c r="Z58" s="70" t="s">
        <v>305</v>
      </c>
      <c r="AA58" s="70" t="s">
        <v>306</v>
      </c>
      <c r="AB58" s="70" t="s">
        <v>307</v>
      </c>
      <c r="AC58" s="70" t="s">
        <v>308</v>
      </c>
      <c r="AD58" s="70" t="s">
        <v>309</v>
      </c>
      <c r="AE58" s="70" t="s">
        <v>310</v>
      </c>
      <c r="AF58" s="70" t="s">
        <v>311</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315</v>
      </c>
    </row>
    <row r="112" spans="2:32" x14ac:dyDescent="0.25">
      <c r="B112" s="66" t="s">
        <v>0</v>
      </c>
      <c r="C112" s="66" t="s">
        <v>284</v>
      </c>
      <c r="D112" s="66" t="s">
        <v>285</v>
      </c>
      <c r="E112" s="66" t="s">
        <v>286</v>
      </c>
      <c r="F112" s="66" t="s">
        <v>287</v>
      </c>
      <c r="G112" s="66" t="s">
        <v>230</v>
      </c>
      <c r="H112" s="66" t="s">
        <v>231</v>
      </c>
      <c r="I112" s="66" t="s">
        <v>288</v>
      </c>
      <c r="J112" s="66" t="s">
        <v>289</v>
      </c>
      <c r="K112" s="66" t="s">
        <v>290</v>
      </c>
      <c r="L112" s="66" t="s">
        <v>291</v>
      </c>
      <c r="M112" s="66" t="s">
        <v>292</v>
      </c>
      <c r="N112" s="66" t="s">
        <v>293</v>
      </c>
      <c r="O112" s="66" t="s">
        <v>294</v>
      </c>
      <c r="P112" s="66" t="s">
        <v>295</v>
      </c>
      <c r="Q112" s="66" t="s">
        <v>296</v>
      </c>
      <c r="R112" s="66" t="s">
        <v>300</v>
      </c>
      <c r="S112" s="66" t="s">
        <v>314</v>
      </c>
      <c r="T112" s="66" t="s">
        <v>297</v>
      </c>
      <c r="U112" s="66" t="s">
        <v>299</v>
      </c>
      <c r="V112" s="66" t="s">
        <v>301</v>
      </c>
      <c r="W112" s="66" t="s">
        <v>302</v>
      </c>
      <c r="X112" s="66" t="s">
        <v>303</v>
      </c>
      <c r="Y112" s="66" t="s">
        <v>304</v>
      </c>
      <c r="Z112" s="66" t="s">
        <v>305</v>
      </c>
      <c r="AA112" s="66" t="s">
        <v>306</v>
      </c>
      <c r="AB112" s="66" t="s">
        <v>307</v>
      </c>
      <c r="AC112" s="66" t="s">
        <v>308</v>
      </c>
      <c r="AD112" s="66" t="s">
        <v>309</v>
      </c>
      <c r="AE112" s="66" t="s">
        <v>310</v>
      </c>
      <c r="AF112" s="66" t="s">
        <v>311</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42"/>
  <sheetViews>
    <sheetView showGridLines="0" zoomScale="115" zoomScaleNormal="115" workbookViewId="0">
      <selection activeCell="D8" sqref="D8"/>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263</v>
      </c>
    </row>
    <row r="2" spans="1:3" x14ac:dyDescent="0.25">
      <c r="B2" t="s">
        <v>266</v>
      </c>
      <c r="C2" s="22" t="s">
        <v>387</v>
      </c>
    </row>
    <row r="3" spans="1:3" hidden="1" x14ac:dyDescent="0.25">
      <c r="B3" t="s">
        <v>264</v>
      </c>
      <c r="C3" s="22">
        <v>0.44</v>
      </c>
    </row>
    <row r="4" spans="1:3" x14ac:dyDescent="0.25"/>
    <row r="5" spans="1:3" x14ac:dyDescent="0.25">
      <c r="B5" s="64" t="s">
        <v>0</v>
      </c>
      <c r="C5" s="64" t="s">
        <v>264</v>
      </c>
    </row>
    <row r="6" spans="1:3" x14ac:dyDescent="0.25">
      <c r="B6" s="22">
        <f>YEAR('General Config'!C6)</f>
        <v>2023</v>
      </c>
      <c r="C6" s="65">
        <v>0.4</v>
      </c>
    </row>
    <row r="7" spans="1:3" x14ac:dyDescent="0.25">
      <c r="B7" s="22">
        <v>2024</v>
      </c>
      <c r="C7" s="65">
        <v>0.4</v>
      </c>
    </row>
    <row r="8" spans="1:3" x14ac:dyDescent="0.25">
      <c r="B8" s="22">
        <v>2025</v>
      </c>
      <c r="C8" s="65">
        <v>0.42</v>
      </c>
    </row>
    <row r="9" spans="1:3" x14ac:dyDescent="0.25">
      <c r="B9" s="22">
        <v>2027</v>
      </c>
      <c r="C9" s="65">
        <v>0.42</v>
      </c>
    </row>
    <row r="10" spans="1:3" x14ac:dyDescent="0.25">
      <c r="B10" s="22">
        <v>2030</v>
      </c>
      <c r="C10" s="22">
        <v>0.43</v>
      </c>
    </row>
    <row r="11" spans="1:3" x14ac:dyDescent="0.25">
      <c r="B11" s="22">
        <v>2032</v>
      </c>
      <c r="C11" s="22">
        <v>0.45</v>
      </c>
    </row>
    <row r="12" spans="1:3" x14ac:dyDescent="0.25"/>
    <row r="13" spans="1:3" x14ac:dyDescent="0.25">
      <c r="B13" t="s">
        <v>265</v>
      </c>
      <c r="C13" s="22" t="s">
        <v>267</v>
      </c>
    </row>
    <row r="14" spans="1:3" x14ac:dyDescent="0.25"/>
    <row r="15" spans="1:3" x14ac:dyDescent="0.25">
      <c r="A15" s="9" t="s">
        <v>281</v>
      </c>
    </row>
    <row r="16" spans="1:3" x14ac:dyDescent="0.25">
      <c r="B16" t="s">
        <v>282</v>
      </c>
      <c r="C16" s="22" t="s">
        <v>283</v>
      </c>
    </row>
    <row r="17" spans="1:3" x14ac:dyDescent="0.25"/>
    <row r="18" spans="1:3" x14ac:dyDescent="0.25">
      <c r="A18" s="9" t="s">
        <v>268</v>
      </c>
    </row>
    <row r="19" spans="1:3" x14ac:dyDescent="0.25">
      <c r="B19" t="s">
        <v>269</v>
      </c>
      <c r="C19" s="22" t="s">
        <v>380</v>
      </c>
    </row>
    <row r="20" spans="1:3" x14ac:dyDescent="0.25">
      <c r="B20" t="s">
        <v>378</v>
      </c>
      <c r="C20" s="22" t="s">
        <v>379</v>
      </c>
    </row>
    <row r="21" spans="1:3" x14ac:dyDescent="0.25"/>
    <row r="22" spans="1:3" x14ac:dyDescent="0.25">
      <c r="A22" s="9" t="s">
        <v>386</v>
      </c>
    </row>
    <row r="23" spans="1:3" x14ac:dyDescent="0.25">
      <c r="B23" t="s">
        <v>278</v>
      </c>
      <c r="C23" s="22">
        <v>0.02</v>
      </c>
    </row>
    <row r="24" spans="1:3" x14ac:dyDescent="0.25"/>
    <row r="25" spans="1:3" x14ac:dyDescent="0.25">
      <c r="A25" s="9" t="s">
        <v>279</v>
      </c>
    </row>
    <row r="26" spans="1:3" x14ac:dyDescent="0.25">
      <c r="B26" t="s">
        <v>280</v>
      </c>
      <c r="C26" s="22" t="s">
        <v>372</v>
      </c>
    </row>
    <row r="27" spans="1:3" x14ac:dyDescent="0.25"/>
    <row r="28" spans="1:3" x14ac:dyDescent="0.25">
      <c r="A28" s="9" t="s">
        <v>375</v>
      </c>
    </row>
    <row r="29" spans="1:3" x14ac:dyDescent="0.25">
      <c r="B29" t="s">
        <v>377</v>
      </c>
      <c r="C29" s="22" t="s">
        <v>387</v>
      </c>
    </row>
    <row r="30" spans="1:3" hidden="1" x14ac:dyDescent="0.25">
      <c r="B30" t="s">
        <v>376</v>
      </c>
      <c r="C30" s="22">
        <v>0.02</v>
      </c>
    </row>
    <row r="31" spans="1:3" x14ac:dyDescent="0.25"/>
    <row r="32" spans="1:3" x14ac:dyDescent="0.25">
      <c r="B32" s="64" t="s">
        <v>0</v>
      </c>
      <c r="C32" s="64" t="s">
        <v>376</v>
      </c>
    </row>
    <row r="33" spans="1:3" x14ac:dyDescent="0.25">
      <c r="B33" s="22">
        <f>YEAR('General Config'!C6)</f>
        <v>2023</v>
      </c>
      <c r="C33" s="65">
        <v>0.02</v>
      </c>
    </row>
    <row r="34" spans="1:3" x14ac:dyDescent="0.25">
      <c r="B34" s="22">
        <v>2024</v>
      </c>
      <c r="C34" s="65">
        <v>0.02</v>
      </c>
    </row>
    <row r="35" spans="1:3" x14ac:dyDescent="0.25">
      <c r="B35" s="22">
        <v>2025</v>
      </c>
      <c r="C35" s="65">
        <v>0.02</v>
      </c>
    </row>
    <row r="36" spans="1:3" x14ac:dyDescent="0.25">
      <c r="B36" s="22">
        <v>2027</v>
      </c>
      <c r="C36" s="65">
        <v>0.02</v>
      </c>
    </row>
    <row r="37" spans="1:3" x14ac:dyDescent="0.25">
      <c r="B37" s="22">
        <v>2030</v>
      </c>
      <c r="C37" s="65">
        <v>0.02</v>
      </c>
    </row>
    <row r="38" spans="1:3" x14ac:dyDescent="0.25">
      <c r="B38" s="22">
        <v>2032</v>
      </c>
      <c r="C38" s="65">
        <v>0.02</v>
      </c>
    </row>
    <row r="39" spans="1:3" x14ac:dyDescent="0.25"/>
    <row r="40" spans="1:3" hidden="1" x14ac:dyDescent="0.25">
      <c r="A40" s="9" t="s">
        <v>383</v>
      </c>
    </row>
    <row r="41" spans="1:3" hidden="1" x14ac:dyDescent="0.25">
      <c r="B41" t="s">
        <v>384</v>
      </c>
      <c r="C41" s="65">
        <v>0</v>
      </c>
    </row>
    <row r="42" spans="1:3" x14ac:dyDescent="0.25"/>
  </sheetData>
  <dataValidations count="10">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3" xr:uid="{96A2F105-AA38-48E8-B01A-371391349B1D}">
      <formula1>0</formula1>
      <formula2>1</formula2>
    </dataValidation>
    <dataValidation type="list" allowBlank="1" showInputMessage="1" showErrorMessage="1" errorTitle="Data type" error="Should be in float" sqref="C26"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C29:C30 C41" xr:uid="{1DE8691F-764D-4B8B-BA0A-CE7EE0C4C6C6}"/>
    <dataValidation type="whole" allowBlank="1" showInputMessage="1" showErrorMessage="1" errorTitle="Data Type" error="Should be year" sqref="B6:B11 B33:B38" xr:uid="{73E8C4BB-3E1F-4188-B79D-7E460395708B}">
      <formula1>1945</formula1>
      <formula2>3000</formula2>
    </dataValidation>
    <dataValidation type="decimal" allowBlank="1" showInputMessage="1" showErrorMessage="1" errorTitle="Data Type" error="Should be between 0 and 1" sqref="C6:C11 C33:C38" xr:uid="{CF646499-E3B4-4A30-B4A3-F4BC798BD89F}">
      <formula1>0</formula1>
      <formula2>1</formula2>
    </dataValidation>
    <dataValidation type="list" allowBlank="1" showInputMessage="1" showErrorMessage="1" sqref="C20" xr:uid="{C9A4F0EB-2D97-4EF1-A6B8-6963D71AB965}">
      <formula1>"End Year,Mid Year"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mc:AlternateContent xmlns:mc="http://schemas.openxmlformats.org/markup-compatibility/2006">
          <mc:Choice Requires="x14">
            <control shapeId="303109" r:id="rId4" name="Spinner 5">
              <controlPr defaultSize="0" autoPict="0" macro="[0]!ThisWorkbook.SetInflationConfig">
                <anchor moveWithCells="1" sizeWithCells="1">
                  <from>
                    <xdr:col>2</xdr:col>
                    <xdr:colOff>1514475</xdr:colOff>
                    <xdr:row>28</xdr:row>
                    <xdr:rowOff>9525</xdr:rowOff>
                  </from>
                  <to>
                    <xdr:col>2</xdr:col>
                    <xdr:colOff>1685925</xdr:colOff>
                    <xdr:row>28</xdr:row>
                    <xdr:rowOff>171450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workbookViewId="0">
      <pane xSplit="1" topLeftCell="B1" activePane="topRight" state="frozen"/>
      <selection activeCell="D21" sqref="D21"/>
      <selection pane="topRight" activeCell="A2" sqref="A2:A14"/>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v>2023</v>
      </c>
      <c r="B2" s="25">
        <v>100</v>
      </c>
      <c r="C2" s="25">
        <v>100</v>
      </c>
      <c r="D2" s="25">
        <v>100</v>
      </c>
      <c r="E2" s="25">
        <v>100</v>
      </c>
    </row>
    <row r="3" spans="1:5" x14ac:dyDescent="0.25">
      <c r="A3" s="25">
        <v>2024</v>
      </c>
      <c r="B3" s="25">
        <v>100</v>
      </c>
      <c r="C3" s="25">
        <v>100</v>
      </c>
      <c r="D3" s="25">
        <v>100</v>
      </c>
      <c r="E3" s="25">
        <v>100</v>
      </c>
    </row>
    <row r="4" spans="1:5" x14ac:dyDescent="0.25">
      <c r="A4" s="25">
        <v>2025</v>
      </c>
      <c r="B4" s="25">
        <v>100</v>
      </c>
      <c r="C4" s="25">
        <v>100</v>
      </c>
      <c r="D4" s="25">
        <v>100</v>
      </c>
      <c r="E4" s="25">
        <v>100</v>
      </c>
    </row>
    <row r="5" spans="1:5" x14ac:dyDescent="0.25">
      <c r="A5" s="25">
        <v>2026</v>
      </c>
      <c r="B5" s="25">
        <v>100</v>
      </c>
      <c r="C5" s="25">
        <v>100</v>
      </c>
      <c r="D5" s="25">
        <v>100</v>
      </c>
      <c r="E5" s="25">
        <v>100</v>
      </c>
    </row>
    <row r="6" spans="1:5" x14ac:dyDescent="0.25">
      <c r="A6" s="25">
        <v>2027</v>
      </c>
      <c r="B6" s="25">
        <v>100</v>
      </c>
      <c r="C6" s="25">
        <v>100</v>
      </c>
      <c r="D6" s="25">
        <v>100</v>
      </c>
      <c r="E6" s="25">
        <v>100</v>
      </c>
    </row>
    <row r="7" spans="1:5" x14ac:dyDescent="0.25">
      <c r="A7" s="25">
        <v>2028</v>
      </c>
      <c r="B7" s="25">
        <v>100</v>
      </c>
      <c r="C7" s="25">
        <v>100</v>
      </c>
      <c r="D7" s="25">
        <v>100</v>
      </c>
      <c r="E7" s="25">
        <v>100</v>
      </c>
    </row>
    <row r="8" spans="1:5" x14ac:dyDescent="0.25">
      <c r="A8" s="25">
        <v>2029</v>
      </c>
      <c r="B8" s="25">
        <v>100</v>
      </c>
      <c r="C8" s="25">
        <v>100</v>
      </c>
      <c r="D8" s="25">
        <v>100</v>
      </c>
      <c r="E8" s="25">
        <v>100</v>
      </c>
    </row>
    <row r="9" spans="1:5" x14ac:dyDescent="0.25">
      <c r="A9" s="25">
        <v>2030</v>
      </c>
      <c r="B9" s="25">
        <v>100</v>
      </c>
      <c r="C9" s="25">
        <v>100</v>
      </c>
      <c r="D9" s="25">
        <v>100</v>
      </c>
      <c r="E9" s="25">
        <v>100</v>
      </c>
    </row>
    <row r="10" spans="1:5" x14ac:dyDescent="0.25">
      <c r="A10" s="25">
        <v>2031</v>
      </c>
      <c r="B10" s="25">
        <v>12.5</v>
      </c>
      <c r="C10" s="25">
        <v>12.5</v>
      </c>
      <c r="D10" s="25">
        <v>12.5</v>
      </c>
      <c r="E10" s="25">
        <v>12.5</v>
      </c>
    </row>
    <row r="11" spans="1:5" x14ac:dyDescent="0.25">
      <c r="A11" s="25">
        <v>2032</v>
      </c>
      <c r="B11" s="25">
        <v>12.5</v>
      </c>
      <c r="C11" s="25">
        <v>12.5</v>
      </c>
      <c r="D11" s="25">
        <v>12.5</v>
      </c>
      <c r="E11" s="25">
        <v>12.5</v>
      </c>
    </row>
    <row r="12" spans="1:5" x14ac:dyDescent="0.25">
      <c r="A12" s="25">
        <v>2033</v>
      </c>
      <c r="B12" s="25">
        <v>12.5</v>
      </c>
      <c r="C12" s="25">
        <v>12.5</v>
      </c>
      <c r="D12" s="25">
        <v>12.5</v>
      </c>
      <c r="E12" s="25">
        <v>12.5</v>
      </c>
    </row>
    <row r="13" spans="1:5" x14ac:dyDescent="0.25">
      <c r="A13" s="25">
        <v>2034</v>
      </c>
      <c r="B13" s="25">
        <v>12.5</v>
      </c>
      <c r="C13" s="25">
        <v>12.5</v>
      </c>
      <c r="D13" s="25">
        <v>12.5</v>
      </c>
      <c r="E13" s="25">
        <v>12.5</v>
      </c>
    </row>
    <row r="14" spans="1:5" x14ac:dyDescent="0.25">
      <c r="A14" s="25">
        <v>2035</v>
      </c>
      <c r="B14" s="25">
        <v>12.5</v>
      </c>
      <c r="C14" s="25">
        <v>12.5</v>
      </c>
      <c r="D14" s="25">
        <v>12.5</v>
      </c>
      <c r="E14" s="25">
        <v>12.5</v>
      </c>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D15:E50 B2:B50 C10:E14" xr:uid="{50625E7A-C52F-4209-A8F6-4DA6688B283C}">
      <formula1>0</formula1>
    </dataValidation>
    <dataValidation type="decimal" operator="greaterThanOrEqual" allowBlank="1" showInputMessage="1" showErrorMessage="1" errorTitle="Data Type Error" error="Should be greater than equal to 0" sqref="C15:C50 C2:E9" xr:uid="{5A81D88F-D8EC-4F0B-BB75-66EA50E40EF5}">
      <formula1>0</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tabSelected="1" topLeftCell="A4" zoomScaleNormal="100" workbookViewId="0">
      <selection activeCell="C35" sqref="C35"/>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customWidth="1"/>
    <col min="6" max="6" width="4.7109375"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249</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x14ac:dyDescent="0.25">
      <c r="A30" s="9" t="s">
        <v>106</v>
      </c>
      <c r="C30" s="24"/>
    </row>
    <row r="31" spans="1:3" x14ac:dyDescent="0.25">
      <c r="B31" t="s">
        <v>64</v>
      </c>
      <c r="C31" s="22" t="s">
        <v>26</v>
      </c>
    </row>
    <row r="32" spans="1:3" x14ac:dyDescent="0.25">
      <c r="B32" t="s">
        <v>65</v>
      </c>
      <c r="C32" s="22">
        <v>60</v>
      </c>
    </row>
    <row r="33" spans="1:6" x14ac:dyDescent="0.25">
      <c r="B33" t="s">
        <v>66</v>
      </c>
      <c r="C33" s="23">
        <v>39448</v>
      </c>
    </row>
    <row r="34" spans="1:6" x14ac:dyDescent="0.25">
      <c r="B34" t="s">
        <v>67</v>
      </c>
      <c r="C34" s="29">
        <v>0.25</v>
      </c>
    </row>
    <row r="35" spans="1:6" x14ac:dyDescent="0.25">
      <c r="B35" t="s">
        <v>68</v>
      </c>
      <c r="C35" s="29">
        <v>1</v>
      </c>
    </row>
    <row r="36" spans="1:6" x14ac:dyDescent="0.25"/>
    <row r="37" spans="1:6" x14ac:dyDescent="0.25">
      <c r="A37" s="9" t="s">
        <v>249</v>
      </c>
    </row>
    <row r="38" spans="1:6" ht="14.45" customHeight="1" x14ac:dyDescent="0.25">
      <c r="B38" s="104" t="s">
        <v>250</v>
      </c>
      <c r="C38" s="106" t="s">
        <v>251</v>
      </c>
      <c r="D38" s="100" t="s">
        <v>255</v>
      </c>
      <c r="E38" s="98" t="s">
        <v>256</v>
      </c>
      <c r="F38" s="47"/>
    </row>
    <row r="39" spans="1:6" x14ac:dyDescent="0.25">
      <c r="B39" s="105"/>
      <c r="C39" s="107"/>
      <c r="D39" s="101"/>
      <c r="E39" s="99"/>
    </row>
    <row r="40" spans="1:6" x14ac:dyDescent="0.25">
      <c r="B40" s="46">
        <v>0</v>
      </c>
      <c r="C40" s="48">
        <v>1</v>
      </c>
      <c r="D40" s="53">
        <v>0.313726</v>
      </c>
      <c r="E40" s="54">
        <v>0.54901999999999995</v>
      </c>
    </row>
    <row r="41" spans="1:6" x14ac:dyDescent="0.25">
      <c r="B41" s="46">
        <v>1</v>
      </c>
      <c r="C41" s="51">
        <v>1.2</v>
      </c>
      <c r="D41" s="53">
        <v>0.27450999999999998</v>
      </c>
      <c r="E41" s="54">
        <v>0.50980400000000003</v>
      </c>
    </row>
    <row r="42" spans="1:6" x14ac:dyDescent="0.25">
      <c r="A42" s="52"/>
      <c r="B42" s="50">
        <v>1.2</v>
      </c>
      <c r="C42" s="58">
        <v>1.4</v>
      </c>
      <c r="D42" s="59">
        <v>0.235295</v>
      </c>
      <c r="E42" s="54">
        <v>0.47058899999999998</v>
      </c>
    </row>
    <row r="43" spans="1:6" x14ac:dyDescent="0.25">
      <c r="A43" s="52"/>
      <c r="B43" s="50">
        <v>1.4</v>
      </c>
      <c r="C43" s="49">
        <v>1.6</v>
      </c>
      <c r="D43" s="54">
        <v>0.196079</v>
      </c>
      <c r="E43" s="54">
        <v>0.43137300000000001</v>
      </c>
    </row>
    <row r="44" spans="1:6" x14ac:dyDescent="0.25">
      <c r="B44" s="46">
        <v>1.6</v>
      </c>
      <c r="C44" s="51">
        <v>999</v>
      </c>
      <c r="D44" s="54">
        <v>0.156863</v>
      </c>
      <c r="E44" s="54">
        <v>0.39215699999999998</v>
      </c>
    </row>
    <row r="45" spans="1:6" x14ac:dyDescent="0.25">
      <c r="B45" s="46"/>
      <c r="C45" s="51"/>
      <c r="D45" s="57"/>
      <c r="E45" s="57"/>
    </row>
    <row r="46" spans="1:6" x14ac:dyDescent="0.25">
      <c r="B46" s="46"/>
      <c r="C46" s="51"/>
      <c r="D46" s="57"/>
      <c r="E46" s="57"/>
    </row>
    <row r="47" spans="1:6" x14ac:dyDescent="0.25"/>
    <row r="48" spans="1:6" hidden="1" x14ac:dyDescent="0.25">
      <c r="A48" s="9" t="s">
        <v>252</v>
      </c>
    </row>
    <row r="49" spans="1:5" ht="14.45" hidden="1" customHeight="1" x14ac:dyDescent="0.25">
      <c r="B49" s="104" t="s">
        <v>253</v>
      </c>
      <c r="C49" s="106" t="s">
        <v>254</v>
      </c>
      <c r="D49" s="100" t="s">
        <v>255</v>
      </c>
      <c r="E49" s="102" t="s">
        <v>256</v>
      </c>
    </row>
    <row r="50" spans="1:5" hidden="1" x14ac:dyDescent="0.25">
      <c r="B50" s="105"/>
      <c r="C50" s="107"/>
      <c r="D50" s="101"/>
      <c r="E50" s="103"/>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x14ac:dyDescent="0.25">
      <c r="A30" s="9" t="s">
        <v>106</v>
      </c>
      <c r="C30" s="24"/>
    </row>
    <row r="31" spans="1:3" ht="15" x14ac:dyDescent="0.25">
      <c r="B31" t="s">
        <v>64</v>
      </c>
      <c r="C31" s="22" t="s">
        <v>26</v>
      </c>
    </row>
    <row r="32" spans="1:3" ht="15" x14ac:dyDescent="0.25">
      <c r="B32" t="s">
        <v>65</v>
      </c>
      <c r="C32" s="22">
        <v>60</v>
      </c>
    </row>
    <row r="33" spans="1:6" ht="15" x14ac:dyDescent="0.25">
      <c r="B33" t="s">
        <v>66</v>
      </c>
      <c r="C33" s="23">
        <v>39448</v>
      </c>
    </row>
    <row r="34" spans="1:6" ht="15" x14ac:dyDescent="0.25">
      <c r="B34" t="s">
        <v>67</v>
      </c>
      <c r="C34" s="29">
        <v>0.25</v>
      </c>
    </row>
    <row r="35" spans="1:6" ht="15" x14ac:dyDescent="0.25">
      <c r="B35" t="s">
        <v>68</v>
      </c>
      <c r="C35" s="29">
        <v>1</v>
      </c>
    </row>
    <row r="36" spans="1:6" ht="15" x14ac:dyDescent="0.25"/>
    <row r="37" spans="1:6" ht="15" hidden="1" x14ac:dyDescent="0.25">
      <c r="A37" s="9" t="s">
        <v>249</v>
      </c>
    </row>
    <row r="38" spans="1:6" ht="14.45" hidden="1" customHeight="1" x14ac:dyDescent="0.25">
      <c r="B38" s="104" t="s">
        <v>250</v>
      </c>
      <c r="C38" s="106" t="s">
        <v>251</v>
      </c>
      <c r="D38" s="100" t="s">
        <v>255</v>
      </c>
      <c r="E38" s="98" t="s">
        <v>256</v>
      </c>
      <c r="F38" s="47"/>
    </row>
    <row r="39" spans="1:6" ht="15" hidden="1" x14ac:dyDescent="0.25">
      <c r="B39" s="105"/>
      <c r="C39" s="107"/>
      <c r="D39" s="101"/>
      <c r="E39" s="99"/>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04" t="s">
        <v>253</v>
      </c>
      <c r="C49" s="106" t="s">
        <v>254</v>
      </c>
      <c r="D49" s="100" t="s">
        <v>255</v>
      </c>
      <c r="E49" s="102" t="s">
        <v>256</v>
      </c>
    </row>
    <row r="50" spans="1:5" ht="15" hidden="1" x14ac:dyDescent="0.25">
      <c r="B50" s="105"/>
      <c r="C50" s="107"/>
      <c r="D50" s="101"/>
      <c r="E50" s="103"/>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343</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x14ac:dyDescent="0.25">
      <c r="A25" s="9" t="s">
        <v>106</v>
      </c>
      <c r="C25" s="24"/>
    </row>
    <row r="26" spans="1:3" x14ac:dyDescent="0.25">
      <c r="B26" t="s">
        <v>64</v>
      </c>
      <c r="C26" s="22" t="s">
        <v>26</v>
      </c>
    </row>
    <row r="27" spans="1:3" x14ac:dyDescent="0.25">
      <c r="B27" t="s">
        <v>65</v>
      </c>
      <c r="C27" s="22">
        <v>60</v>
      </c>
    </row>
    <row r="28" spans="1:3" x14ac:dyDescent="0.25">
      <c r="B28" t="s">
        <v>66</v>
      </c>
      <c r="C28" s="23">
        <v>39448</v>
      </c>
    </row>
    <row r="29" spans="1:3" x14ac:dyDescent="0.25">
      <c r="B29" t="s">
        <v>67</v>
      </c>
      <c r="C29" s="29">
        <v>0.25</v>
      </c>
    </row>
    <row r="30" spans="1:3" x14ac:dyDescent="0.25">
      <c r="B30" t="s">
        <v>68</v>
      </c>
      <c r="C30" s="29">
        <v>1</v>
      </c>
    </row>
    <row r="31" spans="1:3" x14ac:dyDescent="0.25"/>
    <row r="35" spans="2:8" hidden="1" x14ac:dyDescent="0.25">
      <c r="B35" s="108" t="s">
        <v>90</v>
      </c>
      <c r="C35" s="108"/>
      <c r="D35" s="108"/>
      <c r="F35" s="108" t="s">
        <v>97</v>
      </c>
      <c r="G35" s="108"/>
      <c r="H35" s="108"/>
    </row>
    <row r="36" spans="2:8" hidden="1" x14ac:dyDescent="0.25">
      <c r="B36" s="15" t="s">
        <v>49</v>
      </c>
      <c r="C36" s="15" t="s">
        <v>50</v>
      </c>
      <c r="D36" s="19" t="s">
        <v>76</v>
      </c>
      <c r="F36" s="15" t="s">
        <v>49</v>
      </c>
      <c r="G36" s="15" t="s">
        <v>50</v>
      </c>
      <c r="H36" s="19" t="s">
        <v>76</v>
      </c>
    </row>
    <row r="37" spans="2:8" hidden="1" x14ac:dyDescent="0.25">
      <c r="B37" s="115" t="s">
        <v>36</v>
      </c>
      <c r="C37" s="16" t="s">
        <v>51</v>
      </c>
      <c r="D37" s="21">
        <v>5</v>
      </c>
      <c r="F37" s="115" t="s">
        <v>36</v>
      </c>
      <c r="G37" s="16" t="s">
        <v>51</v>
      </c>
      <c r="H37" s="21">
        <v>5</v>
      </c>
    </row>
    <row r="38" spans="2:8" hidden="1" x14ac:dyDescent="0.25">
      <c r="B38" s="116"/>
      <c r="C38" s="16" t="s">
        <v>52</v>
      </c>
      <c r="D38" s="21">
        <v>0</v>
      </c>
      <c r="F38" s="116"/>
      <c r="G38" s="16" t="s">
        <v>52</v>
      </c>
      <c r="H38" s="21">
        <v>3</v>
      </c>
    </row>
    <row r="39" spans="2:8" hidden="1" x14ac:dyDescent="0.25">
      <c r="B39" s="116"/>
      <c r="C39" s="17" t="s">
        <v>75</v>
      </c>
      <c r="D39" s="21">
        <v>0</v>
      </c>
      <c r="F39" s="116"/>
      <c r="G39" s="17" t="s">
        <v>28</v>
      </c>
      <c r="H39" s="21">
        <v>0</v>
      </c>
    </row>
    <row r="40" spans="2:8" hidden="1" x14ac:dyDescent="0.25">
      <c r="B40" s="117"/>
      <c r="C40" s="20" t="s">
        <v>28</v>
      </c>
      <c r="D40" s="21">
        <v>-5</v>
      </c>
      <c r="F40" s="117"/>
      <c r="G40" s="19" t="s">
        <v>96</v>
      </c>
      <c r="H40" s="21" t="s">
        <v>96</v>
      </c>
    </row>
    <row r="41" spans="2:8" ht="14.45" hidden="1" customHeight="1" x14ac:dyDescent="0.25">
      <c r="B41" s="115" t="s">
        <v>60</v>
      </c>
      <c r="C41" s="17" t="s">
        <v>29</v>
      </c>
      <c r="D41" s="21">
        <v>0</v>
      </c>
      <c r="F41" s="115" t="s">
        <v>60</v>
      </c>
      <c r="G41" s="17" t="s">
        <v>29</v>
      </c>
      <c r="H41" s="21">
        <v>0</v>
      </c>
    </row>
    <row r="42" spans="2:8" hidden="1" x14ac:dyDescent="0.25">
      <c r="B42" s="116"/>
      <c r="C42" s="17" t="s">
        <v>69</v>
      </c>
      <c r="D42" s="21">
        <v>8</v>
      </c>
      <c r="F42" s="116"/>
      <c r="G42" s="17" t="s">
        <v>69</v>
      </c>
      <c r="H42" s="21">
        <v>8</v>
      </c>
    </row>
    <row r="43" spans="2:8" hidden="1" x14ac:dyDescent="0.25">
      <c r="B43" s="116"/>
      <c r="C43" s="17" t="s">
        <v>70</v>
      </c>
      <c r="D43" s="21">
        <v>10</v>
      </c>
      <c r="F43" s="116"/>
      <c r="G43" s="17" t="s">
        <v>70</v>
      </c>
      <c r="H43" s="21">
        <v>10</v>
      </c>
    </row>
    <row r="44" spans="2:8" hidden="1" x14ac:dyDescent="0.25">
      <c r="B44" s="116"/>
      <c r="C44" s="17" t="s">
        <v>71</v>
      </c>
      <c r="D44" s="21">
        <v>12</v>
      </c>
      <c r="F44" s="116"/>
      <c r="G44" s="17" t="s">
        <v>71</v>
      </c>
      <c r="H44" s="21">
        <v>12</v>
      </c>
    </row>
    <row r="45" spans="2:8" ht="30" hidden="1" x14ac:dyDescent="0.25">
      <c r="B45" s="116"/>
      <c r="C45" s="17" t="s">
        <v>72</v>
      </c>
      <c r="D45" s="21">
        <v>14</v>
      </c>
      <c r="F45" s="116"/>
      <c r="G45" s="17" t="s">
        <v>72</v>
      </c>
      <c r="H45" s="21">
        <v>14</v>
      </c>
    </row>
    <row r="46" spans="2:8" hidden="1" x14ac:dyDescent="0.25">
      <c r="B46" s="117"/>
      <c r="C46" s="17" t="s">
        <v>53</v>
      </c>
      <c r="D46" s="21">
        <v>16</v>
      </c>
      <c r="F46" s="117"/>
      <c r="G46" s="17" t="s">
        <v>53</v>
      </c>
      <c r="H46" s="21">
        <v>16</v>
      </c>
    </row>
    <row r="47" spans="2:8" hidden="1" x14ac:dyDescent="0.25">
      <c r="B47" s="115" t="s">
        <v>38</v>
      </c>
      <c r="C47" s="17" t="s">
        <v>46</v>
      </c>
      <c r="D47" s="21">
        <v>0</v>
      </c>
      <c r="F47" s="115" t="s">
        <v>38</v>
      </c>
      <c r="G47" s="17" t="s">
        <v>46</v>
      </c>
      <c r="H47" s="21">
        <v>0</v>
      </c>
    </row>
    <row r="48" spans="2:8" hidden="1" x14ac:dyDescent="0.25">
      <c r="B48" s="117"/>
      <c r="C48" s="18" t="s">
        <v>54</v>
      </c>
      <c r="D48" s="21">
        <v>1</v>
      </c>
      <c r="F48" s="117"/>
      <c r="G48" s="18" t="s">
        <v>54</v>
      </c>
      <c r="H48" s="21">
        <v>1</v>
      </c>
    </row>
    <row r="49" spans="2:8" hidden="1" x14ac:dyDescent="0.25">
      <c r="B49" s="109" t="s">
        <v>39</v>
      </c>
      <c r="C49" s="18" t="s">
        <v>30</v>
      </c>
      <c r="D49" s="21">
        <v>0</v>
      </c>
      <c r="F49" s="112" t="s">
        <v>39</v>
      </c>
      <c r="G49" s="18" t="s">
        <v>30</v>
      </c>
      <c r="H49" s="21">
        <v>0</v>
      </c>
    </row>
    <row r="50" spans="2:8" hidden="1" x14ac:dyDescent="0.25">
      <c r="B50" s="110"/>
      <c r="C50" s="18" t="s">
        <v>77</v>
      </c>
      <c r="D50" s="21">
        <v>2</v>
      </c>
      <c r="F50" s="114"/>
      <c r="G50" s="18" t="s">
        <v>55</v>
      </c>
      <c r="H50" s="21">
        <v>2</v>
      </c>
    </row>
    <row r="51" spans="2:8" hidden="1" x14ac:dyDescent="0.25">
      <c r="B51" s="111"/>
      <c r="C51" s="19" t="s">
        <v>96</v>
      </c>
      <c r="D51" s="19" t="s">
        <v>96</v>
      </c>
      <c r="F51" s="113"/>
      <c r="G51" s="18" t="s">
        <v>56</v>
      </c>
      <c r="H51" s="21">
        <v>4</v>
      </c>
    </row>
    <row r="52" spans="2:8" hidden="1" x14ac:dyDescent="0.25">
      <c r="B52" s="112" t="s">
        <v>40</v>
      </c>
      <c r="C52" s="18" t="s">
        <v>35</v>
      </c>
      <c r="D52" s="21">
        <v>0</v>
      </c>
      <c r="F52" s="112" t="s">
        <v>40</v>
      </c>
      <c r="G52" s="18" t="s">
        <v>35</v>
      </c>
      <c r="H52" s="21">
        <v>0</v>
      </c>
    </row>
    <row r="53" spans="2:8" hidden="1" x14ac:dyDescent="0.25">
      <c r="B53" s="113"/>
      <c r="C53" s="18" t="s">
        <v>73</v>
      </c>
      <c r="D53" s="21">
        <v>16</v>
      </c>
      <c r="F53" s="113"/>
      <c r="G53" s="18" t="s">
        <v>73</v>
      </c>
      <c r="H53" s="21">
        <v>16</v>
      </c>
    </row>
    <row r="54" spans="2:8" hidden="1" x14ac:dyDescent="0.25">
      <c r="B54" s="112" t="s">
        <v>43</v>
      </c>
      <c r="C54" s="18" t="s">
        <v>31</v>
      </c>
      <c r="D54" s="21">
        <v>1</v>
      </c>
      <c r="F54" s="112" t="s">
        <v>43</v>
      </c>
      <c r="G54" s="18" t="s">
        <v>31</v>
      </c>
      <c r="H54" s="21">
        <v>1</v>
      </c>
    </row>
    <row r="55" spans="2:8" hidden="1" x14ac:dyDescent="0.25">
      <c r="B55" s="113"/>
      <c r="C55" s="18" t="s">
        <v>74</v>
      </c>
      <c r="D55" s="21">
        <v>0</v>
      </c>
      <c r="F55" s="113"/>
      <c r="G55" s="18" t="s">
        <v>74</v>
      </c>
      <c r="H55" s="21">
        <v>0</v>
      </c>
    </row>
    <row r="56" spans="2:8" hidden="1" x14ac:dyDescent="0.25">
      <c r="B56" s="112" t="s">
        <v>61</v>
      </c>
      <c r="C56" s="18" t="s">
        <v>57</v>
      </c>
      <c r="D56" s="21">
        <v>0</v>
      </c>
      <c r="F56" s="112" t="s">
        <v>61</v>
      </c>
      <c r="G56" s="18" t="s">
        <v>57</v>
      </c>
      <c r="H56" s="21">
        <v>0</v>
      </c>
    </row>
    <row r="57" spans="2:8" hidden="1" x14ac:dyDescent="0.25">
      <c r="B57" s="114"/>
      <c r="C57" s="18" t="s">
        <v>78</v>
      </c>
      <c r="D57" s="21">
        <v>2</v>
      </c>
      <c r="F57" s="114"/>
      <c r="G57" s="18" t="s">
        <v>78</v>
      </c>
      <c r="H57" s="21">
        <v>2</v>
      </c>
    </row>
    <row r="58" spans="2:8" hidden="1" x14ac:dyDescent="0.25">
      <c r="B58" s="114"/>
      <c r="C58" s="18" t="s">
        <v>47</v>
      </c>
      <c r="D58" s="21">
        <v>3</v>
      </c>
      <c r="F58" s="114"/>
      <c r="G58" s="18" t="s">
        <v>47</v>
      </c>
      <c r="H58" s="21">
        <v>3</v>
      </c>
    </row>
    <row r="59" spans="2:8" hidden="1" x14ac:dyDescent="0.25">
      <c r="B59" s="113"/>
      <c r="C59" s="18" t="s">
        <v>79</v>
      </c>
      <c r="D59" s="21">
        <v>4</v>
      </c>
      <c r="F59" s="113"/>
      <c r="G59" s="18" t="s">
        <v>79</v>
      </c>
      <c r="H59" s="21">
        <v>4</v>
      </c>
    </row>
    <row r="60" spans="2:8" hidden="1" x14ac:dyDescent="0.25">
      <c r="B60" s="112" t="s">
        <v>27</v>
      </c>
      <c r="C60" s="18" t="s">
        <v>80</v>
      </c>
      <c r="D60" s="21">
        <v>0</v>
      </c>
      <c r="F60" s="112" t="s">
        <v>27</v>
      </c>
      <c r="G60" s="18" t="s">
        <v>80</v>
      </c>
      <c r="H60" s="21">
        <v>0</v>
      </c>
    </row>
    <row r="61" spans="2:8" hidden="1" x14ac:dyDescent="0.25">
      <c r="B61" s="114"/>
      <c r="C61" s="18" t="s">
        <v>48</v>
      </c>
      <c r="D61" s="21">
        <v>3</v>
      </c>
      <c r="F61" s="114"/>
      <c r="G61" s="18" t="s">
        <v>48</v>
      </c>
      <c r="H61" s="21">
        <v>6</v>
      </c>
    </row>
    <row r="62" spans="2:8" hidden="1" x14ac:dyDescent="0.25">
      <c r="B62" s="113"/>
      <c r="C62" s="18" t="s">
        <v>81</v>
      </c>
      <c r="D62" s="21">
        <v>5</v>
      </c>
      <c r="F62" s="113"/>
      <c r="G62" s="18" t="s">
        <v>81</v>
      </c>
      <c r="H62" s="21">
        <v>10</v>
      </c>
    </row>
    <row r="63" spans="2:8" hidden="1" x14ac:dyDescent="0.25">
      <c r="B63" s="112" t="s">
        <v>62</v>
      </c>
      <c r="C63" s="18" t="s">
        <v>33</v>
      </c>
      <c r="D63" s="21">
        <v>0</v>
      </c>
      <c r="F63" s="112" t="s">
        <v>62</v>
      </c>
      <c r="G63" s="18" t="s">
        <v>33</v>
      </c>
      <c r="H63" s="21">
        <v>0</v>
      </c>
    </row>
    <row r="64" spans="2:8" hidden="1" x14ac:dyDescent="0.25">
      <c r="B64" s="114"/>
      <c r="C64" s="18" t="s">
        <v>82</v>
      </c>
      <c r="D64" s="21">
        <v>0.5</v>
      </c>
      <c r="F64" s="114"/>
      <c r="G64" s="18" t="s">
        <v>82</v>
      </c>
      <c r="H64" s="21">
        <v>0.5</v>
      </c>
    </row>
    <row r="65" spans="2:8" hidden="1" x14ac:dyDescent="0.25">
      <c r="B65" s="114"/>
      <c r="C65" s="18" t="s">
        <v>83</v>
      </c>
      <c r="D65" s="21">
        <v>1</v>
      </c>
      <c r="F65" s="114"/>
      <c r="G65" s="18" t="s">
        <v>83</v>
      </c>
      <c r="H65" s="21">
        <v>1</v>
      </c>
    </row>
    <row r="66" spans="2:8" hidden="1" x14ac:dyDescent="0.25">
      <c r="B66" s="114"/>
      <c r="C66" s="18" t="s">
        <v>84</v>
      </c>
      <c r="D66" s="21">
        <v>1.5</v>
      </c>
      <c r="F66" s="114"/>
      <c r="G66" s="18" t="s">
        <v>84</v>
      </c>
      <c r="H66" s="21">
        <v>1.5</v>
      </c>
    </row>
    <row r="67" spans="2:8" hidden="1" x14ac:dyDescent="0.25">
      <c r="B67" s="114"/>
      <c r="C67" s="18" t="s">
        <v>85</v>
      </c>
      <c r="D67" s="21">
        <v>2</v>
      </c>
      <c r="F67" s="114"/>
      <c r="G67" s="18" t="s">
        <v>85</v>
      </c>
      <c r="H67" s="21">
        <v>2</v>
      </c>
    </row>
    <row r="68" spans="2:8" hidden="1" x14ac:dyDescent="0.25">
      <c r="B68" s="113"/>
      <c r="C68" s="18" t="s">
        <v>92</v>
      </c>
      <c r="D68" s="21">
        <v>4</v>
      </c>
      <c r="F68" s="113"/>
      <c r="G68" s="18" t="s">
        <v>92</v>
      </c>
      <c r="H68" s="21">
        <v>4</v>
      </c>
    </row>
    <row r="69" spans="2:8" hidden="1" x14ac:dyDescent="0.25">
      <c r="B69" s="112" t="s">
        <v>63</v>
      </c>
      <c r="C69" s="18" t="s">
        <v>34</v>
      </c>
      <c r="D69" s="21">
        <v>0</v>
      </c>
      <c r="F69" s="112" t="s">
        <v>63</v>
      </c>
      <c r="G69" s="18" t="s">
        <v>34</v>
      </c>
      <c r="H69" s="21">
        <v>0</v>
      </c>
    </row>
    <row r="70" spans="2:8" hidden="1" x14ac:dyDescent="0.25">
      <c r="B70" s="114"/>
      <c r="C70" s="18" t="s">
        <v>88</v>
      </c>
      <c r="D70" s="21">
        <v>0.5</v>
      </c>
      <c r="F70" s="114"/>
      <c r="G70" s="18" t="s">
        <v>93</v>
      </c>
      <c r="H70" s="21">
        <v>1</v>
      </c>
    </row>
    <row r="71" spans="2:8" hidden="1" x14ac:dyDescent="0.25">
      <c r="B71" s="114"/>
      <c r="C71" s="18" t="s">
        <v>89</v>
      </c>
      <c r="D71" s="21">
        <v>0.75</v>
      </c>
      <c r="F71" s="114"/>
      <c r="G71" s="18" t="s">
        <v>94</v>
      </c>
      <c r="H71" s="21">
        <v>2</v>
      </c>
    </row>
    <row r="72" spans="2:8" hidden="1" x14ac:dyDescent="0.25">
      <c r="B72" s="113"/>
      <c r="C72" s="18" t="s">
        <v>91</v>
      </c>
      <c r="D72" s="21">
        <v>1</v>
      </c>
      <c r="F72" s="114"/>
      <c r="G72" s="18" t="s">
        <v>86</v>
      </c>
      <c r="H72" s="21">
        <v>3</v>
      </c>
    </row>
    <row r="73" spans="2:8" hidden="1" x14ac:dyDescent="0.25">
      <c r="F73" s="114"/>
      <c r="G73" s="18" t="s">
        <v>87</v>
      </c>
      <c r="H73" s="21">
        <v>4</v>
      </c>
    </row>
    <row r="74" spans="2:8" hidden="1" x14ac:dyDescent="0.25">
      <c r="F74" s="113"/>
      <c r="G74" s="18" t="s">
        <v>95</v>
      </c>
      <c r="H74" s="21">
        <v>5</v>
      </c>
    </row>
  </sheetData>
  <mergeCells count="22">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 ref="F35:H35"/>
    <mergeCell ref="B49:B51"/>
    <mergeCell ref="B52:B53"/>
    <mergeCell ref="B54:B55"/>
    <mergeCell ref="B56:B59"/>
    <mergeCell ref="B35:D35"/>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row r="30" spans="1:3" ht="14.45" customHeight="1" x14ac:dyDescent="0.25"/>
    <row r="31" spans="1:3" ht="14.45" customHeight="1" x14ac:dyDescent="0.25"/>
    <row r="33" spans="2:8" ht="15" hidden="1" x14ac:dyDescent="0.25">
      <c r="B33" s="108" t="s">
        <v>90</v>
      </c>
      <c r="C33" s="108"/>
      <c r="D33" s="108"/>
      <c r="F33" s="108" t="s">
        <v>97</v>
      </c>
      <c r="G33" s="108"/>
      <c r="H33" s="108"/>
    </row>
    <row r="34" spans="2:8" ht="15" hidden="1" x14ac:dyDescent="0.25">
      <c r="B34" s="15" t="s">
        <v>49</v>
      </c>
      <c r="C34" s="15" t="s">
        <v>50</v>
      </c>
      <c r="D34" s="19" t="s">
        <v>76</v>
      </c>
      <c r="F34" s="15" t="s">
        <v>49</v>
      </c>
      <c r="G34" s="15" t="s">
        <v>50</v>
      </c>
      <c r="H34" s="19" t="s">
        <v>76</v>
      </c>
    </row>
    <row r="35" spans="2:8" ht="15" hidden="1" x14ac:dyDescent="0.25">
      <c r="B35" s="115" t="s">
        <v>36</v>
      </c>
      <c r="C35" s="16" t="s">
        <v>51</v>
      </c>
      <c r="D35" s="21">
        <v>5</v>
      </c>
      <c r="F35" s="115" t="s">
        <v>36</v>
      </c>
      <c r="G35" s="16" t="s">
        <v>51</v>
      </c>
      <c r="H35" s="21">
        <v>5</v>
      </c>
    </row>
    <row r="36" spans="2:8" ht="15" hidden="1" x14ac:dyDescent="0.25">
      <c r="B36" s="116"/>
      <c r="C36" s="16" t="s">
        <v>52</v>
      </c>
      <c r="D36" s="21">
        <v>0</v>
      </c>
      <c r="F36" s="116"/>
      <c r="G36" s="16" t="s">
        <v>52</v>
      </c>
      <c r="H36" s="21">
        <v>3</v>
      </c>
    </row>
    <row r="37" spans="2:8" ht="15" hidden="1" x14ac:dyDescent="0.25">
      <c r="B37" s="116"/>
      <c r="C37" s="17" t="s">
        <v>75</v>
      </c>
      <c r="D37" s="21">
        <v>0</v>
      </c>
      <c r="F37" s="116"/>
      <c r="G37" s="17" t="s">
        <v>28</v>
      </c>
      <c r="H37" s="21">
        <v>0</v>
      </c>
    </row>
    <row r="38" spans="2:8" ht="15" hidden="1" x14ac:dyDescent="0.25">
      <c r="B38" s="117"/>
      <c r="C38" s="20" t="s">
        <v>28</v>
      </c>
      <c r="D38" s="21">
        <v>-5</v>
      </c>
      <c r="F38" s="117"/>
      <c r="G38" s="19" t="s">
        <v>96</v>
      </c>
      <c r="H38" s="21" t="s">
        <v>96</v>
      </c>
    </row>
    <row r="39" spans="2:8" ht="14.45" hidden="1" customHeight="1" x14ac:dyDescent="0.25">
      <c r="B39" s="115" t="s">
        <v>60</v>
      </c>
      <c r="C39" s="17" t="s">
        <v>29</v>
      </c>
      <c r="D39" s="21">
        <v>0</v>
      </c>
      <c r="F39" s="115" t="s">
        <v>60</v>
      </c>
      <c r="G39" s="17" t="s">
        <v>29</v>
      </c>
      <c r="H39" s="21">
        <v>0</v>
      </c>
    </row>
    <row r="40" spans="2:8" ht="15" hidden="1" x14ac:dyDescent="0.25">
      <c r="B40" s="116"/>
      <c r="C40" s="17" t="s">
        <v>69</v>
      </c>
      <c r="D40" s="21">
        <v>8</v>
      </c>
      <c r="F40" s="116"/>
      <c r="G40" s="17" t="s">
        <v>69</v>
      </c>
      <c r="H40" s="21">
        <v>8</v>
      </c>
    </row>
    <row r="41" spans="2:8" ht="15" hidden="1" x14ac:dyDescent="0.25">
      <c r="B41" s="116"/>
      <c r="C41" s="17" t="s">
        <v>70</v>
      </c>
      <c r="D41" s="21">
        <v>10</v>
      </c>
      <c r="F41" s="116"/>
      <c r="G41" s="17" t="s">
        <v>70</v>
      </c>
      <c r="H41" s="21">
        <v>10</v>
      </c>
    </row>
    <row r="42" spans="2:8" ht="15" hidden="1" x14ac:dyDescent="0.25">
      <c r="B42" s="116"/>
      <c r="C42" s="17" t="s">
        <v>71</v>
      </c>
      <c r="D42" s="21">
        <v>12</v>
      </c>
      <c r="F42" s="116"/>
      <c r="G42" s="17" t="s">
        <v>71</v>
      </c>
      <c r="H42" s="21">
        <v>12</v>
      </c>
    </row>
    <row r="43" spans="2:8" ht="30" hidden="1" x14ac:dyDescent="0.25">
      <c r="B43" s="116"/>
      <c r="C43" s="17" t="s">
        <v>72</v>
      </c>
      <c r="D43" s="21">
        <v>14</v>
      </c>
      <c r="F43" s="116"/>
      <c r="G43" s="17" t="s">
        <v>72</v>
      </c>
      <c r="H43" s="21">
        <v>14</v>
      </c>
    </row>
    <row r="44" spans="2:8" ht="15" hidden="1" x14ac:dyDescent="0.25">
      <c r="B44" s="117"/>
      <c r="C44" s="17" t="s">
        <v>53</v>
      </c>
      <c r="D44" s="21">
        <v>16</v>
      </c>
      <c r="F44" s="117"/>
      <c r="G44" s="17" t="s">
        <v>53</v>
      </c>
      <c r="H44" s="21">
        <v>16</v>
      </c>
    </row>
    <row r="45" spans="2:8" ht="15" hidden="1" x14ac:dyDescent="0.25">
      <c r="B45" s="115" t="s">
        <v>38</v>
      </c>
      <c r="C45" s="17" t="s">
        <v>46</v>
      </c>
      <c r="D45" s="21">
        <v>0</v>
      </c>
      <c r="F45" s="115" t="s">
        <v>38</v>
      </c>
      <c r="G45" s="17" t="s">
        <v>46</v>
      </c>
      <c r="H45" s="21">
        <v>0</v>
      </c>
    </row>
    <row r="46" spans="2:8" ht="15" hidden="1" x14ac:dyDescent="0.25">
      <c r="B46" s="117"/>
      <c r="C46" s="18" t="s">
        <v>54</v>
      </c>
      <c r="D46" s="21">
        <v>1</v>
      </c>
      <c r="F46" s="117"/>
      <c r="G46" s="18" t="s">
        <v>54</v>
      </c>
      <c r="H46" s="21">
        <v>1</v>
      </c>
    </row>
    <row r="47" spans="2:8" ht="15" hidden="1" x14ac:dyDescent="0.25">
      <c r="B47" s="109" t="s">
        <v>39</v>
      </c>
      <c r="C47" s="18" t="s">
        <v>30</v>
      </c>
      <c r="D47" s="21">
        <v>0</v>
      </c>
      <c r="F47" s="112" t="s">
        <v>39</v>
      </c>
      <c r="G47" s="18" t="s">
        <v>30</v>
      </c>
      <c r="H47" s="21">
        <v>0</v>
      </c>
    </row>
    <row r="48" spans="2:8" ht="15" hidden="1" x14ac:dyDescent="0.25">
      <c r="B48" s="110"/>
      <c r="C48" s="18" t="s">
        <v>77</v>
      </c>
      <c r="D48" s="21">
        <v>2</v>
      </c>
      <c r="F48" s="114"/>
      <c r="G48" s="18" t="s">
        <v>55</v>
      </c>
      <c r="H48" s="21">
        <v>2</v>
      </c>
    </row>
    <row r="49" spans="2:8" ht="15" hidden="1" x14ac:dyDescent="0.25">
      <c r="B49" s="111"/>
      <c r="C49" s="19" t="s">
        <v>96</v>
      </c>
      <c r="D49" s="19" t="s">
        <v>96</v>
      </c>
      <c r="F49" s="113"/>
      <c r="G49" s="18" t="s">
        <v>56</v>
      </c>
      <c r="H49" s="21">
        <v>4</v>
      </c>
    </row>
    <row r="50" spans="2:8" ht="15" hidden="1" x14ac:dyDescent="0.25">
      <c r="B50" s="112" t="s">
        <v>40</v>
      </c>
      <c r="C50" s="18" t="s">
        <v>35</v>
      </c>
      <c r="D50" s="21">
        <v>0</v>
      </c>
      <c r="F50" s="112" t="s">
        <v>40</v>
      </c>
      <c r="G50" s="18" t="s">
        <v>35</v>
      </c>
      <c r="H50" s="21">
        <v>0</v>
      </c>
    </row>
    <row r="51" spans="2:8" ht="15" hidden="1" x14ac:dyDescent="0.25">
      <c r="B51" s="113"/>
      <c r="C51" s="18" t="s">
        <v>73</v>
      </c>
      <c r="D51" s="21">
        <v>16</v>
      </c>
      <c r="F51" s="113"/>
      <c r="G51" s="18" t="s">
        <v>73</v>
      </c>
      <c r="H51" s="21">
        <v>16</v>
      </c>
    </row>
    <row r="52" spans="2:8" ht="15" hidden="1" x14ac:dyDescent="0.25">
      <c r="B52" s="112" t="s">
        <v>43</v>
      </c>
      <c r="C52" s="18" t="s">
        <v>31</v>
      </c>
      <c r="D52" s="21">
        <v>1</v>
      </c>
      <c r="F52" s="112" t="s">
        <v>43</v>
      </c>
      <c r="G52" s="18" t="s">
        <v>31</v>
      </c>
      <c r="H52" s="21">
        <v>1</v>
      </c>
    </row>
    <row r="53" spans="2:8" ht="15" hidden="1" x14ac:dyDescent="0.25">
      <c r="B53" s="113"/>
      <c r="C53" s="18" t="s">
        <v>74</v>
      </c>
      <c r="D53" s="21">
        <v>0</v>
      </c>
      <c r="F53" s="113"/>
      <c r="G53" s="18" t="s">
        <v>74</v>
      </c>
      <c r="H53" s="21">
        <v>0</v>
      </c>
    </row>
    <row r="54" spans="2:8" ht="15" hidden="1" x14ac:dyDescent="0.25">
      <c r="B54" s="112" t="s">
        <v>61</v>
      </c>
      <c r="C54" s="18" t="s">
        <v>57</v>
      </c>
      <c r="D54" s="21">
        <v>0</v>
      </c>
      <c r="F54" s="112" t="s">
        <v>61</v>
      </c>
      <c r="G54" s="18" t="s">
        <v>57</v>
      </c>
      <c r="H54" s="21">
        <v>0</v>
      </c>
    </row>
    <row r="55" spans="2:8" ht="15" hidden="1" x14ac:dyDescent="0.25">
      <c r="B55" s="114"/>
      <c r="C55" s="18" t="s">
        <v>78</v>
      </c>
      <c r="D55" s="21">
        <v>2</v>
      </c>
      <c r="F55" s="114"/>
      <c r="G55" s="18" t="s">
        <v>78</v>
      </c>
      <c r="H55" s="21">
        <v>2</v>
      </c>
    </row>
    <row r="56" spans="2:8" ht="15" hidden="1" x14ac:dyDescent="0.25">
      <c r="B56" s="114"/>
      <c r="C56" s="18" t="s">
        <v>47</v>
      </c>
      <c r="D56" s="21">
        <v>3</v>
      </c>
      <c r="F56" s="114"/>
      <c r="G56" s="18" t="s">
        <v>47</v>
      </c>
      <c r="H56" s="21">
        <v>3</v>
      </c>
    </row>
    <row r="57" spans="2:8" ht="15" hidden="1" x14ac:dyDescent="0.25">
      <c r="B57" s="113"/>
      <c r="C57" s="18" t="s">
        <v>79</v>
      </c>
      <c r="D57" s="21">
        <v>4</v>
      </c>
      <c r="F57" s="113"/>
      <c r="G57" s="18" t="s">
        <v>79</v>
      </c>
      <c r="H57" s="21">
        <v>4</v>
      </c>
    </row>
    <row r="58" spans="2:8" ht="15" hidden="1" x14ac:dyDescent="0.25">
      <c r="B58" s="112" t="s">
        <v>27</v>
      </c>
      <c r="C58" s="18" t="s">
        <v>80</v>
      </c>
      <c r="D58" s="21">
        <v>0</v>
      </c>
      <c r="F58" s="112" t="s">
        <v>27</v>
      </c>
      <c r="G58" s="18" t="s">
        <v>58</v>
      </c>
      <c r="H58" s="21">
        <v>0</v>
      </c>
    </row>
    <row r="59" spans="2:8" ht="15" hidden="1" x14ac:dyDescent="0.25">
      <c r="B59" s="114"/>
      <c r="C59" s="18" t="s">
        <v>48</v>
      </c>
      <c r="D59" s="21">
        <v>3</v>
      </c>
      <c r="F59" s="114"/>
      <c r="G59" s="18" t="s">
        <v>32</v>
      </c>
      <c r="H59" s="21">
        <v>6</v>
      </c>
    </row>
    <row r="60" spans="2:8" ht="15" hidden="1" x14ac:dyDescent="0.25">
      <c r="B60" s="113"/>
      <c r="C60" s="18" t="s">
        <v>81</v>
      </c>
      <c r="D60" s="21">
        <v>5</v>
      </c>
      <c r="F60" s="113"/>
      <c r="G60" s="18" t="s">
        <v>59</v>
      </c>
      <c r="H60" s="21">
        <v>10</v>
      </c>
    </row>
    <row r="61" spans="2:8" ht="15" hidden="1" x14ac:dyDescent="0.25">
      <c r="B61" s="112" t="s">
        <v>62</v>
      </c>
      <c r="C61" s="18" t="s">
        <v>33</v>
      </c>
      <c r="D61" s="21">
        <v>0</v>
      </c>
      <c r="F61" s="112" t="s">
        <v>62</v>
      </c>
      <c r="G61" s="18" t="s">
        <v>33</v>
      </c>
      <c r="H61" s="21">
        <v>0</v>
      </c>
    </row>
    <row r="62" spans="2:8" ht="15" hidden="1" x14ac:dyDescent="0.25">
      <c r="B62" s="114"/>
      <c r="C62" s="18" t="s">
        <v>82</v>
      </c>
      <c r="D62" s="21">
        <v>0.5</v>
      </c>
      <c r="F62" s="114"/>
      <c r="G62" s="18" t="s">
        <v>82</v>
      </c>
      <c r="H62" s="21">
        <v>0.5</v>
      </c>
    </row>
    <row r="63" spans="2:8" ht="15" hidden="1" x14ac:dyDescent="0.25">
      <c r="B63" s="114"/>
      <c r="C63" s="18" t="s">
        <v>83</v>
      </c>
      <c r="D63" s="21">
        <v>1</v>
      </c>
      <c r="F63" s="114"/>
      <c r="G63" s="18" t="s">
        <v>83</v>
      </c>
      <c r="H63" s="21">
        <v>1</v>
      </c>
    </row>
    <row r="64" spans="2:8" ht="15" hidden="1" x14ac:dyDescent="0.25">
      <c r="B64" s="114"/>
      <c r="C64" s="18" t="s">
        <v>84</v>
      </c>
      <c r="D64" s="21">
        <v>1.5</v>
      </c>
      <c r="F64" s="114"/>
      <c r="G64" s="18" t="s">
        <v>84</v>
      </c>
      <c r="H64" s="21">
        <v>1.5</v>
      </c>
    </row>
    <row r="65" spans="2:8" ht="15" hidden="1" x14ac:dyDescent="0.25">
      <c r="B65" s="114"/>
      <c r="C65" s="18" t="s">
        <v>85</v>
      </c>
      <c r="D65" s="21">
        <v>2</v>
      </c>
      <c r="F65" s="114"/>
      <c r="G65" s="18" t="s">
        <v>85</v>
      </c>
      <c r="H65" s="21">
        <v>2</v>
      </c>
    </row>
    <row r="66" spans="2:8" ht="15" hidden="1" x14ac:dyDescent="0.25">
      <c r="B66" s="113"/>
      <c r="C66" s="18" t="s">
        <v>92</v>
      </c>
      <c r="D66" s="21">
        <v>4</v>
      </c>
      <c r="F66" s="113"/>
      <c r="G66" s="18" t="s">
        <v>92</v>
      </c>
      <c r="H66" s="21">
        <v>4</v>
      </c>
    </row>
    <row r="67" spans="2:8" ht="15" hidden="1" x14ac:dyDescent="0.25">
      <c r="B67" s="112" t="s">
        <v>63</v>
      </c>
      <c r="C67" s="18" t="s">
        <v>34</v>
      </c>
      <c r="D67" s="21">
        <v>0</v>
      </c>
      <c r="F67" s="112" t="s">
        <v>63</v>
      </c>
      <c r="G67" s="18" t="s">
        <v>34</v>
      </c>
      <c r="H67" s="21">
        <v>0</v>
      </c>
    </row>
    <row r="68" spans="2:8" ht="15" hidden="1" x14ac:dyDescent="0.25">
      <c r="B68" s="114"/>
      <c r="C68" s="18" t="s">
        <v>88</v>
      </c>
      <c r="D68" s="21">
        <v>0.5</v>
      </c>
      <c r="F68" s="114"/>
      <c r="G68" s="18" t="s">
        <v>93</v>
      </c>
      <c r="H68" s="21">
        <v>1</v>
      </c>
    </row>
    <row r="69" spans="2:8" ht="15" hidden="1" x14ac:dyDescent="0.25">
      <c r="B69" s="114"/>
      <c r="C69" s="18" t="s">
        <v>89</v>
      </c>
      <c r="D69" s="21">
        <v>0.75</v>
      </c>
      <c r="F69" s="114"/>
      <c r="G69" s="18" t="s">
        <v>94</v>
      </c>
      <c r="H69" s="21">
        <v>2</v>
      </c>
    </row>
    <row r="70" spans="2:8" ht="15" hidden="1" x14ac:dyDescent="0.25">
      <c r="B70" s="113"/>
      <c r="C70" s="18" t="s">
        <v>91</v>
      </c>
      <c r="D70" s="21">
        <v>1</v>
      </c>
      <c r="F70" s="114"/>
      <c r="G70" s="18" t="s">
        <v>86</v>
      </c>
      <c r="H70" s="21">
        <v>3</v>
      </c>
    </row>
    <row r="71" spans="2:8" ht="15" hidden="1" x14ac:dyDescent="0.25">
      <c r="F71" s="114"/>
      <c r="G71" s="18" t="s">
        <v>87</v>
      </c>
      <c r="H71" s="21">
        <v>4</v>
      </c>
    </row>
    <row r="72" spans="2:8" ht="15" hidden="1" x14ac:dyDescent="0.25">
      <c r="F72" s="113"/>
      <c r="G72" s="18" t="s">
        <v>95</v>
      </c>
      <c r="H72" s="21">
        <v>5</v>
      </c>
    </row>
  </sheetData>
  <mergeCells count="22">
    <mergeCell ref="B33:D33"/>
    <mergeCell ref="F33:H33"/>
    <mergeCell ref="B35:B38"/>
    <mergeCell ref="F35:F38"/>
    <mergeCell ref="B39:B44"/>
    <mergeCell ref="F39:F44"/>
    <mergeCell ref="B45:B46"/>
    <mergeCell ref="F45:F46"/>
    <mergeCell ref="B47:B49"/>
    <mergeCell ref="F47:F49"/>
    <mergeCell ref="B50:B51"/>
    <mergeCell ref="F50:F51"/>
    <mergeCell ref="B61:B66"/>
    <mergeCell ref="F61:F66"/>
    <mergeCell ref="B67:B70"/>
    <mergeCell ref="F67:F72"/>
    <mergeCell ref="B52:B53"/>
    <mergeCell ref="F52:F53"/>
    <mergeCell ref="B54:B57"/>
    <mergeCell ref="F54:F57"/>
    <mergeCell ref="B58:B60"/>
    <mergeCell ref="F58:F60"/>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C21" sqref="C21"/>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331</v>
      </c>
      <c r="C1" s="11" t="s">
        <v>14</v>
      </c>
    </row>
    <row r="2" spans="1:3" x14ac:dyDescent="0.25">
      <c r="A2" s="25">
        <v>2023</v>
      </c>
      <c r="B2" s="25">
        <v>100</v>
      </c>
      <c r="C2" s="25">
        <v>100</v>
      </c>
    </row>
    <row r="3" spans="1:3" x14ac:dyDescent="0.25">
      <c r="A3" s="25">
        <v>2024</v>
      </c>
      <c r="B3" s="25">
        <v>100</v>
      </c>
      <c r="C3" s="25">
        <v>100</v>
      </c>
    </row>
    <row r="4" spans="1:3" x14ac:dyDescent="0.25">
      <c r="A4" s="25">
        <v>2025</v>
      </c>
      <c r="B4" s="25">
        <v>100</v>
      </c>
      <c r="C4" s="25">
        <v>100</v>
      </c>
    </row>
    <row r="5" spans="1:3" x14ac:dyDescent="0.25">
      <c r="A5" s="25">
        <v>2026</v>
      </c>
      <c r="B5" s="25">
        <v>100</v>
      </c>
      <c r="C5" s="25">
        <v>100</v>
      </c>
    </row>
    <row r="6" spans="1:3" x14ac:dyDescent="0.25">
      <c r="A6" s="25">
        <v>2027</v>
      </c>
      <c r="B6" s="25">
        <v>100</v>
      </c>
      <c r="C6" s="25">
        <v>100</v>
      </c>
    </row>
    <row r="7" spans="1:3" x14ac:dyDescent="0.25">
      <c r="A7" s="25">
        <v>2028</v>
      </c>
      <c r="B7" s="25">
        <v>100</v>
      </c>
      <c r="C7" s="25">
        <v>100</v>
      </c>
    </row>
    <row r="8" spans="1:3" x14ac:dyDescent="0.25">
      <c r="A8" s="25">
        <v>2029</v>
      </c>
      <c r="B8" s="25">
        <v>100</v>
      </c>
      <c r="C8" s="25">
        <v>100</v>
      </c>
    </row>
    <row r="9" spans="1:3" x14ac:dyDescent="0.25">
      <c r="A9" s="25">
        <v>2030</v>
      </c>
      <c r="B9" s="25">
        <v>100</v>
      </c>
      <c r="C9" s="25">
        <v>100</v>
      </c>
    </row>
    <row r="10" spans="1:3" x14ac:dyDescent="0.25">
      <c r="A10" s="25">
        <v>2031</v>
      </c>
      <c r="B10" s="25">
        <v>12.5</v>
      </c>
      <c r="C10" s="25">
        <v>12.5</v>
      </c>
    </row>
    <row r="11" spans="1:3" x14ac:dyDescent="0.25">
      <c r="A11" s="25">
        <v>2032</v>
      </c>
      <c r="B11" s="25">
        <v>12.5</v>
      </c>
      <c r="C11" s="25">
        <v>12.5</v>
      </c>
    </row>
    <row r="12" spans="1:3" x14ac:dyDescent="0.25">
      <c r="A12" s="25">
        <v>2033</v>
      </c>
      <c r="B12" s="25">
        <v>12.5</v>
      </c>
      <c r="C12" s="25">
        <v>12.5</v>
      </c>
    </row>
    <row r="13" spans="1:3" x14ac:dyDescent="0.25">
      <c r="A13" s="25">
        <v>2034</v>
      </c>
      <c r="B13" s="25">
        <v>12.5</v>
      </c>
      <c r="C13" s="25">
        <v>12.5</v>
      </c>
    </row>
    <row r="14" spans="1:3" x14ac:dyDescent="0.25">
      <c r="A14" s="25">
        <v>2035</v>
      </c>
      <c r="B14" s="25">
        <v>12.5</v>
      </c>
      <c r="C14" s="25">
        <v>12.5</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zoomScale="98" zoomScaleNormal="98" workbookViewId="0">
      <pane xSplit="1" topLeftCell="B1" activePane="topRight" state="frozen"/>
      <selection pane="topRight" activeCell="C21" sqref="C21"/>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v>2023</v>
      </c>
      <c r="B2" s="25">
        <v>100</v>
      </c>
      <c r="C2" s="25">
        <v>100</v>
      </c>
      <c r="D2" s="25">
        <v>100</v>
      </c>
      <c r="E2" s="25">
        <v>100</v>
      </c>
      <c r="F2" s="25">
        <v>100</v>
      </c>
      <c r="G2" s="25">
        <v>100</v>
      </c>
      <c r="H2" s="25">
        <v>100</v>
      </c>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v>2024</v>
      </c>
      <c r="B3" s="25">
        <v>100</v>
      </c>
      <c r="C3" s="25">
        <v>100</v>
      </c>
      <c r="D3" s="25">
        <v>100</v>
      </c>
      <c r="E3" s="25">
        <v>100</v>
      </c>
      <c r="F3" s="25">
        <v>100</v>
      </c>
      <c r="G3" s="25">
        <v>100</v>
      </c>
      <c r="H3" s="25">
        <v>100</v>
      </c>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v>2025</v>
      </c>
      <c r="B4" s="25">
        <v>100</v>
      </c>
      <c r="C4" s="25">
        <v>100</v>
      </c>
      <c r="D4" s="25">
        <v>100</v>
      </c>
      <c r="E4" s="25">
        <v>100</v>
      </c>
      <c r="F4" s="25">
        <v>100</v>
      </c>
      <c r="G4" s="25">
        <v>100</v>
      </c>
      <c r="H4" s="25">
        <v>100</v>
      </c>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v>2026</v>
      </c>
      <c r="B5" s="25">
        <v>100</v>
      </c>
      <c r="C5" s="25">
        <v>100</v>
      </c>
      <c r="D5" s="25">
        <v>100</v>
      </c>
      <c r="E5" s="25">
        <v>100</v>
      </c>
      <c r="F5" s="25">
        <v>100</v>
      </c>
      <c r="G5" s="25">
        <v>100</v>
      </c>
      <c r="H5" s="25">
        <v>100</v>
      </c>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v>2027</v>
      </c>
      <c r="B6" s="25">
        <v>100</v>
      </c>
      <c r="C6" s="25">
        <v>100</v>
      </c>
      <c r="D6" s="25">
        <v>100</v>
      </c>
      <c r="E6" s="25">
        <v>100</v>
      </c>
      <c r="F6" s="25">
        <v>100</v>
      </c>
      <c r="G6" s="25">
        <v>100</v>
      </c>
      <c r="H6" s="25">
        <v>100</v>
      </c>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v>2028</v>
      </c>
      <c r="B7" s="25">
        <v>100</v>
      </c>
      <c r="C7" s="25">
        <v>100</v>
      </c>
      <c r="D7" s="25">
        <v>100</v>
      </c>
      <c r="E7" s="25">
        <v>100</v>
      </c>
      <c r="F7" s="25">
        <v>100</v>
      </c>
      <c r="G7" s="25">
        <v>100</v>
      </c>
      <c r="H7" s="25">
        <v>100</v>
      </c>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v>2029</v>
      </c>
      <c r="B8" s="25">
        <v>100</v>
      </c>
      <c r="C8" s="25">
        <v>100</v>
      </c>
      <c r="D8" s="25">
        <v>100</v>
      </c>
      <c r="E8" s="25">
        <v>100</v>
      </c>
      <c r="F8" s="25">
        <v>100</v>
      </c>
      <c r="G8" s="25">
        <v>100</v>
      </c>
      <c r="H8" s="25">
        <v>100</v>
      </c>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v>2030</v>
      </c>
      <c r="B9" s="25">
        <v>100</v>
      </c>
      <c r="C9" s="25">
        <v>100</v>
      </c>
      <c r="D9" s="25">
        <v>100</v>
      </c>
      <c r="E9" s="25">
        <v>100</v>
      </c>
      <c r="F9" s="25">
        <v>100</v>
      </c>
      <c r="G9" s="25">
        <v>100</v>
      </c>
      <c r="H9" s="25">
        <v>100</v>
      </c>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v>2031</v>
      </c>
      <c r="B10" s="25">
        <v>25</v>
      </c>
      <c r="C10" s="25">
        <v>25</v>
      </c>
      <c r="D10" s="25">
        <v>25</v>
      </c>
      <c r="E10" s="25">
        <v>25</v>
      </c>
      <c r="F10" s="25">
        <v>25</v>
      </c>
      <c r="G10" s="25">
        <v>25</v>
      </c>
      <c r="H10" s="25">
        <v>25</v>
      </c>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v>2032</v>
      </c>
      <c r="B11" s="25">
        <v>25</v>
      </c>
      <c r="C11" s="25">
        <v>25</v>
      </c>
      <c r="D11" s="25">
        <v>25</v>
      </c>
      <c r="E11" s="25">
        <v>25</v>
      </c>
      <c r="F11" s="25">
        <v>25</v>
      </c>
      <c r="G11" s="25">
        <v>25</v>
      </c>
      <c r="H11" s="25">
        <v>25</v>
      </c>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v>2033</v>
      </c>
      <c r="B12" s="25">
        <v>25</v>
      </c>
      <c r="C12" s="25">
        <v>25</v>
      </c>
      <c r="D12" s="25">
        <v>25</v>
      </c>
      <c r="E12" s="25">
        <v>25</v>
      </c>
      <c r="F12" s="25">
        <v>25</v>
      </c>
      <c r="G12" s="25">
        <v>25</v>
      </c>
      <c r="H12" s="25">
        <v>25</v>
      </c>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v>2034</v>
      </c>
      <c r="B13" s="25">
        <v>25</v>
      </c>
      <c r="C13" s="25">
        <v>25</v>
      </c>
      <c r="D13" s="25">
        <v>25</v>
      </c>
      <c r="E13" s="25">
        <v>25</v>
      </c>
      <c r="F13" s="25">
        <v>25</v>
      </c>
      <c r="G13" s="25">
        <v>25</v>
      </c>
      <c r="H13" s="25">
        <v>25</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v>2035</v>
      </c>
      <c r="B14" s="25">
        <v>25</v>
      </c>
      <c r="C14" s="25">
        <v>25</v>
      </c>
      <c r="D14" s="25">
        <v>25</v>
      </c>
      <c r="E14" s="25">
        <v>25</v>
      </c>
      <c r="F14" s="25">
        <v>25</v>
      </c>
      <c r="G14" s="25">
        <v>25</v>
      </c>
      <c r="H14" s="25">
        <v>25</v>
      </c>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B2:H9"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I2:BJ50 B10:H50" xr:uid="{EDAA6294-95CB-491E-82BB-59402825FA8A}">
      <formula1>0</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F5FDC-F547-4D5C-82C5-F8751D386D60}">
  <sheetPr codeName="Sheet32">
    <tabColor rgb="FFA3B8BA"/>
  </sheetPr>
  <dimension ref="A1:C50"/>
  <sheetViews>
    <sheetView workbookViewId="0">
      <selection activeCell="B22" sqref="B2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331</v>
      </c>
      <c r="C1" s="11" t="s">
        <v>14</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DF9B5247-367E-4848-8F22-5F1D4E7AF7E0}">
      <formula1>0</formula1>
    </dataValidation>
    <dataValidation operator="greaterThan" allowBlank="1" showInputMessage="1" showErrorMessage="1" errorTitle="Data Type Error" error="Should be Number not Text." sqref="D1:XFD1" xr:uid="{C9F44CDA-89D6-4E90-828F-0BF23BD18569}"/>
    <dataValidation type="whole" operator="greaterThan" allowBlank="1" showInputMessage="1" showErrorMessage="1" errorTitle="Data Type Error" error="Should be Number not Text" sqref="A2:A1048576" xr:uid="{27BBD5B8-BC9C-4372-8626-3F6973E2D8BE}">
      <formula1>0</formula1>
    </dataValidation>
    <dataValidation type="decimal" operator="greaterThan" allowBlank="1" showInputMessage="1" showErrorMessage="1" errorTitle="Data Type Error" error="Should be Number not Text" sqref="B51:C1048576" xr:uid="{7C3CE7A3-8A1C-444B-9E45-A22374923612}">
      <formula1>0</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F5036-1B96-479D-807A-3BA4231DF4D1}">
  <sheetPr codeName="Sheet30">
    <tabColor rgb="FFA3B8BA"/>
  </sheetPr>
  <dimension ref="A1:C50"/>
  <sheetViews>
    <sheetView workbookViewId="0">
      <selection activeCell="C14" sqref="A2: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v>2023</v>
      </c>
      <c r="B2" s="25">
        <v>10</v>
      </c>
      <c r="C2" s="25">
        <v>10</v>
      </c>
    </row>
    <row r="3" spans="1:3" x14ac:dyDescent="0.25">
      <c r="A3" s="25">
        <v>2024</v>
      </c>
      <c r="B3" s="25">
        <v>10</v>
      </c>
      <c r="C3" s="25">
        <v>10</v>
      </c>
    </row>
    <row r="4" spans="1:3" x14ac:dyDescent="0.25">
      <c r="A4" s="25">
        <v>2025</v>
      </c>
      <c r="B4" s="25">
        <v>10</v>
      </c>
      <c r="C4" s="25">
        <v>10</v>
      </c>
    </row>
    <row r="5" spans="1:3" x14ac:dyDescent="0.25">
      <c r="A5" s="25">
        <v>2026</v>
      </c>
      <c r="B5" s="25">
        <v>10</v>
      </c>
      <c r="C5" s="25">
        <v>10</v>
      </c>
    </row>
    <row r="6" spans="1:3" x14ac:dyDescent="0.25">
      <c r="A6" s="25">
        <v>2027</v>
      </c>
      <c r="B6" s="25">
        <v>10</v>
      </c>
      <c r="C6" s="25">
        <v>10</v>
      </c>
    </row>
    <row r="7" spans="1:3" x14ac:dyDescent="0.25">
      <c r="A7" s="25">
        <v>2028</v>
      </c>
      <c r="B7" s="25">
        <v>10</v>
      </c>
      <c r="C7" s="25">
        <v>10</v>
      </c>
    </row>
    <row r="8" spans="1:3" x14ac:dyDescent="0.25">
      <c r="A8" s="25">
        <v>2029</v>
      </c>
      <c r="B8" s="25">
        <v>10</v>
      </c>
      <c r="C8" s="25">
        <v>10</v>
      </c>
    </row>
    <row r="9" spans="1:3" x14ac:dyDescent="0.25">
      <c r="A9" s="25">
        <v>2030</v>
      </c>
      <c r="B9" s="25">
        <v>10</v>
      </c>
      <c r="C9" s="25">
        <v>10</v>
      </c>
    </row>
    <row r="10" spans="1:3" x14ac:dyDescent="0.25">
      <c r="A10" s="25">
        <v>2031</v>
      </c>
      <c r="B10" s="25">
        <v>1.2</v>
      </c>
      <c r="C10" s="25">
        <v>1.2</v>
      </c>
    </row>
    <row r="11" spans="1:3" x14ac:dyDescent="0.25">
      <c r="A11" s="25">
        <v>2032</v>
      </c>
      <c r="B11" s="25">
        <v>1.2</v>
      </c>
      <c r="C11" s="25">
        <v>1.2</v>
      </c>
    </row>
    <row r="12" spans="1:3" x14ac:dyDescent="0.25">
      <c r="A12" s="25">
        <v>2033</v>
      </c>
      <c r="B12" s="25">
        <v>1.2</v>
      </c>
      <c r="C12" s="25">
        <v>1.2</v>
      </c>
    </row>
    <row r="13" spans="1:3" x14ac:dyDescent="0.25">
      <c r="A13" s="25">
        <v>2034</v>
      </c>
      <c r="B13" s="25">
        <v>1.2</v>
      </c>
      <c r="C13" s="25">
        <v>1.2</v>
      </c>
    </row>
    <row r="14" spans="1:3" x14ac:dyDescent="0.25">
      <c r="A14" s="25">
        <v>2035</v>
      </c>
      <c r="B14" s="25">
        <v>1.2</v>
      </c>
      <c r="C14" s="25">
        <v>1.2</v>
      </c>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OrEqual" allowBlank="1" showInputMessage="1" showErrorMessage="1" errorTitle="Data Type Error" error="Should be greater than or equal to 0" sqref="B2:C50" xr:uid="{8972426F-7E13-490A-AFF2-DF43834D6599}">
      <formula1>0</formula1>
    </dataValidation>
    <dataValidation type="decimal" operator="greaterThan" allowBlank="1" showInputMessage="1" showErrorMessage="1" errorTitle="Data Type Error" error="Should be Number not Text" sqref="B51:C1048576" xr:uid="{A721F0B2-42C1-41D7-AE63-7646EB93A393}">
      <formula1>0</formula1>
    </dataValidation>
    <dataValidation type="whole" operator="greaterThan" allowBlank="1" showInputMessage="1" showErrorMessage="1" errorTitle="Data Type Error" error="Should be Number not Text" sqref="A2:A1048576" xr:uid="{ED63EFE6-1C5E-4C77-88FF-94EB81DB7EE7}">
      <formula1>0</formula1>
    </dataValidation>
    <dataValidation operator="greaterThan" allowBlank="1" showInputMessage="1" showErrorMessage="1" errorTitle="Data Type Error" error="Should be Number not Text." sqref="D1:XFD1" xr:uid="{2EBBD919-DDC7-408F-9459-6E2801E8CE57}"/>
  </dataValidations>
  <pageMargins left="0.7" right="0.7" top="0.75" bottom="0.75" header="0.3" footer="0.3"/>
  <tableParts count="1">
    <tablePart r:id="rId1"/>
  </tableParts>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8</vt:i4>
      </vt:variant>
    </vt:vector>
  </HeadingPairs>
  <TitlesOfParts>
    <vt:vector size="41" baseType="lpstr">
      <vt:lpstr>Cover</vt:lpstr>
      <vt:lpstr>UserGuide</vt:lpstr>
      <vt:lpstr>Summary</vt:lpstr>
      <vt:lpstr>General Config</vt:lpstr>
      <vt:lpstr>Cost OPEX</vt:lpstr>
      <vt:lpstr>Cost Tangible</vt:lpstr>
      <vt:lpstr>Prod Oil (2)</vt:lpstr>
      <vt:lpstr>Prod Sulfur</vt:lpstr>
      <vt:lpstr>Prod LPG Propane (2)</vt:lpstr>
      <vt:lpstr>Prod Sulfur (2)</vt:lpstr>
      <vt:lpstr>Prod Gas (2)</vt:lpstr>
      <vt:lpstr>Cost Intangible</vt:lpstr>
      <vt:lpstr>Cost ASR</vt:lpstr>
      <vt:lpstr>Prod CO2</vt:lpstr>
      <vt:lpstr>Prod LPG Propane</vt:lpstr>
      <vt:lpstr>Prod CO2 (2)</vt:lpstr>
      <vt:lpstr>Sensitivity</vt:lpstr>
      <vt:lpstr>Optimization</vt:lpstr>
      <vt:lpstr>Monte Carlo</vt:lpstr>
      <vt:lpstr>Uncertainty</vt:lpstr>
      <vt:lpstr>Result Table GS</vt:lpstr>
      <vt:lpstr>Result Table CR</vt:lpstr>
      <vt:lpstr>Fiscal Config</vt:lpstr>
      <vt:lpstr>Prod Oil</vt:lpstr>
      <vt:lpstr>Cost Recovery Config</vt:lpstr>
      <vt:lpstr>Cost Recovery Config (2)</vt:lpstr>
      <vt:lpstr>Gross Split Config</vt:lpstr>
      <vt:lpstr>Gross Split Config (2)</vt:lpstr>
      <vt:lpstr>Prod LPG Butane</vt:lpstr>
      <vt:lpstr>Prod Electricity</vt:lpstr>
      <vt:lpstr>Prod Gas</vt:lpstr>
      <vt:lpstr>Prod Electricity (2)</vt:lpstr>
      <vt:lpstr>Prod LPG Butane (2)</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2023-11-28T06:32:28Z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