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94198A90-A7E5-48C3-9B00-9208264DFB9D}" xr6:coauthVersionLast="47" xr6:coauthVersionMax="47" xr10:uidLastSave="{00000000-0000-0000-0000-000000000000}"/>
  <bookViews>
    <workbookView xWindow="28695" yWindow="0" windowWidth="19410" windowHeight="15585" tabRatio="912" firstSheet="3" activeTab="9" xr2:uid="{F41B6BF2-4712-40A6-B007-CDDECCED21AA}"/>
  </bookViews>
  <sheets>
    <sheet name="Cover" sheetId="19" r:id="rId1"/>
    <sheet name="UserGuide" sheetId="8" r:id="rId2"/>
    <sheet name="Result" sheetId="18" r:id="rId3"/>
    <sheet name="General Config" sheetId="4" r:id="rId4"/>
    <sheet name="Fiscal Config" sheetId="345" r:id="rId5"/>
    <sheet name="Gross Split Config (2)" sheetId="103" state="hidden" r:id="rId6"/>
    <sheet name="Cost Recovery Config" sheetId="16" r:id="rId7"/>
    <sheet name="Gross Split Config" sheetId="15" state="hidden" r:id="rId8"/>
    <sheet name="Cost Recovery Config (2)" sheetId="343" state="hidden" r:id="rId9"/>
    <sheet name="Prod Oil" sheetId="54" r:id="rId10"/>
    <sheet name="Prod Gas" sheetId="5" state="hidden" r:id="rId11"/>
    <sheet name="Prod LPG Propane" sheetId="6" state="hidden" r:id="rId12"/>
    <sheet name="Prod LPG Butane" sheetId="7" state="hidden" r:id="rId13"/>
    <sheet name="Prod CO2" sheetId="10" state="hidden" r:id="rId14"/>
    <sheet name="Prod Sulfur" sheetId="9" state="hidden" r:id="rId15"/>
    <sheet name="Prod Electricity" sheetId="353" state="hidden" r:id="rId16"/>
    <sheet name="Cost Tangible" sheetId="72" r:id="rId17"/>
    <sheet name="Cost Intangible" sheetId="73" r:id="rId18"/>
    <sheet name="Cost OPEX" sheetId="74" r:id="rId19"/>
    <sheet name="Cost ASR" sheetId="75" r:id="rId20"/>
    <sheet name="Optimization" sheetId="375" r:id="rId21"/>
    <sheet name="Sensitivity" sheetId="376" r:id="rId22"/>
    <sheet name="Result Table CR" sheetId="346" r:id="rId23"/>
    <sheet name="Result Table GS" sheetId="347" r:id="rId24"/>
  </sheets>
  <functionGroups builtInGroupCount="19"/>
  <externalReferences>
    <externalReference r:id="rId25"/>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375" l="1"/>
  <c r="F17" i="375" l="1"/>
  <c r="F16" i="375"/>
  <c r="F13" i="375"/>
  <c r="F12" i="375"/>
  <c r="F11" i="375"/>
  <c r="F10" i="375"/>
  <c r="F9" i="375"/>
  <c r="F8" i="375"/>
  <c r="F7" i="375"/>
  <c r="F6" i="375"/>
  <c r="F5" i="375"/>
  <c r="B6" i="345" l="1"/>
  <c r="B17" i="8" l="1"/>
</calcChain>
</file>

<file path=xl/sharedStrings.xml><?xml version="1.0" encoding="utf-8"?>
<sst xmlns="http://schemas.openxmlformats.org/spreadsheetml/2006/main" count="885" uniqueCount="372">
  <si>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</si>
  <si>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</si>
  <si>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</si>
  <si>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</si>
  <si>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</si>
  <si>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</si>
  <si>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</si>
  <si>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</si>
  <si>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</si>
  <si>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</si>
  <si>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</si>
  <si>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</si>
  <si>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</si>
  <si>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</si>
  <si>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</si>
  <si>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</si>
  <si>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</si>
  <si>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</si>
  <si>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</si>
  <si>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</si>
  <si>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</si>
  <si>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</si>
  <si>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</si>
  <si>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</si>
  <si>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</si>
  <si>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</si>
  <si>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</si>
  <si>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</si>
  <si>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</si>
  <si>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</si>
  <si>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</si>
  <si>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</si>
  <si>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</si>
  <si>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</si>
  <si>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</si>
  <si>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</si>
  <si>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</si>
  <si>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</si>
  <si>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</si>
  <si>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</si>
  <si>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</si>
  <si>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</si>
  <si>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</si>
  <si>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</si>
  <si>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</si>
  <si>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</si>
  <si>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</si>
  <si>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</si>
  <si>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</si>
  <si>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</si>
  <si>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</si>
  <si>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</si>
  <si>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</si>
  <si>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</si>
  <si>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</si>
  <si>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</si>
  <si>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</si>
  <si>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</si>
  <si>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</si>
  <si>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</si>
  <si>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</si>
  <si>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</si>
  <si>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</si>
  <si>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</si>
  <si>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</si>
  <si>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</si>
  <si>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</si>
  <si>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</si>
  <si>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</si>
  <si>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</si>
  <si>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</si>
  <si>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</si>
  <si>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</si>
  <si>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</si>
  <si>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</si>
  <si>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</si>
  <si>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</si>
  <si>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</si>
  <si>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</si>
  <si>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</si>
  <si>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</si>
  <si>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</si>
  <si>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</si>
  <si>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</si>
  <si>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</si>
  <si>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</si>
  <si>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</si>
  <si>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</si>
  <si>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</si>
  <si>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</si>
  <si>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</si>
  <si>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</si>
  <si>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</si>
  <si>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</si>
  <si>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</si>
  <si>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</si>
  <si>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</si>
  <si>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</si>
  <si>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</si>
  <si>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</si>
  <si>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</si>
  <si>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</si>
  <si>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</si>
  <si>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</si>
  <si>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</si>
  <si>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</si>
  <si>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</si>
  <si>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</si>
  <si>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</si>
  <si>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</si>
  <si>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</si>
  <si>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</si>
  <si>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</si>
  <si>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</si>
  <si>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</si>
  <si>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</si>
  <si>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</si>
  <si>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</si>
  <si>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</si>
  <si>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</si>
  <si>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</si>
  <si>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</si>
  <si>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</si>
  <si>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</si>
  <si>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</si>
  <si>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</si>
  <si>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</si>
  <si>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</si>
  <si>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</si>
  <si>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</si>
  <si>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</si>
  <si>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</si>
  <si>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</si>
  <si>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</si>
  <si>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</si>
  <si>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</si>
  <si>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</si>
  <si>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</si>
  <si>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</si>
  <si>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</si>
  <si>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</si>
  <si>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</si>
  <si>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</si>
  <si>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</si>
  <si>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</si>
  <si>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</si>
  <si>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</si>
  <si>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</si>
  <si>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</si>
  <si>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</si>
  <si>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</si>
  <si>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</si>
  <si>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</si>
  <si>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</si>
  <si>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</si>
  <si>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</si>
  <si>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</si>
  <si>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</si>
  <si>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</si>
  <si>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</si>
  <si>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</si>
  <si>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</si>
  <si>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</si>
  <si>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</si>
  <si>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</si>
  <si>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</si>
  <si>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</si>
  <si>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</si>
  <si>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</si>
  <si>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</si>
  <si>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</si>
  <si>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</si>
  <si>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</si>
  <si>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</si>
  <si>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</si>
  <si>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</si>
  <si>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</si>
  <si>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</si>
  <si>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</si>
  <si>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</si>
  <si>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</si>
  <si>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</si>
  <si>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</si>
  <si>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</si>
  <si>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</si>
  <si>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</si>
  <si>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</si>
  <si>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</si>
  <si>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</si>
  <si>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</si>
  <si>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</si>
  <si>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</si>
  <si>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</si>
  <si>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</si>
  <si>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</si>
  <si>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</si>
  <si>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</si>
  <si>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</si>
  <si>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</si>
  <si>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</si>
  <si>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</si>
  <si>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</si>
  <si>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</si>
  <si>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</si>
  <si>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</si>
  <si>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</si>
  <si>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</si>
  <si>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</si>
  <si>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</si>
  <si>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</si>
  <si>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</si>
  <si>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</si>
  <si>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</si>
  <si>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</si>
  <si>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</si>
  <si>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</si>
  <si>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</si>
  <si>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</si>
  <si>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</si>
  <si>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</si>
  <si>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</si>
  <si>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</si>
  <si>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</si>
  <si>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</si>
  <si>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</si>
  <si>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</si>
  <si>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</si>
  <si>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</si>
  <si>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</si>
  <si>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</si>
  <si>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</si>
  <si>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</si>
  <si>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</si>
  <si>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</si>
  <si>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</si>
  <si>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</si>
  <si>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</si>
  <si>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</si>
  <si>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</si>
  <si>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</si>
  <si>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</si>
  <si>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</si>
  <si>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</si>
  <si>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</si>
  <si>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</si>
  <si>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</si>
  <si>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</si>
  <si>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</si>
  <si>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</si>
  <si>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</si>
  <si>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</si>
  <si>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</si>
  <si>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</si>
  <si>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</si>
  <si>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</si>
  <si>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</si>
  <si>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</si>
  <si>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</si>
  <si>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</si>
  <si>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</si>
  <si>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</si>
  <si>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</si>
  <si>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</si>
  <si>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</si>
  <si>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</si>
  <si>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</si>
  <si>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</si>
  <si>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</si>
  <si>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</si>
  <si>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</si>
  <si>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</si>
  <si>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</si>
  <si>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</si>
  <si>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</si>
  <si>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</si>
  <si>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</si>
  <si>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</si>
  <si>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</si>
  <si>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</si>
  <si>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</si>
  <si>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</si>
  <si>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</si>
  <si>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</si>
  <si>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Declining Balance</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</si>
  <si>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</si>
  <si>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</si>
  <si>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</si>
  <si>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</si>
  <si>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</si>
  <si>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</si>
  <si>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</si>
  <si>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</si>
  <si>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</si>
  <si>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</si>
  <si>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</si>
  <si>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</si>
  <si>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</si>
  <si>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</si>
  <si>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</si>
  <si>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</si>
  <si>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</si>
  <si>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</si>
  <si>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</si>
  <si>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</si>
  <si>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</si>
  <si>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</si>
  <si>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</si>
  <si>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</si>
  <si>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</si>
  <si>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</si>
  <si>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</si>
  <si>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</si>
  <si>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</si>
  <si>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</si>
  <si>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</si>
  <si>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</si>
  <si>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</si>
  <si>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</si>
  <si>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</si>
  <si>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</si>
  <si>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</si>
  <si>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</si>
  <si>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</si>
  <si>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</si>
  <si>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</si>
  <si>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</si>
  <si>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</si>
  <si>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</si>
  <si>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</si>
  <si>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</si>
  <si>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</si>
  <si>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</si>
  <si>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</si>
  <si>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</si>
  <si>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</si>
  <si>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</si>
  <si>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</si>
  <si>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</si>
  <si>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</si>
  <si>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</si>
  <si>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</si>
  <si>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</si>
  <si>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</si>
  <si>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</si>
  <si>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</si>
  <si>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</si>
  <si>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</si>
  <si>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</si>
  <si>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</si>
  <si>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</si>
  <si>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</si>
  <si>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</si>
  <si>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</si>
  <si>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</si>
  <si>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</si>
  <si>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</si>
  <si>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</si>
  <si>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</si>
  <si>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</si>
  <si>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</si>
  <si>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</si>
  <si>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</si>
  <si>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</si>
  <si>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</si>
  <si>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</si>
  <si>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</si>
  <si>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</si>
  <si>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</si>
  <si>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</si>
  <si>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</si>
  <si>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PSC Cost Recovery (CR)</t>
  </si>
  <si>
    <t>User Input - Multi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</si>
</sst>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6">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FC080F"/>
      <color rgb="FFB3FF03"/>
      <color rgb="FF435259"/>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Spin" dx="26" fmlaLink="'Fiscal Config'!$C$2" max="4" min="1" page="10" val="3"/>
</file>

<file path=xl/ctrlProps/ctrlProp18.xml><?xml version="1.0" encoding="utf-8"?>
<formControlPr xmlns="http://schemas.microsoft.com/office/spreadsheetml/2009/9/main" objectType="Spin" dx="26" fmlaLink="$C$7" max="3" min="1" page="10" val="3"/>
</file>

<file path=xl/ctrlProps/ctrlProp19.xml><?xml version="1.0" encoding="utf-8"?>
<formControlPr xmlns="http://schemas.microsoft.com/office/spreadsheetml/2009/9/main" objectType="Spin" dx="26" fmlaLink="$C$7" max="3" min="1" page="10" val="3"/>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3</xdr:col>
          <xdr:colOff>828</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3</xdr:col>
          <xdr:colOff>828</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828</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828</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19050</xdr:rowOff>
        </xdr:from>
        <xdr:to>
          <xdr:col>3</xdr:col>
          <xdr:colOff>828</xdr:colOff>
          <xdr:row>15</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8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1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1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1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1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1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1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1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1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18</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1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19</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1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19</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1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19</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1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19</xdr:row>
          <xdr:rowOff>0</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1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19</xdr:row>
          <xdr:rowOff>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1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142875</xdr:rowOff>
        </xdr:from>
        <xdr:to>
          <xdr:col>3</xdr:col>
          <xdr:colOff>438150</xdr:colOff>
          <xdr:row>19</xdr:row>
          <xdr:rowOff>0</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1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vmlDrawing" Target="../drawings/vmlDrawing5.vml"/><Relationship Id="rId16" Type="http://schemas.openxmlformats.org/officeDocument/2006/relationships/ctrlProp" Target="../ctrlProps/ctrlProp33.xml"/><Relationship Id="rId1" Type="http://schemas.openxmlformats.org/officeDocument/2006/relationships/drawing" Target="../drawings/drawing6.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3" t="s">
        <v>334</v>
      </c>
      <c r="F9" s="83"/>
      <c r="G9" s="83"/>
      <c r="H9" s="83"/>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4" t="s">
        <v>182</v>
      </c>
      <c r="C4" s="84"/>
      <c r="D4" s="84"/>
      <c r="E4" s="84"/>
      <c r="F4" s="84"/>
      <c r="G4" s="84"/>
      <c r="H4" s="84"/>
      <c r="I4" s="84"/>
      <c r="J4" s="84"/>
      <c r="K4" s="84"/>
      <c r="L4" s="84"/>
      <c r="M4" s="84"/>
      <c r="N4" s="84"/>
      <c r="O4" s="84"/>
      <c r="P4" s="84"/>
      <c r="Q4" s="84"/>
      <c r="R4" s="84"/>
      <c r="S4" s="84"/>
    </row>
    <row r="5" spans="1:19" x14ac:dyDescent="0.25"/>
    <row r="6" spans="1:19" x14ac:dyDescent="0.25">
      <c r="A6" s="6" t="s">
        <v>183</v>
      </c>
    </row>
    <row r="7" spans="1:19" ht="6" customHeight="1" x14ac:dyDescent="0.25">
      <c r="A7" s="6"/>
    </row>
    <row r="8" spans="1:19" x14ac:dyDescent="0.25">
      <c r="B8" s="82"/>
      <c r="C8" s="84" t="s">
        <v>369</v>
      </c>
      <c r="D8" s="84"/>
      <c r="E8" s="84"/>
      <c r="F8" s="84"/>
      <c r="G8" s="84"/>
      <c r="H8" s="84"/>
      <c r="I8" s="84"/>
      <c r="J8" s="84"/>
      <c r="K8" s="84"/>
      <c r="L8" s="84"/>
      <c r="M8" s="84"/>
      <c r="N8" s="84"/>
      <c r="O8" s="84"/>
      <c r="P8" s="84"/>
      <c r="Q8" s="84"/>
      <c r="R8" s="84"/>
      <c r="S8" s="84"/>
    </row>
    <row r="9" spans="1:19" ht="6" customHeight="1" x14ac:dyDescent="0.25"/>
    <row r="10" spans="1:19" ht="14.45" customHeight="1" x14ac:dyDescent="0.25">
      <c r="B10" s="81"/>
      <c r="C10" s="84" t="s">
        <v>184</v>
      </c>
      <c r="D10" s="84"/>
      <c r="E10" s="84"/>
      <c r="F10" s="84"/>
      <c r="G10" s="84"/>
      <c r="H10" s="84"/>
      <c r="I10" s="84"/>
      <c r="J10" s="84"/>
      <c r="K10" s="84"/>
      <c r="L10" s="84"/>
      <c r="M10" s="84"/>
      <c r="N10" s="84"/>
      <c r="O10" s="84"/>
      <c r="P10" s="84"/>
      <c r="Q10" s="84"/>
      <c r="R10" s="84"/>
      <c r="S10" s="84"/>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2" sqref="E2:E4"/>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6" t="s">
        <v>122</v>
      </c>
      <c r="C2" s="86" t="s">
        <v>213</v>
      </c>
      <c r="D2" s="86" t="s">
        <v>214</v>
      </c>
      <c r="E2" s="86" t="s">
        <v>215</v>
      </c>
    </row>
    <row r="3" spans="2:5" x14ac:dyDescent="0.25">
      <c r="B3" s="86"/>
      <c r="C3" s="86"/>
      <c r="D3" s="86"/>
      <c r="E3" s="86"/>
    </row>
    <row r="4" spans="2:5" x14ac:dyDescent="0.25">
      <c r="B4" s="86"/>
      <c r="C4" s="86"/>
      <c r="D4" s="86"/>
      <c r="E4" s="86"/>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362</v>
      </c>
      <c r="D7" s="30" t="s">
        <v>365</v>
      </c>
      <c r="E7" s="32">
        <v>0</v>
      </c>
    </row>
    <row r="8" spans="2:5" x14ac:dyDescent="0.25">
      <c r="B8" s="30">
        <v>4</v>
      </c>
      <c r="C8" s="31" t="s">
        <v>363</v>
      </c>
      <c r="D8" s="30" t="s">
        <v>364</v>
      </c>
      <c r="E8" s="32">
        <v>0</v>
      </c>
    </row>
    <row r="9" spans="2:5" x14ac:dyDescent="0.25">
      <c r="B9" s="30">
        <v>5</v>
      </c>
      <c r="C9" s="31" t="s">
        <v>220</v>
      </c>
      <c r="D9" s="30" t="s">
        <v>221</v>
      </c>
      <c r="E9" s="32">
        <v>0</v>
      </c>
    </row>
    <row r="10" spans="2:5" x14ac:dyDescent="0.25">
      <c r="B10" s="85">
        <v>6</v>
      </c>
      <c r="C10" s="31" t="s">
        <v>222</v>
      </c>
      <c r="D10" s="30" t="s">
        <v>221</v>
      </c>
      <c r="E10" s="32">
        <v>0</v>
      </c>
    </row>
    <row r="11" spans="2:5" x14ac:dyDescent="0.25">
      <c r="B11" s="85"/>
      <c r="C11" s="33" t="s">
        <v>223</v>
      </c>
      <c r="D11" s="30" t="s">
        <v>221</v>
      </c>
      <c r="E11" s="32">
        <v>0</v>
      </c>
    </row>
    <row r="12" spans="2:5" x14ac:dyDescent="0.25">
      <c r="B12" s="85"/>
      <c r="C12" s="33" t="s">
        <v>224</v>
      </c>
      <c r="D12" s="30" t="s">
        <v>221</v>
      </c>
      <c r="E12" s="32">
        <v>0</v>
      </c>
    </row>
    <row r="13" spans="2:5" x14ac:dyDescent="0.25">
      <c r="B13" s="30">
        <v>7</v>
      </c>
      <c r="C13" s="31" t="s">
        <v>225</v>
      </c>
      <c r="D13" s="30" t="s">
        <v>221</v>
      </c>
      <c r="E13" s="32">
        <v>0</v>
      </c>
    </row>
    <row r="14" spans="2:5" x14ac:dyDescent="0.25">
      <c r="B14" s="85">
        <v>8</v>
      </c>
      <c r="C14" s="31" t="s">
        <v>226</v>
      </c>
      <c r="D14" s="30" t="s">
        <v>221</v>
      </c>
      <c r="E14" s="32">
        <v>0</v>
      </c>
    </row>
    <row r="15" spans="2:5" x14ac:dyDescent="0.25">
      <c r="B15" s="85"/>
      <c r="C15" s="33" t="s">
        <v>227</v>
      </c>
      <c r="D15" s="30" t="s">
        <v>221</v>
      </c>
      <c r="E15" s="32">
        <v>0</v>
      </c>
    </row>
    <row r="16" spans="2:5" x14ac:dyDescent="0.25">
      <c r="B16" s="85"/>
      <c r="C16" s="33" t="s">
        <v>228</v>
      </c>
      <c r="D16" s="30" t="s">
        <v>221</v>
      </c>
      <c r="E16" s="32">
        <v>0</v>
      </c>
    </row>
    <row r="17" spans="2:5" x14ac:dyDescent="0.25">
      <c r="B17" s="85">
        <v>9</v>
      </c>
      <c r="C17" s="31" t="s">
        <v>229</v>
      </c>
      <c r="D17" s="30" t="s">
        <v>221</v>
      </c>
      <c r="E17" s="32">
        <v>0</v>
      </c>
    </row>
    <row r="18" spans="2:5" x14ac:dyDescent="0.25">
      <c r="B18" s="85"/>
      <c r="C18" s="33" t="s">
        <v>230</v>
      </c>
      <c r="D18" s="30" t="s">
        <v>221</v>
      </c>
      <c r="E18" s="32">
        <v>0</v>
      </c>
    </row>
    <row r="19" spans="2:5" x14ac:dyDescent="0.25">
      <c r="B19" s="85"/>
      <c r="C19" s="33" t="s">
        <v>231</v>
      </c>
      <c r="D19" s="30" t="s">
        <v>221</v>
      </c>
      <c r="E19" s="32">
        <v>0</v>
      </c>
    </row>
    <row r="20" spans="2:5" x14ac:dyDescent="0.25">
      <c r="B20" s="85">
        <v>10</v>
      </c>
      <c r="C20" s="31" t="s">
        <v>366</v>
      </c>
      <c r="D20" s="30" t="s">
        <v>221</v>
      </c>
      <c r="E20" s="32">
        <v>0</v>
      </c>
    </row>
    <row r="21" spans="2:5" x14ac:dyDescent="0.25">
      <c r="B21" s="85"/>
      <c r="C21" s="31" t="s">
        <v>233</v>
      </c>
      <c r="D21" s="30" t="s">
        <v>234</v>
      </c>
      <c r="E21" s="39">
        <v>0</v>
      </c>
    </row>
    <row r="22" spans="2:5" x14ac:dyDescent="0.25">
      <c r="B22" s="85">
        <v>11</v>
      </c>
      <c r="C22" s="31" t="s">
        <v>367</v>
      </c>
      <c r="D22" s="30" t="s">
        <v>221</v>
      </c>
      <c r="E22" s="32">
        <v>0</v>
      </c>
    </row>
    <row r="23" spans="2:5" x14ac:dyDescent="0.25">
      <c r="B23" s="85"/>
      <c r="C23" s="31" t="s">
        <v>233</v>
      </c>
      <c r="D23" s="30" t="s">
        <v>234</v>
      </c>
      <c r="E23" s="32">
        <v>0</v>
      </c>
    </row>
    <row r="24" spans="2:5" x14ac:dyDescent="0.25">
      <c r="B24" s="85">
        <v>12</v>
      </c>
      <c r="C24" s="31" t="s">
        <v>235</v>
      </c>
      <c r="D24" s="30"/>
      <c r="E24" s="32"/>
    </row>
    <row r="25" spans="2:5" x14ac:dyDescent="0.25">
      <c r="B25" s="85"/>
      <c r="C25" s="33" t="s">
        <v>236</v>
      </c>
      <c r="D25" s="30" t="s">
        <v>221</v>
      </c>
      <c r="E25" s="32">
        <v>0</v>
      </c>
    </row>
    <row r="26" spans="2:5" x14ac:dyDescent="0.25">
      <c r="B26" s="85"/>
      <c r="C26" s="33" t="s">
        <v>237</v>
      </c>
      <c r="D26" s="30" t="s">
        <v>234</v>
      </c>
      <c r="E26" s="39">
        <v>0</v>
      </c>
    </row>
    <row r="27" spans="2:5" x14ac:dyDescent="0.25">
      <c r="B27" s="85"/>
      <c r="C27" s="33" t="s">
        <v>238</v>
      </c>
      <c r="D27" s="30" t="s">
        <v>221</v>
      </c>
      <c r="E27" s="32">
        <v>0</v>
      </c>
    </row>
    <row r="28" spans="2:5" x14ac:dyDescent="0.25">
      <c r="B28" s="85"/>
      <c r="C28" s="33" t="s">
        <v>237</v>
      </c>
      <c r="D28" s="30" t="s">
        <v>234</v>
      </c>
      <c r="E28" s="39">
        <v>0</v>
      </c>
    </row>
    <row r="29" spans="2:5" x14ac:dyDescent="0.25">
      <c r="B29" s="85"/>
      <c r="C29" s="34" t="s">
        <v>239</v>
      </c>
      <c r="D29" s="35" t="s">
        <v>221</v>
      </c>
      <c r="E29" s="32">
        <v>0</v>
      </c>
    </row>
    <row r="30" spans="2:5" x14ac:dyDescent="0.25">
      <c r="B30" s="85"/>
      <c r="C30" s="34" t="s">
        <v>240</v>
      </c>
      <c r="D30" s="35" t="s">
        <v>221</v>
      </c>
      <c r="E30" s="32">
        <v>0</v>
      </c>
    </row>
    <row r="31" spans="2:5" x14ac:dyDescent="0.25">
      <c r="B31" s="85"/>
      <c r="C31" s="34" t="s">
        <v>241</v>
      </c>
      <c r="D31" s="35" t="s">
        <v>242</v>
      </c>
      <c r="E31" s="32">
        <v>0</v>
      </c>
    </row>
    <row r="32" spans="2:5" x14ac:dyDescent="0.25">
      <c r="B32" s="85"/>
      <c r="C32" s="34" t="s">
        <v>243</v>
      </c>
      <c r="D32" s="36"/>
      <c r="E32" s="32">
        <v>0</v>
      </c>
    </row>
    <row r="33" spans="2:5" x14ac:dyDescent="0.25">
      <c r="B33" s="85">
        <v>13</v>
      </c>
      <c r="C33" s="37" t="s">
        <v>244</v>
      </c>
      <c r="D33" s="35"/>
      <c r="E33" s="32"/>
    </row>
    <row r="34" spans="2:5" x14ac:dyDescent="0.25">
      <c r="B34" s="85"/>
      <c r="C34" s="34" t="s">
        <v>224</v>
      </c>
      <c r="D34" s="35" t="s">
        <v>221</v>
      </c>
      <c r="E34" s="32">
        <v>0</v>
      </c>
    </row>
    <row r="35" spans="2:5" x14ac:dyDescent="0.25">
      <c r="B35" s="85"/>
      <c r="C35" s="34" t="s">
        <v>368</v>
      </c>
      <c r="D35" s="35" t="s">
        <v>221</v>
      </c>
      <c r="E35" s="32">
        <v>0</v>
      </c>
    </row>
    <row r="36" spans="2:5" x14ac:dyDescent="0.25">
      <c r="B36" s="85"/>
      <c r="C36" s="34" t="s">
        <v>245</v>
      </c>
      <c r="D36" s="35" t="s">
        <v>221</v>
      </c>
      <c r="E36" s="32">
        <v>0</v>
      </c>
    </row>
    <row r="37" spans="2:5" x14ac:dyDescent="0.25">
      <c r="B37" s="85"/>
      <c r="C37" s="34" t="s">
        <v>246</v>
      </c>
      <c r="D37" s="35" t="s">
        <v>221</v>
      </c>
      <c r="E37" s="32">
        <v>0</v>
      </c>
    </row>
    <row r="38" spans="2:5" x14ac:dyDescent="0.25">
      <c r="B38" s="85"/>
      <c r="C38" s="34" t="s">
        <v>247</v>
      </c>
      <c r="D38" s="35" t="s">
        <v>221</v>
      </c>
      <c r="E38" s="32">
        <v>0</v>
      </c>
    </row>
    <row r="39" spans="2:5" x14ac:dyDescent="0.25">
      <c r="B39" s="85"/>
      <c r="C39" s="34" t="s">
        <v>237</v>
      </c>
      <c r="D39" s="35" t="s">
        <v>234</v>
      </c>
      <c r="E39" s="39">
        <v>0</v>
      </c>
    </row>
    <row r="40" spans="2:5" x14ac:dyDescent="0.25">
      <c r="B40" s="85"/>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15" zoomScaleNormal="115" workbookViewId="0">
      <selection activeCell="C2" sqref="C2:E2"/>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103</v>
      </c>
      <c r="B1" s="9"/>
    </row>
    <row r="2" spans="1:9" x14ac:dyDescent="0.25">
      <c r="B2" t="s">
        <v>19</v>
      </c>
      <c r="C2" s="87" t="s">
        <v>370</v>
      </c>
      <c r="D2" s="88"/>
      <c r="E2" s="89"/>
    </row>
    <row r="3" spans="1:9" x14ac:dyDescent="0.25">
      <c r="B3" t="s">
        <v>20</v>
      </c>
      <c r="C3" s="87">
        <v>2023</v>
      </c>
      <c r="D3" s="88"/>
      <c r="E3" s="89"/>
    </row>
    <row r="4" spans="1:9" x14ac:dyDescent="0.25">
      <c r="B4" t="s">
        <v>262</v>
      </c>
      <c r="C4" s="87">
        <v>0.1</v>
      </c>
      <c r="D4" s="88"/>
      <c r="E4" s="89"/>
    </row>
    <row r="5" spans="1:9" x14ac:dyDescent="0.25">
      <c r="B5" t="s">
        <v>21</v>
      </c>
      <c r="C5" s="87" t="s">
        <v>259</v>
      </c>
      <c r="D5" s="88"/>
      <c r="E5" s="89"/>
    </row>
    <row r="6" spans="1:9" x14ac:dyDescent="0.25">
      <c r="B6" t="s">
        <v>98</v>
      </c>
      <c r="C6" s="90">
        <v>44927</v>
      </c>
      <c r="D6" s="91"/>
      <c r="E6" s="92"/>
    </row>
    <row r="7" spans="1:9" x14ac:dyDescent="0.25">
      <c r="B7" t="s">
        <v>99</v>
      </c>
      <c r="C7" s="90">
        <v>48579</v>
      </c>
      <c r="D7" s="91"/>
      <c r="E7" s="92"/>
    </row>
    <row r="8" spans="1:9" x14ac:dyDescent="0.25">
      <c r="B8" t="s">
        <v>100</v>
      </c>
      <c r="C8" s="90"/>
      <c r="D8" s="91"/>
      <c r="E8" s="92"/>
    </row>
    <row r="9" spans="1:9" hidden="1" x14ac:dyDescent="0.25">
      <c r="B9" t="s">
        <v>101</v>
      </c>
      <c r="C9" s="90"/>
      <c r="D9" s="91"/>
      <c r="E9" s="92"/>
    </row>
    <row r="10" spans="1:9" x14ac:dyDescent="0.25">
      <c r="B10" s="42" t="s">
        <v>102</v>
      </c>
      <c r="C10" s="43"/>
      <c r="D10" s="45">
        <v>1</v>
      </c>
      <c r="E10" s="44"/>
    </row>
    <row r="11" spans="1:9" x14ac:dyDescent="0.25">
      <c r="B11" s="42"/>
      <c r="C11" s="43"/>
      <c r="D11" s="45">
        <v>0</v>
      </c>
      <c r="E11" s="44"/>
      <c r="G11" s="62" t="s">
        <v>257</v>
      </c>
      <c r="H11" s="61">
        <v>1</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273</v>
      </c>
      <c r="C18" s="93">
        <v>0</v>
      </c>
      <c r="D18" s="94"/>
      <c r="E18" s="95"/>
    </row>
    <row r="19" spans="2:5" x14ac:dyDescent="0.25">
      <c r="B19" t="s">
        <v>274</v>
      </c>
      <c r="C19" s="93">
        <v>0</v>
      </c>
      <c r="D19" s="94"/>
      <c r="E19" s="95"/>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19050</xdr:rowOff>
                  </from>
                  <to>
                    <xdr:col>2</xdr:col>
                    <xdr:colOff>514350</xdr:colOff>
                    <xdr:row>15</xdr:row>
                    <xdr:rowOff>171450</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zoomScale="115" zoomScaleNormal="115" workbookViewId="0">
      <selection activeCell="C8" sqref="C8"/>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371</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284</v>
      </c>
    </row>
    <row r="16" spans="1:3" x14ac:dyDescent="0.25">
      <c r="B16" t="s">
        <v>285</v>
      </c>
      <c r="C16" s="22" t="s">
        <v>286</v>
      </c>
    </row>
    <row r="17" spans="1:3" x14ac:dyDescent="0.25"/>
    <row r="18" spans="1:3" x14ac:dyDescent="0.25">
      <c r="A18" s="9" t="s">
        <v>268</v>
      </c>
    </row>
    <row r="19" spans="1:3" x14ac:dyDescent="0.25">
      <c r="B19" t="s">
        <v>269</v>
      </c>
      <c r="C19" s="22" t="s">
        <v>270</v>
      </c>
    </row>
    <row r="20" spans="1:3" x14ac:dyDescent="0.25"/>
    <row r="21" spans="1:3" x14ac:dyDescent="0.25">
      <c r="A21" s="9" t="s">
        <v>279</v>
      </c>
    </row>
    <row r="22" spans="1:3" x14ac:dyDescent="0.25">
      <c r="B22" t="s">
        <v>280</v>
      </c>
      <c r="C22" s="22">
        <v>0.02</v>
      </c>
    </row>
    <row r="23" spans="1:3" x14ac:dyDescent="0.25"/>
    <row r="24" spans="1:3" x14ac:dyDescent="0.25">
      <c r="A24" s="9" t="s">
        <v>281</v>
      </c>
    </row>
    <row r="25" spans="1:3" x14ac:dyDescent="0.25">
      <c r="B25" t="s">
        <v>282</v>
      </c>
      <c r="C25" s="22" t="s">
        <v>283</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96" t="s">
        <v>90</v>
      </c>
      <c r="C33" s="96"/>
      <c r="D33" s="96"/>
      <c r="F33" s="96" t="s">
        <v>97</v>
      </c>
      <c r="G33" s="96"/>
      <c r="H33" s="96"/>
    </row>
    <row r="34" spans="2:8" ht="15" hidden="1" x14ac:dyDescent="0.25">
      <c r="B34" s="15" t="s">
        <v>49</v>
      </c>
      <c r="C34" s="15" t="s">
        <v>50</v>
      </c>
      <c r="D34" s="19" t="s">
        <v>76</v>
      </c>
      <c r="F34" s="15" t="s">
        <v>49</v>
      </c>
      <c r="G34" s="15" t="s">
        <v>50</v>
      </c>
      <c r="H34" s="19" t="s">
        <v>76</v>
      </c>
    </row>
    <row r="35" spans="2:8" ht="15" hidden="1" x14ac:dyDescent="0.25">
      <c r="B35" s="97" t="s">
        <v>36</v>
      </c>
      <c r="C35" s="16" t="s">
        <v>51</v>
      </c>
      <c r="D35" s="21">
        <v>5</v>
      </c>
      <c r="F35" s="97" t="s">
        <v>36</v>
      </c>
      <c r="G35" s="16" t="s">
        <v>51</v>
      </c>
      <c r="H35" s="21">
        <v>5</v>
      </c>
    </row>
    <row r="36" spans="2:8" ht="15" hidden="1" x14ac:dyDescent="0.25">
      <c r="B36" s="98"/>
      <c r="C36" s="16" t="s">
        <v>52</v>
      </c>
      <c r="D36" s="21">
        <v>0</v>
      </c>
      <c r="F36" s="98"/>
      <c r="G36" s="16" t="s">
        <v>52</v>
      </c>
      <c r="H36" s="21">
        <v>3</v>
      </c>
    </row>
    <row r="37" spans="2:8" ht="15" hidden="1" x14ac:dyDescent="0.25">
      <c r="B37" s="98"/>
      <c r="C37" s="17" t="s">
        <v>75</v>
      </c>
      <c r="D37" s="21">
        <v>0</v>
      </c>
      <c r="F37" s="98"/>
      <c r="G37" s="17" t="s">
        <v>28</v>
      </c>
      <c r="H37" s="21">
        <v>0</v>
      </c>
    </row>
    <row r="38" spans="2:8" ht="15" hidden="1" x14ac:dyDescent="0.25">
      <c r="B38" s="99"/>
      <c r="C38" s="20" t="s">
        <v>28</v>
      </c>
      <c r="D38" s="21">
        <v>-5</v>
      </c>
      <c r="F38" s="99"/>
      <c r="G38" s="19" t="s">
        <v>96</v>
      </c>
      <c r="H38" s="21" t="s">
        <v>96</v>
      </c>
    </row>
    <row r="39" spans="2:8" ht="14.45" hidden="1" customHeight="1" x14ac:dyDescent="0.25">
      <c r="B39" s="97" t="s">
        <v>60</v>
      </c>
      <c r="C39" s="17" t="s">
        <v>29</v>
      </c>
      <c r="D39" s="21">
        <v>0</v>
      </c>
      <c r="F39" s="97" t="s">
        <v>60</v>
      </c>
      <c r="G39" s="17" t="s">
        <v>29</v>
      </c>
      <c r="H39" s="21">
        <v>0</v>
      </c>
    </row>
    <row r="40" spans="2:8" ht="15" hidden="1" x14ac:dyDescent="0.25">
      <c r="B40" s="98"/>
      <c r="C40" s="17" t="s">
        <v>69</v>
      </c>
      <c r="D40" s="21">
        <v>8</v>
      </c>
      <c r="F40" s="98"/>
      <c r="G40" s="17" t="s">
        <v>69</v>
      </c>
      <c r="H40" s="21">
        <v>8</v>
      </c>
    </row>
    <row r="41" spans="2:8" ht="15" hidden="1" x14ac:dyDescent="0.25">
      <c r="B41" s="98"/>
      <c r="C41" s="17" t="s">
        <v>70</v>
      </c>
      <c r="D41" s="21">
        <v>10</v>
      </c>
      <c r="F41" s="98"/>
      <c r="G41" s="17" t="s">
        <v>70</v>
      </c>
      <c r="H41" s="21">
        <v>10</v>
      </c>
    </row>
    <row r="42" spans="2:8" ht="15" hidden="1" x14ac:dyDescent="0.25">
      <c r="B42" s="98"/>
      <c r="C42" s="17" t="s">
        <v>71</v>
      </c>
      <c r="D42" s="21">
        <v>12</v>
      </c>
      <c r="F42" s="98"/>
      <c r="G42" s="17" t="s">
        <v>71</v>
      </c>
      <c r="H42" s="21">
        <v>12</v>
      </c>
    </row>
    <row r="43" spans="2:8" ht="30" hidden="1" x14ac:dyDescent="0.25">
      <c r="B43" s="98"/>
      <c r="C43" s="17" t="s">
        <v>72</v>
      </c>
      <c r="D43" s="21">
        <v>14</v>
      </c>
      <c r="F43" s="98"/>
      <c r="G43" s="17" t="s">
        <v>72</v>
      </c>
      <c r="H43" s="21">
        <v>14</v>
      </c>
    </row>
    <row r="44" spans="2:8" ht="15" hidden="1" x14ac:dyDescent="0.25">
      <c r="B44" s="99"/>
      <c r="C44" s="17" t="s">
        <v>53</v>
      </c>
      <c r="D44" s="21">
        <v>16</v>
      </c>
      <c r="F44" s="99"/>
      <c r="G44" s="17" t="s">
        <v>53</v>
      </c>
      <c r="H44" s="21">
        <v>16</v>
      </c>
    </row>
    <row r="45" spans="2:8" ht="15" hidden="1" x14ac:dyDescent="0.25">
      <c r="B45" s="97" t="s">
        <v>38</v>
      </c>
      <c r="C45" s="17" t="s">
        <v>46</v>
      </c>
      <c r="D45" s="21">
        <v>0</v>
      </c>
      <c r="F45" s="97" t="s">
        <v>38</v>
      </c>
      <c r="G45" s="17" t="s">
        <v>46</v>
      </c>
      <c r="H45" s="21">
        <v>0</v>
      </c>
    </row>
    <row r="46" spans="2:8" ht="15" hidden="1" x14ac:dyDescent="0.25">
      <c r="B46" s="99"/>
      <c r="C46" s="18" t="s">
        <v>54</v>
      </c>
      <c r="D46" s="21">
        <v>1</v>
      </c>
      <c r="F46" s="99"/>
      <c r="G46" s="18" t="s">
        <v>54</v>
      </c>
      <c r="H46" s="21">
        <v>1</v>
      </c>
    </row>
    <row r="47" spans="2:8" ht="15" hidden="1" x14ac:dyDescent="0.25">
      <c r="B47" s="100" t="s">
        <v>39</v>
      </c>
      <c r="C47" s="18" t="s">
        <v>30</v>
      </c>
      <c r="D47" s="21">
        <v>0</v>
      </c>
      <c r="F47" s="103" t="s">
        <v>39</v>
      </c>
      <c r="G47" s="18" t="s">
        <v>30</v>
      </c>
      <c r="H47" s="21">
        <v>0</v>
      </c>
    </row>
    <row r="48" spans="2:8" ht="15" hidden="1" x14ac:dyDescent="0.25">
      <c r="B48" s="101"/>
      <c r="C48" s="18" t="s">
        <v>77</v>
      </c>
      <c r="D48" s="21">
        <v>2</v>
      </c>
      <c r="F48" s="104"/>
      <c r="G48" s="18" t="s">
        <v>55</v>
      </c>
      <c r="H48" s="21">
        <v>2</v>
      </c>
    </row>
    <row r="49" spans="2:8" ht="15" hidden="1" x14ac:dyDescent="0.25">
      <c r="B49" s="102"/>
      <c r="C49" s="19" t="s">
        <v>96</v>
      </c>
      <c r="D49" s="19" t="s">
        <v>96</v>
      </c>
      <c r="F49" s="105"/>
      <c r="G49" s="18" t="s">
        <v>56</v>
      </c>
      <c r="H49" s="21">
        <v>4</v>
      </c>
    </row>
    <row r="50" spans="2:8" ht="15" hidden="1" x14ac:dyDescent="0.25">
      <c r="B50" s="103" t="s">
        <v>40</v>
      </c>
      <c r="C50" s="18" t="s">
        <v>35</v>
      </c>
      <c r="D50" s="21">
        <v>0</v>
      </c>
      <c r="F50" s="103" t="s">
        <v>40</v>
      </c>
      <c r="G50" s="18" t="s">
        <v>35</v>
      </c>
      <c r="H50" s="21">
        <v>0</v>
      </c>
    </row>
    <row r="51" spans="2:8" ht="15" hidden="1" x14ac:dyDescent="0.25">
      <c r="B51" s="105"/>
      <c r="C51" s="18" t="s">
        <v>73</v>
      </c>
      <c r="D51" s="21">
        <v>16</v>
      </c>
      <c r="F51" s="105"/>
      <c r="G51" s="18" t="s">
        <v>73</v>
      </c>
      <c r="H51" s="21">
        <v>16</v>
      </c>
    </row>
    <row r="52" spans="2:8" ht="15" hidden="1" x14ac:dyDescent="0.25">
      <c r="B52" s="103" t="s">
        <v>43</v>
      </c>
      <c r="C52" s="18" t="s">
        <v>31</v>
      </c>
      <c r="D52" s="21">
        <v>1</v>
      </c>
      <c r="F52" s="103" t="s">
        <v>43</v>
      </c>
      <c r="G52" s="18" t="s">
        <v>31</v>
      </c>
      <c r="H52" s="21">
        <v>1</v>
      </c>
    </row>
    <row r="53" spans="2:8" ht="15" hidden="1" x14ac:dyDescent="0.25">
      <c r="B53" s="105"/>
      <c r="C53" s="18" t="s">
        <v>74</v>
      </c>
      <c r="D53" s="21">
        <v>0</v>
      </c>
      <c r="F53" s="105"/>
      <c r="G53" s="18" t="s">
        <v>74</v>
      </c>
      <c r="H53" s="21">
        <v>0</v>
      </c>
    </row>
    <row r="54" spans="2:8" ht="15" hidden="1" x14ac:dyDescent="0.25">
      <c r="B54" s="103" t="s">
        <v>61</v>
      </c>
      <c r="C54" s="18" t="s">
        <v>57</v>
      </c>
      <c r="D54" s="21">
        <v>0</v>
      </c>
      <c r="F54" s="103" t="s">
        <v>61</v>
      </c>
      <c r="G54" s="18" t="s">
        <v>57</v>
      </c>
      <c r="H54" s="21">
        <v>0</v>
      </c>
    </row>
    <row r="55" spans="2:8" ht="15" hidden="1" x14ac:dyDescent="0.25">
      <c r="B55" s="104"/>
      <c r="C55" s="18" t="s">
        <v>78</v>
      </c>
      <c r="D55" s="21">
        <v>2</v>
      </c>
      <c r="F55" s="104"/>
      <c r="G55" s="18" t="s">
        <v>78</v>
      </c>
      <c r="H55" s="21">
        <v>2</v>
      </c>
    </row>
    <row r="56" spans="2:8" ht="15" hidden="1" x14ac:dyDescent="0.25">
      <c r="B56" s="104"/>
      <c r="C56" s="18" t="s">
        <v>47</v>
      </c>
      <c r="D56" s="21">
        <v>3</v>
      </c>
      <c r="F56" s="104"/>
      <c r="G56" s="18" t="s">
        <v>47</v>
      </c>
      <c r="H56" s="21">
        <v>3</v>
      </c>
    </row>
    <row r="57" spans="2:8" ht="15" hidden="1" x14ac:dyDescent="0.25">
      <c r="B57" s="105"/>
      <c r="C57" s="18" t="s">
        <v>79</v>
      </c>
      <c r="D57" s="21">
        <v>4</v>
      </c>
      <c r="F57" s="105"/>
      <c r="G57" s="18" t="s">
        <v>79</v>
      </c>
      <c r="H57" s="21">
        <v>4</v>
      </c>
    </row>
    <row r="58" spans="2:8" ht="15" hidden="1" x14ac:dyDescent="0.25">
      <c r="B58" s="103" t="s">
        <v>27</v>
      </c>
      <c r="C58" s="18" t="s">
        <v>80</v>
      </c>
      <c r="D58" s="21">
        <v>0</v>
      </c>
      <c r="F58" s="103" t="s">
        <v>27</v>
      </c>
      <c r="G58" s="18" t="s">
        <v>58</v>
      </c>
      <c r="H58" s="21">
        <v>0</v>
      </c>
    </row>
    <row r="59" spans="2:8" ht="15" hidden="1" x14ac:dyDescent="0.25">
      <c r="B59" s="104"/>
      <c r="C59" s="18" t="s">
        <v>48</v>
      </c>
      <c r="D59" s="21">
        <v>3</v>
      </c>
      <c r="F59" s="104"/>
      <c r="G59" s="18" t="s">
        <v>32</v>
      </c>
      <c r="H59" s="21">
        <v>6</v>
      </c>
    </row>
    <row r="60" spans="2:8" ht="15" hidden="1" x14ac:dyDescent="0.25">
      <c r="B60" s="105"/>
      <c r="C60" s="18" t="s">
        <v>81</v>
      </c>
      <c r="D60" s="21">
        <v>5</v>
      </c>
      <c r="F60" s="105"/>
      <c r="G60" s="18" t="s">
        <v>59</v>
      </c>
      <c r="H60" s="21">
        <v>10</v>
      </c>
    </row>
    <row r="61" spans="2:8" ht="15" hidden="1" x14ac:dyDescent="0.25">
      <c r="B61" s="103" t="s">
        <v>62</v>
      </c>
      <c r="C61" s="18" t="s">
        <v>33</v>
      </c>
      <c r="D61" s="21">
        <v>0</v>
      </c>
      <c r="F61" s="103" t="s">
        <v>62</v>
      </c>
      <c r="G61" s="18" t="s">
        <v>33</v>
      </c>
      <c r="H61" s="21">
        <v>0</v>
      </c>
    </row>
    <row r="62" spans="2:8" ht="15" hidden="1" x14ac:dyDescent="0.25">
      <c r="B62" s="104"/>
      <c r="C62" s="18" t="s">
        <v>82</v>
      </c>
      <c r="D62" s="21">
        <v>0.5</v>
      </c>
      <c r="F62" s="104"/>
      <c r="G62" s="18" t="s">
        <v>82</v>
      </c>
      <c r="H62" s="21">
        <v>0.5</v>
      </c>
    </row>
    <row r="63" spans="2:8" ht="15" hidden="1" x14ac:dyDescent="0.25">
      <c r="B63" s="104"/>
      <c r="C63" s="18" t="s">
        <v>83</v>
      </c>
      <c r="D63" s="21">
        <v>1</v>
      </c>
      <c r="F63" s="104"/>
      <c r="G63" s="18" t="s">
        <v>83</v>
      </c>
      <c r="H63" s="21">
        <v>1</v>
      </c>
    </row>
    <row r="64" spans="2:8" ht="15" hidden="1" x14ac:dyDescent="0.25">
      <c r="B64" s="104"/>
      <c r="C64" s="18" t="s">
        <v>84</v>
      </c>
      <c r="D64" s="21">
        <v>1.5</v>
      </c>
      <c r="F64" s="104"/>
      <c r="G64" s="18" t="s">
        <v>84</v>
      </c>
      <c r="H64" s="21">
        <v>1.5</v>
      </c>
    </row>
    <row r="65" spans="2:8" ht="15" hidden="1" x14ac:dyDescent="0.25">
      <c r="B65" s="104"/>
      <c r="C65" s="18" t="s">
        <v>85</v>
      </c>
      <c r="D65" s="21">
        <v>2</v>
      </c>
      <c r="F65" s="104"/>
      <c r="G65" s="18" t="s">
        <v>85</v>
      </c>
      <c r="H65" s="21">
        <v>2</v>
      </c>
    </row>
    <row r="66" spans="2:8" ht="15" hidden="1" x14ac:dyDescent="0.25">
      <c r="B66" s="105"/>
      <c r="C66" s="18" t="s">
        <v>92</v>
      </c>
      <c r="D66" s="21">
        <v>4</v>
      </c>
      <c r="F66" s="105"/>
      <c r="G66" s="18" t="s">
        <v>92</v>
      </c>
      <c r="H66" s="21">
        <v>4</v>
      </c>
    </row>
    <row r="67" spans="2:8" ht="15" hidden="1" x14ac:dyDescent="0.25">
      <c r="B67" s="103" t="s">
        <v>63</v>
      </c>
      <c r="C67" s="18" t="s">
        <v>34</v>
      </c>
      <c r="D67" s="21">
        <v>0</v>
      </c>
      <c r="F67" s="103" t="s">
        <v>63</v>
      </c>
      <c r="G67" s="18" t="s">
        <v>34</v>
      </c>
      <c r="H67" s="21">
        <v>0</v>
      </c>
    </row>
    <row r="68" spans="2:8" ht="15" hidden="1" x14ac:dyDescent="0.25">
      <c r="B68" s="104"/>
      <c r="C68" s="18" t="s">
        <v>88</v>
      </c>
      <c r="D68" s="21">
        <v>0.5</v>
      </c>
      <c r="F68" s="104"/>
      <c r="G68" s="18" t="s">
        <v>93</v>
      </c>
      <c r="H68" s="21">
        <v>1</v>
      </c>
    </row>
    <row r="69" spans="2:8" ht="15" hidden="1" x14ac:dyDescent="0.25">
      <c r="B69" s="104"/>
      <c r="C69" s="18" t="s">
        <v>89</v>
      </c>
      <c r="D69" s="21">
        <v>0.75</v>
      </c>
      <c r="F69" s="104"/>
      <c r="G69" s="18" t="s">
        <v>94</v>
      </c>
      <c r="H69" s="21">
        <v>2</v>
      </c>
    </row>
    <row r="70" spans="2:8" ht="15" hidden="1" x14ac:dyDescent="0.25">
      <c r="B70" s="105"/>
      <c r="C70" s="18" t="s">
        <v>91</v>
      </c>
      <c r="D70" s="21">
        <v>1</v>
      </c>
      <c r="F70" s="104"/>
      <c r="G70" s="18" t="s">
        <v>86</v>
      </c>
      <c r="H70" s="21">
        <v>3</v>
      </c>
    </row>
    <row r="71" spans="2:8" ht="15" hidden="1" x14ac:dyDescent="0.25">
      <c r="F71" s="104"/>
      <c r="G71" s="18" t="s">
        <v>87</v>
      </c>
      <c r="H71" s="21">
        <v>4</v>
      </c>
    </row>
    <row r="72" spans="2:8" ht="15" hidden="1" x14ac:dyDescent="0.25">
      <c r="F72" s="105"/>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112" t="s">
        <v>250</v>
      </c>
      <c r="C38" s="114" t="s">
        <v>251</v>
      </c>
      <c r="D38" s="108" t="s">
        <v>255</v>
      </c>
      <c r="E38" s="106" t="s">
        <v>256</v>
      </c>
      <c r="F38" s="47"/>
    </row>
    <row r="39" spans="1:6" hidden="1" x14ac:dyDescent="0.25">
      <c r="B39" s="113"/>
      <c r="C39" s="115"/>
      <c r="D39" s="109"/>
      <c r="E39" s="107"/>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12" t="s">
        <v>253</v>
      </c>
      <c r="C49" s="114" t="s">
        <v>254</v>
      </c>
      <c r="D49" s="108" t="s">
        <v>255</v>
      </c>
      <c r="E49" s="110" t="s">
        <v>256</v>
      </c>
    </row>
    <row r="50" spans="1:5" hidden="1" x14ac:dyDescent="0.25">
      <c r="B50" s="113"/>
      <c r="C50" s="115"/>
      <c r="D50" s="109"/>
      <c r="E50" s="111"/>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347</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96" t="s">
        <v>90</v>
      </c>
      <c r="C35" s="96"/>
      <c r="D35" s="96"/>
      <c r="F35" s="96" t="s">
        <v>97</v>
      </c>
      <c r="G35" s="96"/>
      <c r="H35" s="96"/>
    </row>
    <row r="36" spans="2:8" hidden="1" x14ac:dyDescent="0.25">
      <c r="B36" s="15" t="s">
        <v>49</v>
      </c>
      <c r="C36" s="15" t="s">
        <v>50</v>
      </c>
      <c r="D36" s="19" t="s">
        <v>76</v>
      </c>
      <c r="F36" s="15" t="s">
        <v>49</v>
      </c>
      <c r="G36" s="15" t="s">
        <v>50</v>
      </c>
      <c r="H36" s="19" t="s">
        <v>76</v>
      </c>
    </row>
    <row r="37" spans="2:8" hidden="1" x14ac:dyDescent="0.25">
      <c r="B37" s="97" t="s">
        <v>36</v>
      </c>
      <c r="C37" s="16" t="s">
        <v>51</v>
      </c>
      <c r="D37" s="21">
        <v>5</v>
      </c>
      <c r="F37" s="97" t="s">
        <v>36</v>
      </c>
      <c r="G37" s="16" t="s">
        <v>51</v>
      </c>
      <c r="H37" s="21">
        <v>5</v>
      </c>
    </row>
    <row r="38" spans="2:8" hidden="1" x14ac:dyDescent="0.25">
      <c r="B38" s="98"/>
      <c r="C38" s="16" t="s">
        <v>52</v>
      </c>
      <c r="D38" s="21">
        <v>0</v>
      </c>
      <c r="F38" s="98"/>
      <c r="G38" s="16" t="s">
        <v>52</v>
      </c>
      <c r="H38" s="21">
        <v>3</v>
      </c>
    </row>
    <row r="39" spans="2:8" hidden="1" x14ac:dyDescent="0.25">
      <c r="B39" s="98"/>
      <c r="C39" s="17" t="s">
        <v>75</v>
      </c>
      <c r="D39" s="21">
        <v>0</v>
      </c>
      <c r="F39" s="98"/>
      <c r="G39" s="17" t="s">
        <v>28</v>
      </c>
      <c r="H39" s="21">
        <v>0</v>
      </c>
    </row>
    <row r="40" spans="2:8" hidden="1" x14ac:dyDescent="0.25">
      <c r="B40" s="99"/>
      <c r="C40" s="20" t="s">
        <v>28</v>
      </c>
      <c r="D40" s="21">
        <v>-5</v>
      </c>
      <c r="F40" s="99"/>
      <c r="G40" s="19" t="s">
        <v>96</v>
      </c>
      <c r="H40" s="21" t="s">
        <v>96</v>
      </c>
    </row>
    <row r="41" spans="2:8" ht="14.45" hidden="1" customHeight="1" x14ac:dyDescent="0.25">
      <c r="B41" s="97" t="s">
        <v>60</v>
      </c>
      <c r="C41" s="17" t="s">
        <v>29</v>
      </c>
      <c r="D41" s="21">
        <v>0</v>
      </c>
      <c r="F41" s="97" t="s">
        <v>60</v>
      </c>
      <c r="G41" s="17" t="s">
        <v>29</v>
      </c>
      <c r="H41" s="21">
        <v>0</v>
      </c>
    </row>
    <row r="42" spans="2:8" hidden="1" x14ac:dyDescent="0.25">
      <c r="B42" s="98"/>
      <c r="C42" s="17" t="s">
        <v>69</v>
      </c>
      <c r="D42" s="21">
        <v>8</v>
      </c>
      <c r="F42" s="98"/>
      <c r="G42" s="17" t="s">
        <v>69</v>
      </c>
      <c r="H42" s="21">
        <v>8</v>
      </c>
    </row>
    <row r="43" spans="2:8" hidden="1" x14ac:dyDescent="0.25">
      <c r="B43" s="98"/>
      <c r="C43" s="17" t="s">
        <v>70</v>
      </c>
      <c r="D43" s="21">
        <v>10</v>
      </c>
      <c r="F43" s="98"/>
      <c r="G43" s="17" t="s">
        <v>70</v>
      </c>
      <c r="H43" s="21">
        <v>10</v>
      </c>
    </row>
    <row r="44" spans="2:8" hidden="1" x14ac:dyDescent="0.25">
      <c r="B44" s="98"/>
      <c r="C44" s="17" t="s">
        <v>71</v>
      </c>
      <c r="D44" s="21">
        <v>12</v>
      </c>
      <c r="F44" s="98"/>
      <c r="G44" s="17" t="s">
        <v>71</v>
      </c>
      <c r="H44" s="21">
        <v>12</v>
      </c>
    </row>
    <row r="45" spans="2:8" ht="30" hidden="1" x14ac:dyDescent="0.25">
      <c r="B45" s="98"/>
      <c r="C45" s="17" t="s">
        <v>72</v>
      </c>
      <c r="D45" s="21">
        <v>14</v>
      </c>
      <c r="F45" s="98"/>
      <c r="G45" s="17" t="s">
        <v>72</v>
      </c>
      <c r="H45" s="21">
        <v>14</v>
      </c>
    </row>
    <row r="46" spans="2:8" hidden="1" x14ac:dyDescent="0.25">
      <c r="B46" s="99"/>
      <c r="C46" s="17" t="s">
        <v>53</v>
      </c>
      <c r="D46" s="21">
        <v>16</v>
      </c>
      <c r="F46" s="99"/>
      <c r="G46" s="17" t="s">
        <v>53</v>
      </c>
      <c r="H46" s="21">
        <v>16</v>
      </c>
    </row>
    <row r="47" spans="2:8" hidden="1" x14ac:dyDescent="0.25">
      <c r="B47" s="97" t="s">
        <v>38</v>
      </c>
      <c r="C47" s="17" t="s">
        <v>46</v>
      </c>
      <c r="D47" s="21">
        <v>0</v>
      </c>
      <c r="F47" s="97" t="s">
        <v>38</v>
      </c>
      <c r="G47" s="17" t="s">
        <v>46</v>
      </c>
      <c r="H47" s="21">
        <v>0</v>
      </c>
    </row>
    <row r="48" spans="2:8" hidden="1" x14ac:dyDescent="0.25">
      <c r="B48" s="99"/>
      <c r="C48" s="18" t="s">
        <v>54</v>
      </c>
      <c r="D48" s="21">
        <v>1</v>
      </c>
      <c r="F48" s="99"/>
      <c r="G48" s="18" t="s">
        <v>54</v>
      </c>
      <c r="H48" s="21">
        <v>1</v>
      </c>
    </row>
    <row r="49" spans="2:8" hidden="1" x14ac:dyDescent="0.25">
      <c r="B49" s="100" t="s">
        <v>39</v>
      </c>
      <c r="C49" s="18" t="s">
        <v>30</v>
      </c>
      <c r="D49" s="21">
        <v>0</v>
      </c>
      <c r="F49" s="103" t="s">
        <v>39</v>
      </c>
      <c r="G49" s="18" t="s">
        <v>30</v>
      </c>
      <c r="H49" s="21">
        <v>0</v>
      </c>
    </row>
    <row r="50" spans="2:8" hidden="1" x14ac:dyDescent="0.25">
      <c r="B50" s="101"/>
      <c r="C50" s="18" t="s">
        <v>77</v>
      </c>
      <c r="D50" s="21">
        <v>2</v>
      </c>
      <c r="F50" s="104"/>
      <c r="G50" s="18" t="s">
        <v>55</v>
      </c>
      <c r="H50" s="21">
        <v>2</v>
      </c>
    </row>
    <row r="51" spans="2:8" hidden="1" x14ac:dyDescent="0.25">
      <c r="B51" s="102"/>
      <c r="C51" s="19" t="s">
        <v>96</v>
      </c>
      <c r="D51" s="19" t="s">
        <v>96</v>
      </c>
      <c r="F51" s="105"/>
      <c r="G51" s="18" t="s">
        <v>56</v>
      </c>
      <c r="H51" s="21">
        <v>4</v>
      </c>
    </row>
    <row r="52" spans="2:8" hidden="1" x14ac:dyDescent="0.25">
      <c r="B52" s="103" t="s">
        <v>40</v>
      </c>
      <c r="C52" s="18" t="s">
        <v>35</v>
      </c>
      <c r="D52" s="21">
        <v>0</v>
      </c>
      <c r="F52" s="103" t="s">
        <v>40</v>
      </c>
      <c r="G52" s="18" t="s">
        <v>35</v>
      </c>
      <c r="H52" s="21">
        <v>0</v>
      </c>
    </row>
    <row r="53" spans="2:8" hidden="1" x14ac:dyDescent="0.25">
      <c r="B53" s="105"/>
      <c r="C53" s="18" t="s">
        <v>73</v>
      </c>
      <c r="D53" s="21">
        <v>16</v>
      </c>
      <c r="F53" s="105"/>
      <c r="G53" s="18" t="s">
        <v>73</v>
      </c>
      <c r="H53" s="21">
        <v>16</v>
      </c>
    </row>
    <row r="54" spans="2:8" hidden="1" x14ac:dyDescent="0.25">
      <c r="B54" s="103" t="s">
        <v>43</v>
      </c>
      <c r="C54" s="18" t="s">
        <v>31</v>
      </c>
      <c r="D54" s="21">
        <v>1</v>
      </c>
      <c r="F54" s="103" t="s">
        <v>43</v>
      </c>
      <c r="G54" s="18" t="s">
        <v>31</v>
      </c>
      <c r="H54" s="21">
        <v>1</v>
      </c>
    </row>
    <row r="55" spans="2:8" hidden="1" x14ac:dyDescent="0.25">
      <c r="B55" s="105"/>
      <c r="C55" s="18" t="s">
        <v>74</v>
      </c>
      <c r="D55" s="21">
        <v>0</v>
      </c>
      <c r="F55" s="105"/>
      <c r="G55" s="18" t="s">
        <v>74</v>
      </c>
      <c r="H55" s="21">
        <v>0</v>
      </c>
    </row>
    <row r="56" spans="2:8" hidden="1" x14ac:dyDescent="0.25">
      <c r="B56" s="103" t="s">
        <v>61</v>
      </c>
      <c r="C56" s="18" t="s">
        <v>57</v>
      </c>
      <c r="D56" s="21">
        <v>0</v>
      </c>
      <c r="F56" s="103" t="s">
        <v>61</v>
      </c>
      <c r="G56" s="18" t="s">
        <v>57</v>
      </c>
      <c r="H56" s="21">
        <v>0</v>
      </c>
    </row>
    <row r="57" spans="2:8" hidden="1" x14ac:dyDescent="0.25">
      <c r="B57" s="104"/>
      <c r="C57" s="18" t="s">
        <v>78</v>
      </c>
      <c r="D57" s="21">
        <v>2</v>
      </c>
      <c r="F57" s="104"/>
      <c r="G57" s="18" t="s">
        <v>78</v>
      </c>
      <c r="H57" s="21">
        <v>2</v>
      </c>
    </row>
    <row r="58" spans="2:8" hidden="1" x14ac:dyDescent="0.25">
      <c r="B58" s="104"/>
      <c r="C58" s="18" t="s">
        <v>47</v>
      </c>
      <c r="D58" s="21">
        <v>3</v>
      </c>
      <c r="F58" s="104"/>
      <c r="G58" s="18" t="s">
        <v>47</v>
      </c>
      <c r="H58" s="21">
        <v>3</v>
      </c>
    </row>
    <row r="59" spans="2:8" hidden="1" x14ac:dyDescent="0.25">
      <c r="B59" s="105"/>
      <c r="C59" s="18" t="s">
        <v>79</v>
      </c>
      <c r="D59" s="21">
        <v>4</v>
      </c>
      <c r="F59" s="105"/>
      <c r="G59" s="18" t="s">
        <v>79</v>
      </c>
      <c r="H59" s="21">
        <v>4</v>
      </c>
    </row>
    <row r="60" spans="2:8" hidden="1" x14ac:dyDescent="0.25">
      <c r="B60" s="103" t="s">
        <v>27</v>
      </c>
      <c r="C60" s="18" t="s">
        <v>80</v>
      </c>
      <c r="D60" s="21">
        <v>0</v>
      </c>
      <c r="F60" s="103" t="s">
        <v>27</v>
      </c>
      <c r="G60" s="18" t="s">
        <v>80</v>
      </c>
      <c r="H60" s="21">
        <v>0</v>
      </c>
    </row>
    <row r="61" spans="2:8" hidden="1" x14ac:dyDescent="0.25">
      <c r="B61" s="104"/>
      <c r="C61" s="18" t="s">
        <v>48</v>
      </c>
      <c r="D61" s="21">
        <v>3</v>
      </c>
      <c r="F61" s="104"/>
      <c r="G61" s="18" t="s">
        <v>48</v>
      </c>
      <c r="H61" s="21">
        <v>6</v>
      </c>
    </row>
    <row r="62" spans="2:8" hidden="1" x14ac:dyDescent="0.25">
      <c r="B62" s="105"/>
      <c r="C62" s="18" t="s">
        <v>81</v>
      </c>
      <c r="D62" s="21">
        <v>5</v>
      </c>
      <c r="F62" s="105"/>
      <c r="G62" s="18" t="s">
        <v>81</v>
      </c>
      <c r="H62" s="21">
        <v>10</v>
      </c>
    </row>
    <row r="63" spans="2:8" hidden="1" x14ac:dyDescent="0.25">
      <c r="B63" s="103" t="s">
        <v>62</v>
      </c>
      <c r="C63" s="18" t="s">
        <v>33</v>
      </c>
      <c r="D63" s="21">
        <v>0</v>
      </c>
      <c r="F63" s="103" t="s">
        <v>62</v>
      </c>
      <c r="G63" s="18" t="s">
        <v>33</v>
      </c>
      <c r="H63" s="21">
        <v>0</v>
      </c>
    </row>
    <row r="64" spans="2:8" hidden="1" x14ac:dyDescent="0.25">
      <c r="B64" s="104"/>
      <c r="C64" s="18" t="s">
        <v>82</v>
      </c>
      <c r="D64" s="21">
        <v>0.5</v>
      </c>
      <c r="F64" s="104"/>
      <c r="G64" s="18" t="s">
        <v>82</v>
      </c>
      <c r="H64" s="21">
        <v>0.5</v>
      </c>
    </row>
    <row r="65" spans="2:8" hidden="1" x14ac:dyDescent="0.25">
      <c r="B65" s="104"/>
      <c r="C65" s="18" t="s">
        <v>83</v>
      </c>
      <c r="D65" s="21">
        <v>1</v>
      </c>
      <c r="F65" s="104"/>
      <c r="G65" s="18" t="s">
        <v>83</v>
      </c>
      <c r="H65" s="21">
        <v>1</v>
      </c>
    </row>
    <row r="66" spans="2:8" hidden="1" x14ac:dyDescent="0.25">
      <c r="B66" s="104"/>
      <c r="C66" s="18" t="s">
        <v>84</v>
      </c>
      <c r="D66" s="21">
        <v>1.5</v>
      </c>
      <c r="F66" s="104"/>
      <c r="G66" s="18" t="s">
        <v>84</v>
      </c>
      <c r="H66" s="21">
        <v>1.5</v>
      </c>
    </row>
    <row r="67" spans="2:8" hidden="1" x14ac:dyDescent="0.25">
      <c r="B67" s="104"/>
      <c r="C67" s="18" t="s">
        <v>85</v>
      </c>
      <c r="D67" s="21">
        <v>2</v>
      </c>
      <c r="F67" s="104"/>
      <c r="G67" s="18" t="s">
        <v>85</v>
      </c>
      <c r="H67" s="21">
        <v>2</v>
      </c>
    </row>
    <row r="68" spans="2:8" hidden="1" x14ac:dyDescent="0.25">
      <c r="B68" s="105"/>
      <c r="C68" s="18" t="s">
        <v>92</v>
      </c>
      <c r="D68" s="21">
        <v>4</v>
      </c>
      <c r="F68" s="105"/>
      <c r="G68" s="18" t="s">
        <v>92</v>
      </c>
      <c r="H68" s="21">
        <v>4</v>
      </c>
    </row>
    <row r="69" spans="2:8" hidden="1" x14ac:dyDescent="0.25">
      <c r="B69" s="103" t="s">
        <v>63</v>
      </c>
      <c r="C69" s="18" t="s">
        <v>34</v>
      </c>
      <c r="D69" s="21">
        <v>0</v>
      </c>
      <c r="F69" s="103" t="s">
        <v>63</v>
      </c>
      <c r="G69" s="18" t="s">
        <v>34</v>
      </c>
      <c r="H69" s="21">
        <v>0</v>
      </c>
    </row>
    <row r="70" spans="2:8" hidden="1" x14ac:dyDescent="0.25">
      <c r="B70" s="104"/>
      <c r="C70" s="18" t="s">
        <v>88</v>
      </c>
      <c r="D70" s="21">
        <v>0.5</v>
      </c>
      <c r="F70" s="104"/>
      <c r="G70" s="18" t="s">
        <v>93</v>
      </c>
      <c r="H70" s="21">
        <v>1</v>
      </c>
    </row>
    <row r="71" spans="2:8" hidden="1" x14ac:dyDescent="0.25">
      <c r="B71" s="104"/>
      <c r="C71" s="18" t="s">
        <v>89</v>
      </c>
      <c r="D71" s="21">
        <v>0.75</v>
      </c>
      <c r="F71" s="104"/>
      <c r="G71" s="18" t="s">
        <v>94</v>
      </c>
      <c r="H71" s="21">
        <v>2</v>
      </c>
    </row>
    <row r="72" spans="2:8" hidden="1" x14ac:dyDescent="0.25">
      <c r="B72" s="105"/>
      <c r="C72" s="18" t="s">
        <v>91</v>
      </c>
      <c r="D72" s="21">
        <v>1</v>
      </c>
      <c r="F72" s="104"/>
      <c r="G72" s="18" t="s">
        <v>86</v>
      </c>
      <c r="H72" s="21">
        <v>3</v>
      </c>
    </row>
    <row r="73" spans="2:8" hidden="1" x14ac:dyDescent="0.25">
      <c r="F73" s="104"/>
      <c r="G73" s="18" t="s">
        <v>87</v>
      </c>
      <c r="H73" s="21">
        <v>4</v>
      </c>
    </row>
    <row r="74" spans="2:8" hidden="1" x14ac:dyDescent="0.25">
      <c r="F74" s="105"/>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112" t="s">
        <v>250</v>
      </c>
      <c r="C38" s="114" t="s">
        <v>251</v>
      </c>
      <c r="D38" s="108" t="s">
        <v>255</v>
      </c>
      <c r="E38" s="106" t="s">
        <v>256</v>
      </c>
      <c r="F38" s="47"/>
    </row>
    <row r="39" spans="1:6" ht="15" hidden="1" x14ac:dyDescent="0.25">
      <c r="B39" s="113"/>
      <c r="C39" s="115"/>
      <c r="D39" s="109"/>
      <c r="E39" s="107"/>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2" t="s">
        <v>253</v>
      </c>
      <c r="C49" s="114" t="s">
        <v>254</v>
      </c>
      <c r="D49" s="108" t="s">
        <v>255</v>
      </c>
      <c r="E49" s="110" t="s">
        <v>256</v>
      </c>
    </row>
    <row r="50" spans="1:5" ht="15" hidden="1" x14ac:dyDescent="0.25">
      <c r="B50" s="113"/>
      <c r="C50" s="115"/>
      <c r="D50" s="109"/>
      <c r="E50" s="111"/>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abSelected="1" workbookViewId="0">
      <pane xSplit="1" topLeftCell="B1" activePane="topRight" state="frozen"/>
      <selection activeCell="D21" sqref="D21"/>
      <selection pane="topRight" activeCell="C3" sqref="C3:C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A2" sqref="A2"/>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hidden="1" customWidth="1"/>
    <col min="7" max="7" width="22" hidden="1" customWidth="1"/>
    <col min="8" max="8" width="26.7109375" hidden="1" customWidth="1"/>
    <col min="9" max="9" width="21.7109375" hidden="1"/>
    <col min="10" max="10" width="22" hidden="1"/>
    <col min="11" max="11" width="26.7109375" hidden="1"/>
    <col min="12" max="12" width="21.7109375" hidden="1"/>
    <col min="13" max="13" width="22" hidden="1"/>
    <col min="14" max="14" width="26.7109375" hidden="1"/>
    <col min="15" max="15" width="21.7109375" hidden="1"/>
    <col min="16" max="16" width="22" hidden="1"/>
    <col min="17" max="17" width="26.7109375" hidden="1"/>
    <col min="18" max="18" width="22.7109375" hidden="1"/>
    <col min="19" max="19" width="22" hidden="1"/>
    <col min="20" max="20" width="26.7109375" hidden="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335</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E34" sqref="E34"/>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271</v>
      </c>
      <c r="H1" s="71" t="s">
        <v>25</v>
      </c>
      <c r="I1" s="71" t="s">
        <v>275</v>
      </c>
      <c r="J1" s="71" t="s">
        <v>272</v>
      </c>
      <c r="K1" s="71" t="s">
        <v>258</v>
      </c>
    </row>
    <row r="2" spans="1:11" x14ac:dyDescent="0.25">
      <c r="A2" s="25">
        <v>2023</v>
      </c>
      <c r="B2" s="25" t="s">
        <v>315</v>
      </c>
      <c r="C2" s="25">
        <v>100</v>
      </c>
      <c r="D2" s="25">
        <v>2020</v>
      </c>
      <c r="E2" s="25">
        <v>5</v>
      </c>
      <c r="F2" s="25">
        <v>0.5</v>
      </c>
      <c r="G2" s="25">
        <v>0</v>
      </c>
      <c r="H2" s="25" t="s">
        <v>122</v>
      </c>
      <c r="I2" s="25"/>
      <c r="J2" s="25">
        <v>1</v>
      </c>
      <c r="K2" s="25"/>
    </row>
    <row r="3" spans="1:11" x14ac:dyDescent="0.25">
      <c r="A3" s="25">
        <v>2023</v>
      </c>
      <c r="B3" s="25" t="s">
        <v>315</v>
      </c>
      <c r="C3" s="25">
        <v>100</v>
      </c>
      <c r="D3" s="25">
        <v>2020</v>
      </c>
      <c r="E3" s="25">
        <v>5</v>
      </c>
      <c r="F3" s="25">
        <v>0.5</v>
      </c>
      <c r="G3" s="25">
        <v>0</v>
      </c>
      <c r="H3" s="25" t="s">
        <v>122</v>
      </c>
      <c r="I3" s="25"/>
      <c r="J3" s="25">
        <v>1</v>
      </c>
      <c r="K3" s="25"/>
    </row>
    <row r="4" spans="1:11" x14ac:dyDescent="0.25">
      <c r="A4" s="25">
        <v>2023</v>
      </c>
      <c r="B4" s="25" t="s">
        <v>315</v>
      </c>
      <c r="C4" s="25">
        <v>100</v>
      </c>
      <c r="D4" s="25"/>
      <c r="E4" s="25">
        <v>5</v>
      </c>
      <c r="F4" s="25">
        <v>0.5</v>
      </c>
      <c r="G4" s="25">
        <v>0</v>
      </c>
      <c r="H4" s="25" t="s">
        <v>122</v>
      </c>
      <c r="I4" s="25"/>
      <c r="J4" s="25">
        <v>1</v>
      </c>
      <c r="K4" s="25"/>
    </row>
    <row r="5" spans="1:11" x14ac:dyDescent="0.25">
      <c r="A5" s="25">
        <v>2023</v>
      </c>
      <c r="B5" s="25" t="s">
        <v>315</v>
      </c>
      <c r="C5" s="25">
        <v>100</v>
      </c>
      <c r="D5" s="25"/>
      <c r="E5" s="25">
        <v>5</v>
      </c>
      <c r="F5" s="25">
        <v>0.5</v>
      </c>
      <c r="G5" s="25">
        <v>0</v>
      </c>
      <c r="H5" s="25" t="s">
        <v>122</v>
      </c>
      <c r="I5" s="25"/>
      <c r="J5" s="25">
        <v>1</v>
      </c>
      <c r="K5" s="25"/>
    </row>
    <row r="6" spans="1:11" x14ac:dyDescent="0.25">
      <c r="A6" s="25">
        <v>2023</v>
      </c>
      <c r="B6" s="25" t="s">
        <v>315</v>
      </c>
      <c r="C6" s="25">
        <v>100</v>
      </c>
      <c r="D6" s="25"/>
      <c r="E6" s="25"/>
      <c r="F6" s="25"/>
      <c r="G6" s="25"/>
      <c r="H6" s="25"/>
      <c r="I6" s="25"/>
      <c r="J6" s="25"/>
      <c r="K6" s="25"/>
    </row>
    <row r="7" spans="1:11" x14ac:dyDescent="0.25">
      <c r="A7" s="25">
        <v>2023</v>
      </c>
      <c r="B7" s="25" t="s">
        <v>315</v>
      </c>
      <c r="C7" s="25">
        <v>100</v>
      </c>
      <c r="D7" s="25"/>
      <c r="E7" s="25"/>
      <c r="F7" s="25"/>
      <c r="G7" s="25"/>
      <c r="H7" s="25"/>
      <c r="I7" s="25"/>
      <c r="J7" s="25"/>
      <c r="K7" s="25"/>
    </row>
    <row r="8" spans="1:11" x14ac:dyDescent="0.25">
      <c r="A8" s="25">
        <v>2025</v>
      </c>
      <c r="B8" s="25" t="s">
        <v>316</v>
      </c>
      <c r="C8" s="25">
        <v>50</v>
      </c>
      <c r="D8" s="25"/>
      <c r="E8" s="25">
        <v>5</v>
      </c>
      <c r="F8" s="25">
        <v>0.5</v>
      </c>
      <c r="G8" s="25">
        <v>0</v>
      </c>
      <c r="H8" s="25" t="s">
        <v>122</v>
      </c>
      <c r="I8" s="25"/>
      <c r="J8" s="25">
        <v>1</v>
      </c>
      <c r="K8" s="25"/>
    </row>
    <row r="9" spans="1:11" x14ac:dyDescent="0.25">
      <c r="A9" s="25">
        <v>2025</v>
      </c>
      <c r="B9" s="25" t="s">
        <v>316</v>
      </c>
      <c r="C9" s="25">
        <v>50</v>
      </c>
      <c r="D9" s="25"/>
      <c r="E9" s="25">
        <v>5</v>
      </c>
      <c r="F9" s="25">
        <v>0.5</v>
      </c>
      <c r="G9" s="25">
        <v>0</v>
      </c>
      <c r="H9" s="25" t="s">
        <v>122</v>
      </c>
      <c r="I9" s="25"/>
      <c r="J9" s="25">
        <v>1</v>
      </c>
      <c r="K9" s="25"/>
    </row>
    <row r="10" spans="1:11" x14ac:dyDescent="0.25">
      <c r="A10" s="25">
        <v>2025</v>
      </c>
      <c r="B10" s="25" t="s">
        <v>316</v>
      </c>
      <c r="C10" s="25">
        <v>50</v>
      </c>
      <c r="D10" s="25"/>
      <c r="E10" s="25">
        <v>5</v>
      </c>
      <c r="F10" s="25">
        <v>0.5</v>
      </c>
      <c r="G10" s="25">
        <v>0</v>
      </c>
      <c r="H10" s="25" t="s">
        <v>122</v>
      </c>
      <c r="I10" s="25"/>
      <c r="J10" s="25">
        <v>1</v>
      </c>
      <c r="K10" s="25"/>
    </row>
    <row r="11" spans="1:11" x14ac:dyDescent="0.25">
      <c r="A11" s="25">
        <v>2025</v>
      </c>
      <c r="B11" s="25" t="s">
        <v>316</v>
      </c>
      <c r="C11" s="25">
        <v>50</v>
      </c>
      <c r="D11" s="25"/>
      <c r="E11" s="25">
        <v>5</v>
      </c>
      <c r="F11" s="25">
        <v>0.5</v>
      </c>
      <c r="G11" s="25">
        <v>0</v>
      </c>
      <c r="H11" s="25" t="s">
        <v>122</v>
      </c>
      <c r="I11" s="25"/>
      <c r="J11" s="25">
        <v>1</v>
      </c>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275</v>
      </c>
      <c r="E1" s="71" t="s">
        <v>272</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276</v>
      </c>
      <c r="D1" s="71" t="s">
        <v>277</v>
      </c>
      <c r="E1" s="71" t="s">
        <v>278</v>
      </c>
      <c r="F1" s="71" t="s">
        <v>275</v>
      </c>
      <c r="G1" s="71" t="s">
        <v>272</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275</v>
      </c>
      <c r="E1" s="71" t="s">
        <v>272</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19"/>
  <sheetViews>
    <sheetView showGridLines="0" showRowColHeaders="0" zoomScale="130" zoomScaleNormal="13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348</v>
      </c>
      <c r="M1" s="9" t="s">
        <v>351</v>
      </c>
    </row>
    <row r="2" spans="1:16" x14ac:dyDescent="0.25">
      <c r="B2" t="s">
        <v>213</v>
      </c>
      <c r="D2" s="29" t="s">
        <v>349</v>
      </c>
      <c r="E2" s="75" t="s">
        <v>350</v>
      </c>
      <c r="F2" s="78">
        <v>0.15</v>
      </c>
      <c r="N2" t="str">
        <f>CONCATENATE(D2," ","Result")</f>
        <v>IRR Result</v>
      </c>
      <c r="P2" s="76"/>
    </row>
    <row r="3" spans="1:16" x14ac:dyDescent="0.25"/>
    <row r="4" spans="1:16" x14ac:dyDescent="0.25">
      <c r="A4" s="9" t="s">
        <v>336</v>
      </c>
      <c r="D4" s="73" t="s">
        <v>342</v>
      </c>
      <c r="E4" s="73" t="s">
        <v>343</v>
      </c>
      <c r="F4" s="74" t="s">
        <v>345</v>
      </c>
      <c r="G4" s="74" t="s">
        <v>344</v>
      </c>
      <c r="H4" s="74" t="s">
        <v>346</v>
      </c>
      <c r="J4" s="25">
        <v>0</v>
      </c>
      <c r="M4" s="9" t="s">
        <v>352</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337</v>
      </c>
      <c r="D10" s="29"/>
      <c r="E10" s="72"/>
      <c r="F10" s="77">
        <f>'Cost Recovery Config'!C28</f>
        <v>1</v>
      </c>
      <c r="G10" s="29"/>
      <c r="H10" s="29"/>
      <c r="N10" t="s">
        <v>337</v>
      </c>
      <c r="P10" s="76"/>
    </row>
    <row r="11" spans="1:16" x14ac:dyDescent="0.25">
      <c r="B11" t="s">
        <v>338</v>
      </c>
      <c r="D11" s="29"/>
      <c r="E11" s="72"/>
      <c r="F11" s="77">
        <f>'Gross Split Config'!C30</f>
        <v>1</v>
      </c>
      <c r="G11" s="29"/>
      <c r="H11" s="29"/>
      <c r="N11" t="s">
        <v>338</v>
      </c>
      <c r="P11" s="76"/>
    </row>
    <row r="12" spans="1:16" x14ac:dyDescent="0.25">
      <c r="B12" t="s">
        <v>273</v>
      </c>
      <c r="D12" s="29"/>
      <c r="E12" s="72"/>
      <c r="F12" s="77">
        <f>'General Config'!C18</f>
        <v>0</v>
      </c>
      <c r="G12" s="29"/>
      <c r="H12" s="29"/>
      <c r="N12" t="s">
        <v>273</v>
      </c>
      <c r="P12" s="76"/>
    </row>
    <row r="13" spans="1:16" x14ac:dyDescent="0.25">
      <c r="B13" t="s">
        <v>339</v>
      </c>
      <c r="D13" s="29"/>
      <c r="E13" s="72"/>
      <c r="F13" s="77">
        <f>'Fiscal Config'!C3</f>
        <v>0.44</v>
      </c>
      <c r="G13" s="29"/>
      <c r="H13" s="29"/>
      <c r="N13" t="s">
        <v>339</v>
      </c>
      <c r="P13" s="76"/>
    </row>
    <row r="15" spans="1:16" hidden="1" x14ac:dyDescent="0.25">
      <c r="A15" s="9" t="s">
        <v>340</v>
      </c>
      <c r="D15" s="73" t="s">
        <v>342</v>
      </c>
      <c r="E15" s="73" t="s">
        <v>343</v>
      </c>
      <c r="F15" s="74" t="s">
        <v>345</v>
      </c>
      <c r="G15" s="73" t="s">
        <v>344</v>
      </c>
      <c r="H15" s="73" t="s">
        <v>346</v>
      </c>
      <c r="J15" s="72">
        <v>0</v>
      </c>
      <c r="M15" s="9" t="s">
        <v>353</v>
      </c>
    </row>
    <row r="16" spans="1:16" hidden="1" x14ac:dyDescent="0.25">
      <c r="B16" t="s">
        <v>341</v>
      </c>
      <c r="D16" s="29"/>
      <c r="F16" s="77">
        <f>'Gross Split Config'!C13</f>
        <v>0.08</v>
      </c>
      <c r="G16" s="29"/>
      <c r="H16" s="29"/>
      <c r="N16" t="s">
        <v>341</v>
      </c>
      <c r="P16" s="76"/>
    </row>
    <row r="17" spans="2:16" hidden="1" x14ac:dyDescent="0.25">
      <c r="B17" t="s">
        <v>273</v>
      </c>
      <c r="D17" s="29"/>
      <c r="F17" s="77">
        <f>'General Config'!C18</f>
        <v>0</v>
      </c>
      <c r="G17" s="29"/>
      <c r="H17" s="29"/>
      <c r="N17" t="s">
        <v>273</v>
      </c>
      <c r="P17" s="76"/>
    </row>
    <row r="18" spans="2:16" hidden="1" x14ac:dyDescent="0.25">
      <c r="B18" t="s">
        <v>339</v>
      </c>
      <c r="D18" s="29"/>
      <c r="F18" s="77" t="s">
        <v>354</v>
      </c>
      <c r="G18" s="29"/>
      <c r="H18" s="29"/>
      <c r="N18" t="s">
        <v>339</v>
      </c>
      <c r="P18" s="76"/>
    </row>
    <row r="19"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18</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19</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19</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19</xdr:row>
                    <xdr:rowOff>0</xdr:rowOff>
                  </to>
                </anchor>
              </controlPr>
            </control>
          </mc:Choice>
        </mc:AlternateContent>
        <mc:AlternateContent xmlns:mc="http://schemas.openxmlformats.org/markup-compatibility/2006">
          <mc:Choice Requires="x14">
            <control shapeId="306196" r:id="rId15" name="Check Box 20">
              <controlPr defaultSize="0" autoFill="0" autoLine="0" autoPict="0" macro="[0]!ThisWorkbook.ResetPriorityMinestrial">
                <anchor moveWithCells="1">
                  <from>
                    <xdr:col>3</xdr:col>
                    <xdr:colOff>219075</xdr:colOff>
                    <xdr:row>12</xdr:row>
                    <xdr:rowOff>152400</xdr:rowOff>
                  </from>
                  <to>
                    <xdr:col>3</xdr:col>
                    <xdr:colOff>438150</xdr:colOff>
                    <xdr:row>19</xdr:row>
                    <xdr:rowOff>0</xdr:rowOff>
                  </to>
                </anchor>
              </controlPr>
            </control>
          </mc:Choice>
        </mc:AlternateContent>
        <mc:AlternateContent xmlns:mc="http://schemas.openxmlformats.org/markup-compatibility/2006">
          <mc:Choice Requires="x14">
            <control shapeId="306197" r:id="rId16" name="Check Box 21">
              <controlPr defaultSize="0" autoFill="0" autoLine="0" autoPict="0" macro="[0]!ThisWorkbook.ResetPriorityVATDiscGS">
                <anchor moveWithCells="1">
                  <from>
                    <xdr:col>3</xdr:col>
                    <xdr:colOff>219075</xdr:colOff>
                    <xdr:row>12</xdr:row>
                    <xdr:rowOff>152400</xdr:rowOff>
                  </from>
                  <to>
                    <xdr:col>3</xdr:col>
                    <xdr:colOff>438150</xdr:colOff>
                    <xdr:row>19</xdr:row>
                    <xdr:rowOff>0</xdr:rowOff>
                  </to>
                </anchor>
              </controlPr>
            </control>
          </mc:Choice>
        </mc:AlternateContent>
        <mc:AlternateContent xmlns:mc="http://schemas.openxmlformats.org/markup-compatibility/2006">
          <mc:Choice Requires="x14">
            <control shapeId="306198" r:id="rId17" name="Check Box 22">
              <controlPr defaultSize="0" autoFill="0" autoLine="0" autoPict="0" macro="[0]!ThisWorkbook.ResetPriorityeFffectiveTaxGS">
                <anchor moveWithCells="1">
                  <from>
                    <xdr:col>3</xdr:col>
                    <xdr:colOff>219075</xdr:colOff>
                    <xdr:row>12</xdr:row>
                    <xdr:rowOff>142875</xdr:rowOff>
                  </from>
                  <to>
                    <xdr:col>3</xdr:col>
                    <xdr:colOff>438150</xdr:colOff>
                    <xdr:row>19</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D17" sqref="D17"/>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355</v>
      </c>
      <c r="F1" s="9" t="s">
        <v>359</v>
      </c>
    </row>
    <row r="2" spans="1:14" x14ac:dyDescent="0.25">
      <c r="B2" t="s">
        <v>356</v>
      </c>
      <c r="C2" s="29"/>
      <c r="G2" s="9" t="s">
        <v>360</v>
      </c>
    </row>
    <row r="3" spans="1:14" x14ac:dyDescent="0.25">
      <c r="B3" t="s">
        <v>357</v>
      </c>
      <c r="C3" s="29"/>
      <c r="G3" s="80"/>
      <c r="H3" s="80"/>
      <c r="I3" s="80"/>
      <c r="J3" s="80"/>
      <c r="K3" s="80"/>
      <c r="L3" s="80"/>
      <c r="M3" s="80"/>
      <c r="N3" s="80"/>
    </row>
    <row r="4" spans="1:14" x14ac:dyDescent="0.25">
      <c r="B4" t="s">
        <v>358</v>
      </c>
      <c r="C4" s="79"/>
      <c r="G4" s="80"/>
      <c r="H4" s="80"/>
      <c r="I4" s="80"/>
      <c r="J4" s="80"/>
      <c r="K4" s="80"/>
      <c r="L4" s="80"/>
      <c r="M4" s="80"/>
      <c r="N4" s="80"/>
    </row>
    <row r="5" spans="1:14" x14ac:dyDescent="0.25">
      <c r="G5" s="80"/>
      <c r="H5" s="80"/>
      <c r="I5" s="80"/>
      <c r="J5" s="80"/>
      <c r="K5" s="80"/>
      <c r="L5" s="80"/>
      <c r="M5" s="80"/>
      <c r="N5" s="80"/>
    </row>
    <row r="6" spans="1:14" x14ac:dyDescent="0.25">
      <c r="G6" s="80"/>
      <c r="H6" s="80"/>
      <c r="I6" s="80"/>
      <c r="J6" s="80"/>
      <c r="K6" s="80"/>
      <c r="L6" s="80"/>
      <c r="M6" s="80"/>
      <c r="N6" s="80"/>
    </row>
    <row r="7" spans="1:14" x14ac:dyDescent="0.25">
      <c r="G7" s="80"/>
      <c r="H7" s="80"/>
      <c r="I7" s="80"/>
      <c r="J7" s="80"/>
      <c r="K7" s="80"/>
      <c r="L7" s="80"/>
      <c r="M7" s="80"/>
      <c r="N7" s="80"/>
    </row>
    <row r="8" spans="1:14" x14ac:dyDescent="0.25">
      <c r="G8" s="80"/>
      <c r="H8" s="80"/>
      <c r="I8" s="80"/>
      <c r="J8" s="80"/>
      <c r="K8" s="80"/>
      <c r="L8" s="80"/>
      <c r="M8" s="80"/>
      <c r="N8" s="80"/>
    </row>
    <row r="9" spans="1:14" x14ac:dyDescent="0.25">
      <c r="G9" s="80"/>
      <c r="H9" s="80"/>
      <c r="I9" s="80"/>
      <c r="J9" s="80"/>
      <c r="K9" s="80"/>
      <c r="L9" s="80"/>
      <c r="M9" s="80"/>
      <c r="N9" s="80"/>
    </row>
    <row r="10" spans="1:14" x14ac:dyDescent="0.25">
      <c r="G10" s="80"/>
      <c r="H10" s="80"/>
      <c r="I10" s="80"/>
      <c r="J10" s="80"/>
      <c r="K10" s="80"/>
      <c r="L10" s="80"/>
      <c r="M10" s="80"/>
      <c r="N10" s="80"/>
    </row>
    <row r="11" spans="1:14" x14ac:dyDescent="0.25">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349</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361</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333</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312</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66"/>
  <sheetViews>
    <sheetView showGridLines="0" showRowColHeaders="0" workbookViewId="0">
      <selection activeCell="O26" sqref="O26"/>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315</v>
      </c>
    </row>
    <row r="4" spans="2:32" x14ac:dyDescent="0.25">
      <c r="B4" s="69" t="s">
        <v>0</v>
      </c>
      <c r="C4" s="69" t="s">
        <v>287</v>
      </c>
      <c r="D4" s="69" t="s">
        <v>288</v>
      </c>
      <c r="E4" s="69" t="s">
        <v>289</v>
      </c>
      <c r="F4" s="69" t="s">
        <v>290</v>
      </c>
      <c r="G4" s="69" t="s">
        <v>230</v>
      </c>
      <c r="H4" s="69" t="s">
        <v>231</v>
      </c>
      <c r="I4" s="69" t="s">
        <v>291</v>
      </c>
      <c r="J4" s="69" t="s">
        <v>292</v>
      </c>
      <c r="K4" s="69" t="s">
        <v>293</v>
      </c>
      <c r="L4" s="69" t="s">
        <v>294</v>
      </c>
      <c r="M4" s="69" t="s">
        <v>295</v>
      </c>
      <c r="N4" s="69" t="s">
        <v>296</v>
      </c>
      <c r="O4" s="69" t="s">
        <v>297</v>
      </c>
      <c r="P4" s="69" t="s">
        <v>298</v>
      </c>
      <c r="Q4" s="69" t="s">
        <v>299</v>
      </c>
      <c r="R4" s="69" t="s">
        <v>303</v>
      </c>
      <c r="S4" s="69" t="s">
        <v>301</v>
      </c>
      <c r="T4" s="69" t="s">
        <v>300</v>
      </c>
      <c r="U4" s="69" t="s">
        <v>302</v>
      </c>
      <c r="V4" s="69" t="s">
        <v>304</v>
      </c>
      <c r="W4" s="69" t="s">
        <v>305</v>
      </c>
      <c r="X4" s="69" t="s">
        <v>306</v>
      </c>
      <c r="Y4" s="69" t="s">
        <v>307</v>
      </c>
      <c r="Z4" s="69" t="s">
        <v>308</v>
      </c>
      <c r="AA4" s="69" t="s">
        <v>309</v>
      </c>
      <c r="AB4" s="69" t="s">
        <v>310</v>
      </c>
      <c r="AC4" s="69" t="s">
        <v>311</v>
      </c>
      <c r="AD4" s="69" t="s">
        <v>312</v>
      </c>
      <c r="AE4" s="69" t="s">
        <v>313</v>
      </c>
      <c r="AF4" s="69" t="s">
        <v>314</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316</v>
      </c>
    </row>
    <row r="26" spans="2:32" x14ac:dyDescent="0.25">
      <c r="B26" s="70" t="s">
        <v>0</v>
      </c>
      <c r="C26" s="70" t="s">
        <v>287</v>
      </c>
      <c r="D26" s="70" t="s">
        <v>288</v>
      </c>
      <c r="E26" s="70" t="s">
        <v>289</v>
      </c>
      <c r="F26" s="70" t="s">
        <v>290</v>
      </c>
      <c r="G26" s="70" t="s">
        <v>230</v>
      </c>
      <c r="H26" s="70" t="s">
        <v>231</v>
      </c>
      <c r="I26" s="70" t="s">
        <v>291</v>
      </c>
      <c r="J26" s="70" t="s">
        <v>292</v>
      </c>
      <c r="K26" s="70" t="s">
        <v>293</v>
      </c>
      <c r="L26" s="70" t="s">
        <v>294</v>
      </c>
      <c r="M26" s="70" t="s">
        <v>295</v>
      </c>
      <c r="N26" s="70" t="s">
        <v>296</v>
      </c>
      <c r="O26" s="70" t="s">
        <v>297</v>
      </c>
      <c r="P26" s="70" t="s">
        <v>298</v>
      </c>
      <c r="Q26" s="70" t="s">
        <v>299</v>
      </c>
      <c r="R26" s="70" t="s">
        <v>303</v>
      </c>
      <c r="S26" s="70" t="s">
        <v>317</v>
      </c>
      <c r="T26" s="70" t="s">
        <v>300</v>
      </c>
      <c r="U26" s="70" t="s">
        <v>302</v>
      </c>
      <c r="V26" s="70" t="s">
        <v>304</v>
      </c>
      <c r="W26" s="70" t="s">
        <v>305</v>
      </c>
      <c r="X26" s="70" t="s">
        <v>306</v>
      </c>
      <c r="Y26" s="70" t="s">
        <v>307</v>
      </c>
      <c r="Z26" s="70" t="s">
        <v>308</v>
      </c>
      <c r="AA26" s="70" t="s">
        <v>309</v>
      </c>
      <c r="AB26" s="70" t="s">
        <v>310</v>
      </c>
      <c r="AC26" s="70" t="s">
        <v>311</v>
      </c>
      <c r="AD26" s="70" t="s">
        <v>312</v>
      </c>
      <c r="AE26" s="70" t="s">
        <v>313</v>
      </c>
      <c r="AF26" s="70" t="s">
        <v>314</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318</v>
      </c>
    </row>
    <row r="48" spans="2:32" x14ac:dyDescent="0.25">
      <c r="B48" s="66" t="s">
        <v>0</v>
      </c>
      <c r="C48" s="66" t="s">
        <v>287</v>
      </c>
      <c r="D48" s="66" t="s">
        <v>288</v>
      </c>
      <c r="E48" s="66" t="s">
        <v>289</v>
      </c>
      <c r="F48" s="66" t="s">
        <v>290</v>
      </c>
      <c r="G48" s="66" t="s">
        <v>230</v>
      </c>
      <c r="H48" s="66" t="s">
        <v>231</v>
      </c>
      <c r="I48" s="66" t="s">
        <v>291</v>
      </c>
      <c r="J48" s="66" t="s">
        <v>292</v>
      </c>
      <c r="K48" s="66" t="s">
        <v>293</v>
      </c>
      <c r="L48" s="66" t="s">
        <v>294</v>
      </c>
      <c r="M48" s="66" t="s">
        <v>295</v>
      </c>
      <c r="N48" s="66" t="s">
        <v>296</v>
      </c>
      <c r="O48" s="66" t="s">
        <v>297</v>
      </c>
      <c r="P48" s="66" t="s">
        <v>298</v>
      </c>
      <c r="Q48" s="66" t="s">
        <v>299</v>
      </c>
      <c r="R48" s="66" t="s">
        <v>303</v>
      </c>
      <c r="S48" s="66" t="s">
        <v>317</v>
      </c>
      <c r="T48" s="66" t="s">
        <v>300</v>
      </c>
      <c r="U48" s="66" t="s">
        <v>302</v>
      </c>
      <c r="V48" s="66" t="s">
        <v>304</v>
      </c>
      <c r="W48" s="66" t="s">
        <v>305</v>
      </c>
      <c r="X48" s="66" t="s">
        <v>306</v>
      </c>
      <c r="Y48" s="66" t="s">
        <v>307</v>
      </c>
      <c r="Z48" s="66" t="s">
        <v>308</v>
      </c>
      <c r="AA48" s="66" t="s">
        <v>309</v>
      </c>
      <c r="AB48" s="66" t="s">
        <v>310</v>
      </c>
      <c r="AC48" s="66" t="s">
        <v>311</v>
      </c>
      <c r="AD48" s="66" t="s">
        <v>312</v>
      </c>
      <c r="AE48" s="66" t="s">
        <v>313</v>
      </c>
      <c r="AF48" s="66" t="s">
        <v>314</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315</v>
      </c>
    </row>
    <row r="4" spans="2:28" x14ac:dyDescent="0.25">
      <c r="B4" s="69" t="s">
        <v>0</v>
      </c>
      <c r="C4" s="69" t="s">
        <v>287</v>
      </c>
      <c r="D4" s="69" t="s">
        <v>288</v>
      </c>
      <c r="E4" s="69" t="s">
        <v>289</v>
      </c>
      <c r="F4" s="69" t="s">
        <v>319</v>
      </c>
      <c r="G4" s="69" t="s">
        <v>320</v>
      </c>
      <c r="H4" s="69" t="s">
        <v>321</v>
      </c>
      <c r="I4" s="69" t="s">
        <v>322</v>
      </c>
      <c r="J4" s="69" t="s">
        <v>306</v>
      </c>
      <c r="K4" s="69" t="s">
        <v>307</v>
      </c>
      <c r="L4" s="69" t="s">
        <v>291</v>
      </c>
      <c r="M4" s="69" t="s">
        <v>323</v>
      </c>
      <c r="N4" s="69" t="s">
        <v>324</v>
      </c>
      <c r="O4" s="69" t="s">
        <v>325</v>
      </c>
      <c r="P4" s="69" t="s">
        <v>326</v>
      </c>
      <c r="Q4" s="69" t="s">
        <v>232</v>
      </c>
      <c r="R4" s="69" t="s">
        <v>328</v>
      </c>
      <c r="S4" s="69" t="s">
        <v>327</v>
      </c>
      <c r="T4" s="69" t="s">
        <v>329</v>
      </c>
      <c r="U4" s="69" t="s">
        <v>330</v>
      </c>
      <c r="V4" s="69" t="s">
        <v>308</v>
      </c>
      <c r="W4" s="69" t="s">
        <v>309</v>
      </c>
      <c r="X4" s="69" t="s">
        <v>311</v>
      </c>
      <c r="Y4" s="69" t="s">
        <v>246</v>
      </c>
      <c r="Z4" s="69" t="s">
        <v>331</v>
      </c>
      <c r="AA4" s="69" t="s">
        <v>332</v>
      </c>
      <c r="AB4" s="69" t="s">
        <v>333</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316</v>
      </c>
    </row>
    <row r="26" spans="2:28" x14ac:dyDescent="0.25">
      <c r="B26" s="70" t="s">
        <v>0</v>
      </c>
      <c r="C26" s="70" t="s">
        <v>287</v>
      </c>
      <c r="D26" s="70" t="s">
        <v>288</v>
      </c>
      <c r="E26" s="70" t="s">
        <v>289</v>
      </c>
      <c r="F26" s="70" t="s">
        <v>319</v>
      </c>
      <c r="G26" s="70" t="s">
        <v>320</v>
      </c>
      <c r="H26" s="70" t="s">
        <v>321</v>
      </c>
      <c r="I26" s="70" t="s">
        <v>322</v>
      </c>
      <c r="J26" s="70" t="s">
        <v>306</v>
      </c>
      <c r="K26" s="70" t="s">
        <v>307</v>
      </c>
      <c r="L26" s="70" t="s">
        <v>291</v>
      </c>
      <c r="M26" s="70" t="s">
        <v>323</v>
      </c>
      <c r="N26" s="70" t="s">
        <v>324</v>
      </c>
      <c r="O26" s="70" t="s">
        <v>325</v>
      </c>
      <c r="P26" s="70" t="s">
        <v>326</v>
      </c>
      <c r="Q26" s="70" t="s">
        <v>232</v>
      </c>
      <c r="R26" s="70" t="s">
        <v>317</v>
      </c>
      <c r="S26" s="70" t="s">
        <v>327</v>
      </c>
      <c r="T26" s="70" t="s">
        <v>329</v>
      </c>
      <c r="U26" s="70" t="s">
        <v>330</v>
      </c>
      <c r="V26" s="70" t="s">
        <v>308</v>
      </c>
      <c r="W26" s="70" t="s">
        <v>309</v>
      </c>
      <c r="X26" s="70" t="s">
        <v>311</v>
      </c>
      <c r="Y26" s="70" t="s">
        <v>246</v>
      </c>
      <c r="Z26" s="70" t="s">
        <v>331</v>
      </c>
      <c r="AA26" s="70" t="s">
        <v>332</v>
      </c>
      <c r="AB26" s="70" t="s">
        <v>333</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318</v>
      </c>
    </row>
    <row r="48" spans="2:28" x14ac:dyDescent="0.25">
      <c r="B48" s="66" t="s">
        <v>0</v>
      </c>
      <c r="C48" s="66" t="s">
        <v>287</v>
      </c>
      <c r="D48" s="66" t="s">
        <v>288</v>
      </c>
      <c r="E48" s="66" t="s">
        <v>289</v>
      </c>
      <c r="F48" s="66" t="s">
        <v>319</v>
      </c>
      <c r="G48" s="66" t="s">
        <v>320</v>
      </c>
      <c r="H48" s="66" t="s">
        <v>321</v>
      </c>
      <c r="I48" s="66" t="s">
        <v>322</v>
      </c>
      <c r="J48" s="66" t="s">
        <v>306</v>
      </c>
      <c r="K48" s="66" t="s">
        <v>307</v>
      </c>
      <c r="L48" s="66" t="s">
        <v>291</v>
      </c>
      <c r="M48" s="66" t="s">
        <v>323</v>
      </c>
      <c r="N48" s="66" t="s">
        <v>324</v>
      </c>
      <c r="O48" s="66" t="s">
        <v>325</v>
      </c>
      <c r="P48" s="66" t="s">
        <v>326</v>
      </c>
      <c r="Q48" s="66" t="s">
        <v>232</v>
      </c>
      <c r="R48" s="66" t="s">
        <v>317</v>
      </c>
      <c r="S48" s="66" t="s">
        <v>327</v>
      </c>
      <c r="T48" s="66" t="s">
        <v>329</v>
      </c>
      <c r="U48" s="66" t="s">
        <v>330</v>
      </c>
      <c r="V48" s="66" t="s">
        <v>308</v>
      </c>
      <c r="W48" s="66" t="s">
        <v>309</v>
      </c>
      <c r="X48" s="66" t="s">
        <v>311</v>
      </c>
      <c r="Y48" s="66" t="s">
        <v>246</v>
      </c>
      <c r="Z48" s="66" t="s">
        <v>331</v>
      </c>
      <c r="AA48" s="66" t="s">
        <v>332</v>
      </c>
      <c r="AB48" s="66" t="s">
        <v>333</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Cover</vt:lpstr>
      <vt:lpstr>UserGuide</vt:lpstr>
      <vt:lpstr>Result</vt:lpstr>
      <vt:lpstr>General Config</vt:lpstr>
      <vt:lpstr>Fiscal Config</vt:lpstr>
      <vt:lpstr>Gross Split Config (2)</vt:lpstr>
      <vt:lpstr>Cost Recovery Config</vt:lpstr>
      <vt:lpstr>Gross Split Config</vt:lpstr>
      <vt:lpstr>Cost Recovery Config (2)</vt:lpstr>
      <vt:lpstr>Prod Oil</vt:lpstr>
      <vt:lpstr>Prod Gas</vt:lpstr>
      <vt:lpstr>Prod LPG Propane</vt:lpstr>
      <vt:lpstr>Prod LPG Butane</vt:lpstr>
      <vt:lpstr>Prod CO2</vt:lpstr>
      <vt:lpstr>Prod Sulfur</vt:lpstr>
      <vt:lpstr>Prod Electricity</vt:lpstr>
      <vt:lpstr>Cost Tangible</vt:lpstr>
      <vt:lpstr>Cost Intangible</vt:lpstr>
      <vt:lpstr>Cost OPEX</vt:lpstr>
      <vt:lpstr>Cost ASR</vt:lpstr>
      <vt:lpstr>Optimization</vt:lpstr>
      <vt:lpstr>Sensitivity</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2023-11-18T10:31:58Z</dcterms:modified>
</cp:coreProperties>
</file>