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3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5.xml" ContentType="application/vnd.openxmlformats-officedocument.drawing+xml"/>
  <Override PartName="/xl/ctrlProps/ctrlProp33.xml" ContentType="application/vnd.ms-excel.controlproperties+xml"/>
  <Override PartName="/xl/drawings/drawing6.xml" ContentType="application/vnd.openxmlformats-officedocument.drawing+xml"/>
  <Override PartName="/xl/ctrlProps/ctrlProp3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0C5B3A66-E313-410A-B0F4-158D7AF01435}" xr6:coauthVersionLast="47" xr6:coauthVersionMax="47" xr10:uidLastSave="{00000000-0000-0000-0000-000000000000}"/>
  <bookViews>
    <workbookView xWindow="28695" yWindow="0" windowWidth="19410" windowHeight="15585" tabRatio="912" firstSheet="3" activeTab="20" xr2:uid="{F41B6BF2-4712-40A6-B007-CDDECCED21AA}"/>
  </bookViews>
  <sheets>
    <sheet name="Cover" sheetId="19" state="hidden" r:id="rId1"/>
    <sheet name="UserGuide" sheetId="8" state="hidden" r:id="rId2"/>
    <sheet name="Summary" sheetId="18" state="hidden" r:id="rId3"/>
    <sheet name="General Config" sheetId="4" r:id="rId4"/>
    <sheet name="Optimization" sheetId="375" r:id="rId5"/>
    <sheet name="Prod Electricity (2)" sheetId="380" state="hidden" r:id="rId6"/>
    <sheet name="Monte Carlo" sheetId="378" state="hidden" r:id="rId7"/>
    <sheet name="Prod Gas (2)" sheetId="379" state="hidden" r:id="rId8"/>
    <sheet name="Uncertainity" sheetId="377" r:id="rId9"/>
    <sheet name="Result Table GS" sheetId="347" state="hidden" r:id="rId10"/>
    <sheet name="Result Table CR" sheetId="346" r:id="rId11"/>
    <sheet name="Fiscal Config" sheetId="345" state="hidden" r:id="rId12"/>
    <sheet name="Prod Oil" sheetId="54" state="hidden" r:id="rId13"/>
    <sheet name="Prod Gas" sheetId="5" state="hidden" r:id="rId14"/>
    <sheet name="Prod LPG Propane" sheetId="6" state="hidden" r:id="rId15"/>
    <sheet name="Prod LPG Butane" sheetId="7" state="hidden" r:id="rId16"/>
    <sheet name="Prod CO2" sheetId="10" state="hidden" r:id="rId17"/>
    <sheet name="Prod Sulfur" sheetId="9" state="hidden" r:id="rId18"/>
    <sheet name="Prod Electricity" sheetId="353" state="hidden" r:id="rId19"/>
    <sheet name="Gross Split Config (2)" sheetId="103" state="hidden" r:id="rId20"/>
    <sheet name="Cost Recovery Config" sheetId="16" r:id="rId21"/>
    <sheet name="Gross Split Config" sheetId="15" state="hidden" r:id="rId22"/>
    <sheet name="Cost Recovery Config (2)" sheetId="343" state="hidden" r:id="rId23"/>
    <sheet name="Cost Tangible" sheetId="72" state="hidden" r:id="rId24"/>
    <sheet name="Cost Intangible" sheetId="73" state="hidden" r:id="rId25"/>
    <sheet name="Cost OPEX" sheetId="74" state="hidden" r:id="rId26"/>
    <sheet name="Cost ASR" sheetId="75" state="hidden" r:id="rId27"/>
    <sheet name="Sensitivity" sheetId="376" r:id="rId28"/>
  </sheets>
  <functionGroups builtInGroupCount="19"/>
  <externalReferences>
    <externalReference r:id="rId29"/>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375" l="1"/>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sharedStrings.xml><?xml version="1.0" encoding="utf-8"?>
<sst xmlns="http://schemas.openxmlformats.org/spreadsheetml/2006/main" count="964" uniqueCount="380">
  <si>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</si>
  <si>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</si>
  <si>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</si>
  <si>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</si>
  <si>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</si>
  <si>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</si>
  <si>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</si>
  <si>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</si>
  <si>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</si>
  <si>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</si>
  <si>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</si>
  <si>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</si>
  <si>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</si>
  <si>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</si>
  <si>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</si>
  <si>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</si>
  <si>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</si>
  <si>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</si>
  <si>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</si>
  <si>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</si>
  <si>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</si>
  <si>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</si>
  <si>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</si>
  <si>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</si>
  <si>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</si>
  <si>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</si>
  <si>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</si>
  <si>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</si>
  <si>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</si>
  <si>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</si>
  <si>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</si>
  <si>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</si>
  <si>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</si>
  <si>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</si>
  <si>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</si>
  <si>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</si>
  <si>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</si>
  <si>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</si>
  <si>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</si>
  <si>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</si>
  <si>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</si>
  <si>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</si>
  <si>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</si>
  <si>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</si>
  <si>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</si>
  <si>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</si>
  <si>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</si>
  <si>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</si>
  <si>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</si>
  <si>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</si>
  <si>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</si>
  <si>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</si>
  <si>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</si>
  <si>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</si>
  <si>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</si>
  <si>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</si>
  <si>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</si>
  <si>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</si>
  <si>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</si>
  <si>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</si>
  <si>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</si>
  <si>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</si>
  <si>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</si>
  <si>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</si>
  <si>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</si>
  <si>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</si>
  <si>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</si>
  <si>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</si>
  <si>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</si>
  <si>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</si>
  <si>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</si>
  <si>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</si>
  <si>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</si>
  <si>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</si>
  <si>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</si>
  <si>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</si>
  <si>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</si>
  <si>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</si>
  <si>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</si>
  <si>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</si>
  <si>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</si>
  <si>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</si>
  <si>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</si>
  <si>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</si>
  <si>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</si>
  <si>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</si>
  <si>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</si>
  <si>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</si>
  <si>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</si>
  <si>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</si>
  <si>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</si>
  <si>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</si>
  <si>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</si>
  <si>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</si>
  <si>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</si>
  <si>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</si>
  <si>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</si>
  <si>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</si>
  <si>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</si>
  <si>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</si>
  <si>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</si>
  <si>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</si>
  <si>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</si>
  <si>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</si>
  <si>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</si>
  <si>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</si>
  <si>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</si>
  <si>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</si>
  <si>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</si>
  <si>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</si>
  <si>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</si>
  <si>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</si>
  <si>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</si>
  <si>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</si>
  <si>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</si>
  <si>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</si>
  <si>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</si>
  <si>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</si>
  <si>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</si>
  <si>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</si>
  <si>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</si>
  <si>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</si>
  <si>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</si>
  <si>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</si>
  <si>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</si>
  <si>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</si>
  <si>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</si>
  <si>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</si>
  <si>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</si>
  <si>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</si>
  <si>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</si>
  <si>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</si>
  <si>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</si>
  <si>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</si>
  <si>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</si>
  <si>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</si>
  <si>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</si>
  <si>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</si>
  <si>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</si>
  <si>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</si>
  <si>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</si>
  <si>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</si>
  <si>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</si>
  <si>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</si>
  <si>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</si>
  <si>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</si>
  <si>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</si>
  <si>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</si>
  <si>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</si>
  <si>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</si>
  <si>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</si>
  <si>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</si>
  <si>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</si>
  <si>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</si>
  <si>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</si>
  <si>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</si>
  <si>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</si>
  <si>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</si>
  <si>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</si>
  <si>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</si>
  <si>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</si>
  <si>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</si>
  <si>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</si>
  <si>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</si>
  <si>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</si>
  <si>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</si>
  <si>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</si>
  <si>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</si>
  <si>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</si>
  <si>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</si>
  <si>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</si>
  <si>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</si>
  <si>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</si>
  <si>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</si>
  <si>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</si>
  <si>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</si>
  <si>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</si>
  <si>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</si>
  <si>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</si>
  <si>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</si>
  <si>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</si>
  <si>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</si>
  <si>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</si>
  <si>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</si>
  <si>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</si>
  <si>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</si>
  <si>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</si>
  <si>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</si>
  <si>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</si>
  <si>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</si>
  <si>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</si>
  <si>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</si>
  <si>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</si>
  <si>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</si>
  <si>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</si>
  <si>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</si>
  <si>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</si>
  <si>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</si>
  <si>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</si>
  <si>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</si>
  <si>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</si>
  <si>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</si>
  <si>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</si>
  <si>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</si>
  <si>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</si>
  <si>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</si>
  <si>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</si>
  <si>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</si>
  <si>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</si>
  <si>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</si>
  <si>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</si>
  <si>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</si>
  <si>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</si>
  <si>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</si>
  <si>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</si>
  <si>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</si>
  <si>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</si>
  <si>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</si>
  <si>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</si>
  <si>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</si>
  <si>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</si>
  <si>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</si>
  <si>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</si>
  <si>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</si>
  <si>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</si>
  <si>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</si>
  <si>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</si>
  <si>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</si>
  <si>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</si>
  <si>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</si>
  <si>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</si>
  <si>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</si>
  <si>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</si>
  <si>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</si>
  <si>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</si>
  <si>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</si>
  <si>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</si>
  <si>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</si>
  <si>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</si>
  <si>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</si>
  <si>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</si>
  <si>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</si>
  <si>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</si>
  <si>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</si>
  <si>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</si>
  <si>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</si>
  <si>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</si>
  <si>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</si>
  <si>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</si>
  <si>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</si>
  <si>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</si>
  <si>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</si>
  <si>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</si>
  <si>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</si>
  <si>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</si>
  <si>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</si>
  <si>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</si>
  <si>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</si>
  <si>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</si>
  <si>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</si>
  <si>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</si>
  <si>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</si>
  <si>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</si>
  <si>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</si>
  <si>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</si>
  <si>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</si>
  <si>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</si>
  <si>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</si>
  <si>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</si>
  <si>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</si>
  <si>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</si>
  <si>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</si>
  <si>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</si>
  <si>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</si>
  <si>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</si>
  <si>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</si>
  <si>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</si>
  <si>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</si>
  <si>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</si>
  <si>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</si>
  <si>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</si>
  <si>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</si>
  <si>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</si>
  <si>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</si>
  <si>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</si>
  <si>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User Input - Single Value</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</si>
  <si>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</si>
  <si>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</si>
  <si>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</si>
  <si>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</si>
  <si>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</si>
  <si>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</si>
  <si>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</si>
  <si>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</si>
  <si>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</si>
  <si>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</si>
  <si>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</si>
  <si>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</si>
  <si>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</si>
  <si>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</si>
  <si>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</si>
  <si>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</si>
  <si>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</si>
  <si>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</si>
  <si>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</si>
  <si>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</si>
  <si>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</si>
  <si>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</si>
  <si>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</si>
  <si>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</si>
  <si>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</si>
  <si>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</si>
  <si>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</si>
  <si>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</si>
  <si>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</si>
  <si>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</si>
  <si>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</si>
  <si>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</si>
  <si>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</si>
  <si>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</si>
  <si>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</si>
  <si>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</si>
  <si>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</si>
  <si>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</si>
  <si>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</si>
  <si>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</si>
  <si>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</si>
  <si>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</si>
  <si>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</si>
  <si>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</si>
  <si>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</si>
  <si>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</si>
  <si>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</si>
  <si>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</si>
  <si>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</si>
  <si>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</si>
  <si>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</si>
  <si>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</si>
  <si>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</si>
  <si>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</si>
  <si>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</si>
  <si>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</si>
  <si>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</si>
  <si>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</si>
  <si>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</si>
  <si>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</si>
  <si>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</si>
  <si>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</si>
  <si>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</si>
  <si>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</si>
  <si>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</si>
  <si>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</si>
  <si>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</si>
  <si>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</si>
  <si>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</si>
  <si>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</si>
  <si>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</si>
  <si>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</si>
  <si>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</si>
  <si>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</si>
  <si>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</si>
  <si>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</si>
  <si>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</si>
  <si>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</si>
  <si>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</si>
  <si>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</si>
  <si>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</si>
  <si>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</si>
  <si>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</si>
  <si>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</si>
  <si>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</si>
  <si>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</si>
  <si>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</si>
  <si>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</si>
  <si>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</si>
  <si>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</si>
  <si>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SKK Full Cycle Real Terms</t>
  </si>
  <si>
    <t>PySCnomics</t>
  </si>
  <si>
    <t>Please Design The Monte Carlo here  !!!!</t>
  </si>
  <si>
    <t>PSC Cost Recovery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</si>
</sst>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0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val="2"/>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3"/>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Spin" dx="26" fmlaLink="'Fiscal Config'!$C$2" max="4" min="1" page="10" val="4"/>
</file>

<file path=xl/ctrlProps/ctrlProp33.xml><?xml version="1.0" encoding="utf-8"?>
<formControlPr xmlns="http://schemas.microsoft.com/office/spreadsheetml/2009/9/main" objectType="Spin" dx="26" fmlaLink="$C$7" max="3" min="1" page="10" val="2"/>
</file>

<file path=xl/ctrlProps/ctrlProp34.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28575</xdr:rowOff>
        </xdr:from>
        <xdr:to>
          <xdr:col>2</xdr:col>
          <xdr:colOff>523875</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523875</xdr:colOff>
          <xdr:row>10</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180975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28575</xdr:rowOff>
        </xdr:from>
        <xdr:to>
          <xdr:col>3</xdr:col>
          <xdr:colOff>352425</xdr:colOff>
          <xdr:row>12</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28575</xdr:rowOff>
        </xdr:from>
        <xdr:to>
          <xdr:col>2</xdr:col>
          <xdr:colOff>523875</xdr:colOff>
          <xdr:row>14</xdr:row>
          <xdr:rowOff>180975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523875</xdr:colOff>
          <xdr:row>13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180975</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180975</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180975</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180975</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180975</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180975</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180975</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352425</xdr:colOff>
          <xdr:row>10</xdr:row>
          <xdr:rowOff>180975</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28575</xdr:rowOff>
        </xdr:from>
        <xdr:to>
          <xdr:col>2</xdr:col>
          <xdr:colOff>523875</xdr:colOff>
          <xdr:row>15</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180975</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428625</xdr:colOff>
          <xdr:row>5</xdr:row>
          <xdr:rowOff>28575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161925</xdr:rowOff>
        </xdr:from>
        <xdr:to>
          <xdr:col>3</xdr:col>
          <xdr:colOff>428625</xdr:colOff>
          <xdr:row>6</xdr:row>
          <xdr:rowOff>9525</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161925</xdr:rowOff>
        </xdr:from>
        <xdr:to>
          <xdr:col>3</xdr:col>
          <xdr:colOff>428625</xdr:colOff>
          <xdr:row>7</xdr:row>
          <xdr:rowOff>9525</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161925</xdr:rowOff>
        </xdr:from>
        <xdr:to>
          <xdr:col>3</xdr:col>
          <xdr:colOff>428625</xdr:colOff>
          <xdr:row>8</xdr:row>
          <xdr:rowOff>9525</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180975</xdr:rowOff>
        </xdr:from>
        <xdr:to>
          <xdr:col>3</xdr:col>
          <xdr:colOff>428625</xdr:colOff>
          <xdr:row>9</xdr:row>
          <xdr:rowOff>28575</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180975</xdr:rowOff>
        </xdr:from>
        <xdr:to>
          <xdr:col>3</xdr:col>
          <xdr:colOff>428625</xdr:colOff>
          <xdr:row>10</xdr:row>
          <xdr:rowOff>28575</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180975</xdr:rowOff>
        </xdr:from>
        <xdr:to>
          <xdr:col>3</xdr:col>
          <xdr:colOff>428625</xdr:colOff>
          <xdr:row>11</xdr:row>
          <xdr:rowOff>28575</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180975</xdr:rowOff>
        </xdr:from>
        <xdr:to>
          <xdr:col>3</xdr:col>
          <xdr:colOff>428625</xdr:colOff>
          <xdr:row>12</xdr:row>
          <xdr:rowOff>28575</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180975</xdr:rowOff>
        </xdr:from>
        <xdr:to>
          <xdr:col>3</xdr:col>
          <xdr:colOff>428625</xdr:colOff>
          <xdr:row>13</xdr:row>
          <xdr:rowOff>28575</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9525</xdr:rowOff>
        </xdr:from>
        <xdr:to>
          <xdr:col>3</xdr:col>
          <xdr:colOff>428625</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428625</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9525</xdr:rowOff>
        </xdr:from>
        <xdr:to>
          <xdr:col>3</xdr:col>
          <xdr:colOff>428625</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180975</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B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4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6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1C10C4-EF96-435F-ABEC-58DC79C72973}" name="tbl_prod_sulfur128" displayName="tbl_prod_sulfur128" ref="A1:C50" totalsRowShown="0" headerRowDxfId="205" dataDxfId="204">
  <autoFilter ref="A1:C50" xr:uid="{DEE72A9B-4BBC-4F3F-80BF-BC7085A5EA38}"/>
  <tableColumns count="3">
    <tableColumn id="1" xr3:uid="{5AB13C5E-543A-4DB2-8720-41BD064C4DDE}" name="Year" dataDxfId="203"/>
    <tableColumn id="2" xr3:uid="{EB9BD09E-5D4A-48EA-B7B7-B385BB175EFA}" name="Electricity Sales (Unit)" dataDxfId="202"/>
    <tableColumn id="3" xr3:uid="{36CF7E00-A504-45CE-B007-175521B07194}" name="Price (MMUSD/Unit)" dataDxfId="20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9EEAB3-906F-4F14-9F5F-3F4F80ECB75D}" name="tbl_prod_gas2" displayName="tbl_prod_gas2" ref="A1:BJ50" totalsRowShown="0" headerRowDxfId="200" dataDxfId="199">
  <autoFilter ref="A1:BJ50" xr:uid="{F3B5FD60-3EF6-4239-90D9-138C2E5C0533}"/>
  <tableColumns count="62">
    <tableColumn id="1" xr3:uid="{B83EA83C-FFB8-4F96-A422-3AA6E2688493}" name="Year" dataDxfId="198"/>
    <tableColumn id="2" xr3:uid="{3B334F04-D39E-485C-AB0D-B2CEFA8BBE2F}" name="Gas Production (BSCF)" dataDxfId="197"/>
    <tableColumn id="3" xr3:uid="{B910C733-F178-401C-B482-CEE58B588635}" name="GSA 1 Volume (BSCF)" dataDxfId="196"/>
    <tableColumn id="4" xr3:uid="{FE4B0508-4E03-4D9A-9ACC-F81516B1A40A}" name="GSA 1 GHV (BTU/SCF)" dataDxfId="195"/>
    <tableColumn id="5" xr3:uid="{C9155443-E24D-4FAB-A488-3D489F1DFA88}" name="GSA 1 Price (USD/MMBTU)" dataDxfId="194"/>
    <tableColumn id="6" xr3:uid="{506B95AF-E9C3-4875-A955-B10EF0A422E8}" name="GSA 2 Volume (BSCF)" dataDxfId="193"/>
    <tableColumn id="7" xr3:uid="{07245465-2D7E-4E3A-ABD2-65CEB4C1C853}" name="GSA 2 GHV (BTU/SCF)" dataDxfId="192"/>
    <tableColumn id="8" xr3:uid="{42AF0F8F-FC46-4D84-A274-6650C045A3E5}" name="GSA 2 Price (USD/MMBTU)" dataDxfId="191"/>
    <tableColumn id="9" xr3:uid="{97263E0A-8E8C-4B2B-9354-8A04B5E7930A}" name="GSA 3 Volume (BSCF)" dataDxfId="190"/>
    <tableColumn id="10" xr3:uid="{A8C947AB-A0CF-40E6-804E-0B792F388FA7}" name="GSA 3 GHV (BTU/SCF)" dataDxfId="189"/>
    <tableColumn id="11" xr3:uid="{91139B41-6F6C-4C56-809F-54B3EE406AB6}" name="GSA 3 Price (USD/MMBTU)" dataDxfId="188"/>
    <tableColumn id="12" xr3:uid="{65A5D6C5-F930-498D-BF75-72FBD9FCEB01}" name="GSA 4 Volume (BSCF)" dataDxfId="187"/>
    <tableColumn id="13" xr3:uid="{8960AC8D-3510-4CD8-9AF1-AC0F8B835755}" name="GSA 4 GHV (BTU/SCF)" dataDxfId="186"/>
    <tableColumn id="14" xr3:uid="{0EE69C1E-F383-484A-B6E2-A7C5BD622E09}" name="GSA 4 Price (USD/MMBTU)" dataDxfId="185"/>
    <tableColumn id="15" xr3:uid="{0CBE8B4C-7098-4CD8-B63B-1F9AA0950EDA}" name="GSA 5 Volume (BSCF)" dataDxfId="184"/>
    <tableColumn id="16" xr3:uid="{8EF39CD1-7B9E-4BF9-9002-2E5005438EA3}" name="GSA 5 GHV (BTU/SCF)" dataDxfId="183"/>
    <tableColumn id="17" xr3:uid="{6BE80DFF-F823-48BC-A8B6-CAF0F79ADBCE}" name="GSA 5 Price (USD/MMBTU)" dataDxfId="182"/>
    <tableColumn id="18" xr3:uid="{EFC36A6A-7C3D-48ED-B34F-B3046B4FE9CB}" name="GSA 6 Volume (BSCF)5" dataDxfId="181"/>
    <tableColumn id="19" xr3:uid="{4AC5EDAB-23E0-4E1D-A7B1-D61F69D367A9}" name="GSA 6 GHV (BTU/SCF)" dataDxfId="180"/>
    <tableColumn id="20" xr3:uid="{8E5D13E7-2FD0-4466-9221-9F8E11F1FDC6}" name="GSA 6 Price (USD/MMBTU)" dataDxfId="179"/>
    <tableColumn id="21" xr3:uid="{6AA6A26D-9C48-4A8D-A1DA-9F4473F2FBED}" name="GSA 7 Volume (BSCF)" dataDxfId="178"/>
    <tableColumn id="22" xr3:uid="{4E3AD860-52C6-4C57-B2ED-508C6F0396D3}" name="GSA 7 GHV (BTU/SCF)" dataDxfId="177"/>
    <tableColumn id="23" xr3:uid="{121B6054-713C-49FF-BE08-291E0F427CC5}" name="GSA 7 Price (USD/MMBTU)" dataDxfId="176"/>
    <tableColumn id="24" xr3:uid="{06E8E11F-7FF0-4B7F-B779-FC0C418EC555}" name="GSA 8 Volume (BSCF)" dataDxfId="175"/>
    <tableColumn id="25" xr3:uid="{FD2361AB-B811-42C7-A4A9-E225462EC847}" name="GSA 8 GHV (BTU/SCF)" dataDxfId="174"/>
    <tableColumn id="26" xr3:uid="{521449DA-410B-405E-A87D-2A19FFC94ADB}" name="GSA 8 Price (USD/MMBTU)" dataDxfId="173"/>
    <tableColumn id="27" xr3:uid="{067522B7-DD0C-4539-BE2C-E562FA138BA9}" name="GSA 9 Volume (BSCF)" dataDxfId="172"/>
    <tableColumn id="28" xr3:uid="{C75D132C-7996-46A1-8D56-C5560AD431BB}" name="GSA 9 GHV (BTU/SCF)" dataDxfId="171"/>
    <tableColumn id="29" xr3:uid="{C2DE7165-CDFD-4B2B-94F6-154B3D3D7CAC}" name="GSA 9 Price (USD/MMBTU)" dataDxfId="170"/>
    <tableColumn id="30" xr3:uid="{CDC1881B-D965-4870-A4E3-F45061130135}" name="GSA 10 Volume (BSCF)" dataDxfId="169"/>
    <tableColumn id="31" xr3:uid="{BF38FF55-9430-4973-B16F-11404B3F0F65}" name="GSA 10 GHV (BTU/SCF)" dataDxfId="168"/>
    <tableColumn id="32" xr3:uid="{FA570A86-8F36-4C7A-BE9E-506AA06679FC}" name="GSA 10 Price (USD/MMBTU)" dataDxfId="167"/>
    <tableColumn id="33" xr3:uid="{58D3F458-70FD-4BF1-AE9F-240B66C81A88}" name="GSA 11 Volume (BSCF)" dataDxfId="166"/>
    <tableColumn id="34" xr3:uid="{30D7CD0C-D77D-46B9-B28D-F7C739984BC6}" name="GSA 11 GHV (BTU/SCF)" dataDxfId="165"/>
    <tableColumn id="35" xr3:uid="{B36453FC-D0F4-4090-A0CC-74EB7A19A2DE}" name="GSA 11 Price (USD/MMBTU)" dataDxfId="164"/>
    <tableColumn id="36" xr3:uid="{536B06A4-D583-4123-834A-B5DF4B6D3D6D}" name="GSA 12 Volume (BSCF)" dataDxfId="163"/>
    <tableColumn id="37" xr3:uid="{6B0716BE-734D-4549-B71D-1B293C4D39A5}" name="GSA 12 GHV (BTU/SCF)" dataDxfId="162"/>
    <tableColumn id="38" xr3:uid="{537F4C6E-81D4-400B-A700-3032C767EE90}" name="GSA 12 Price (USD/MMBTU)" dataDxfId="161"/>
    <tableColumn id="39" xr3:uid="{0D55BE85-132A-4016-B3E2-F1AA8FE69DF8}" name="GSA 13 Volume (BSCF)5" dataDxfId="160"/>
    <tableColumn id="40" xr3:uid="{2E277017-AAAA-4543-83CF-E7951B9D4CF6}" name="GSA 13 GHV (BTU/SCF)" dataDxfId="159"/>
    <tableColumn id="41" xr3:uid="{272428B1-75C6-4FC4-A433-63C07AEEC742}" name="GSA 13 Price (USD/MMBTU)" dataDxfId="158"/>
    <tableColumn id="42" xr3:uid="{FE4FD65D-CB70-4339-97E3-7A3C4D7F039A}" name="GSA 14 Volume (BSCF)" dataDxfId="157"/>
    <tableColumn id="43" xr3:uid="{B0F633AA-9660-4AAE-967B-BED82162C505}" name="GSA 14 GHV (BTU/SCF)" dataDxfId="156"/>
    <tableColumn id="44" xr3:uid="{2788B353-F4C9-41B7-B479-143B598537E4}" name="GSA 14 Price (USD/MMBTU)" dataDxfId="155"/>
    <tableColumn id="45" xr3:uid="{9848ABD9-4A73-44DF-A204-DF8E0ED80466}" name="GSA 15 Volume (BSCF)" dataDxfId="154"/>
    <tableColumn id="46" xr3:uid="{B572D0B2-B70E-48AA-8DA9-9D9AB2545D59}" name="GSA 15 GHV (BTU/SCF)" dataDxfId="153"/>
    <tableColumn id="47" xr3:uid="{E317DC3D-0DE8-4DF7-BFAE-998BB7550146}" name="GSA 15 Price (USD/MMBTU)" dataDxfId="152"/>
    <tableColumn id="48" xr3:uid="{EEAF1B3B-A52B-46D1-BE62-5F2CB8F8728A}" name="GSA 16 Volume (BSCF)" dataDxfId="151"/>
    <tableColumn id="49" xr3:uid="{61AEA5C0-20DC-4B6E-88E3-B173E0D26203}" name="GSA 16 GHV (BTU/SCF)" dataDxfId="150"/>
    <tableColumn id="50" xr3:uid="{AF7DD400-8746-49A2-9BE7-32D06F7AEC59}" name="GSA 16 Price (USD/MMBTU)" dataDxfId="149"/>
    <tableColumn id="51" xr3:uid="{CB02DED5-8767-43AF-B13C-81DF258A929A}" name="GSA 17 Volume (BSCF)" dataDxfId="148"/>
    <tableColumn id="52" xr3:uid="{6D07972C-96CF-4F29-BD36-C0160877A9E6}" name="GSA 17 GHV (BTU/SCF)" dataDxfId="147"/>
    <tableColumn id="53" xr3:uid="{195CF4EE-A074-4AA0-B887-221E2A3A5C0B}" name="GSA 17 Price (USD/MMBTU)" dataDxfId="146"/>
    <tableColumn id="62" xr3:uid="{F6F737BF-7E1D-470E-9DEB-9FC0F8282C06}" name="GSA 18 Volume (BSCF)" dataDxfId="145"/>
    <tableColumn id="61" xr3:uid="{079F016E-F9CE-43E0-918F-477B5E26BFD2}" name="GSA 18 GHV (BTU/SCF)" dataDxfId="144"/>
    <tableColumn id="60" xr3:uid="{2F973548-5AED-4B94-94D6-2B8E8ABD618C}" name="GSA 18 Price (USD/MMBTU)" dataDxfId="143"/>
    <tableColumn id="54" xr3:uid="{42A80FDA-BAE8-4217-AC10-A09B0D7BB701}" name="GSA 19 Volume (BSCF)" dataDxfId="142"/>
    <tableColumn id="55" xr3:uid="{B8C57D02-3002-4416-B9B0-56286761852F}" name="GSA 19 GHV (BTU/SCF)" dataDxfId="141"/>
    <tableColumn id="56" xr3:uid="{AE0E4DFC-8E02-43AB-92C4-02980F531A37}" name="GSA 19 Price (USD/MMBTU)" dataDxfId="140"/>
    <tableColumn id="57" xr3:uid="{BDA2DF96-4217-4E18-8475-AACF8E063D6C}" name="GSA 20 Volume (BSCF)5" dataDxfId="139"/>
    <tableColumn id="58" xr3:uid="{1E8E0E6B-8895-4A9A-B6C6-CA2DE2EDCDBF}" name="GSA 20 GHV (BTU/SCF)" dataDxfId="138"/>
    <tableColumn id="59" xr3:uid="{3FBCB857-6A7C-49CC-A196-7C53BBC70160}" name="GSA 20 Price (USD/MMBTU)" dataDxfId="137"/>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377</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5703125" customWidth="1"/>
    <col min="2" max="21" width="8.85546875" customWidth="1"/>
    <col min="22" max="16384" width="8.85546875" hidden="1"/>
  </cols>
  <sheetData>
    <row r="1" spans="1:19" ht="6" customHeight="1" x14ac:dyDescent="0.25"/>
    <row r="2" spans="1:19" x14ac:dyDescent="0.25">
      <c r="A2" s="6" t="s">
        <v>181</v>
      </c>
    </row>
    <row r="3" spans="1:19" ht="4.3499999999999996"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366</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3499999999999996"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2.1"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3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8.1" customHeight="1" x14ac:dyDescent="0.25"/>
    <row r="33" spans="1:2" x14ac:dyDescent="0.25">
      <c r="A33" s="9" t="s">
        <v>195</v>
      </c>
    </row>
    <row r="34" spans="1:2" x14ac:dyDescent="0.25">
      <c r="B34" t="s">
        <v>196</v>
      </c>
    </row>
    <row r="35" spans="1:2" ht="8.1"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35" customHeight="1" x14ac:dyDescent="0.25"/>
    <row r="51" spans="1:2" x14ac:dyDescent="0.25">
      <c r="A51" s="9" t="s">
        <v>209</v>
      </c>
    </row>
    <row r="52" spans="1:2" x14ac:dyDescent="0.25">
      <c r="A52" s="10"/>
      <c r="B52" t="s">
        <v>207</v>
      </c>
    </row>
    <row r="53" spans="1:2" ht="10.35" customHeight="1" x14ac:dyDescent="0.25"/>
    <row r="54" spans="1:2" x14ac:dyDescent="0.25">
      <c r="A54" s="9" t="s">
        <v>210</v>
      </c>
    </row>
    <row r="55" spans="1:2" x14ac:dyDescent="0.25">
      <c r="A55" s="10"/>
      <c r="B55" t="s">
        <v>208</v>
      </c>
    </row>
    <row r="56" spans="1:2" ht="10.3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42578125" customWidth="1"/>
    <col min="2" max="2" width="8.85546875" customWidth="1"/>
    <col min="3" max="3" width="34.42578125" customWidth="1"/>
    <col min="4" max="4" width="11.85546875" bestFit="1" customWidth="1"/>
    <col min="5" max="5" width="12.5703125" bestFit="1" customWidth="1"/>
    <col min="6" max="6" width="4.425781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359</v>
      </c>
      <c r="D7" s="30" t="s">
        <v>362</v>
      </c>
      <c r="E7" s="32">
        <v>0</v>
      </c>
    </row>
    <row r="8" spans="2:5" x14ac:dyDescent="0.25">
      <c r="B8" s="30">
        <v>4</v>
      </c>
      <c r="C8" s="31" t="s">
        <v>360</v>
      </c>
      <c r="D8" s="30" t="s">
        <v>361</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363</v>
      </c>
      <c r="D20" s="30" t="s">
        <v>221</v>
      </c>
      <c r="E20" s="32">
        <v>0</v>
      </c>
    </row>
    <row r="21" spans="2:5" x14ac:dyDescent="0.25">
      <c r="B21" s="87"/>
      <c r="C21" s="31" t="s">
        <v>233</v>
      </c>
      <c r="D21" s="30" t="s">
        <v>234</v>
      </c>
      <c r="E21" s="39">
        <v>0</v>
      </c>
    </row>
    <row r="22" spans="2:5" x14ac:dyDescent="0.25">
      <c r="B22" s="87">
        <v>11</v>
      </c>
      <c r="C22" s="31" t="s">
        <v>364</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365</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15" zoomScaleNormal="115" workbookViewId="0">
      <selection activeCell="D12" sqref="D12"/>
    </sheetView>
  </sheetViews>
  <sheetFormatPr defaultColWidth="0" defaultRowHeight="15" zeroHeight="1" x14ac:dyDescent="0.25"/>
  <cols>
    <col min="1" max="1" width="3.5703125" customWidth="1"/>
    <col min="2" max="2" width="34.42578125" customWidth="1"/>
    <col min="3" max="3" width="7.5703125" customWidth="1"/>
    <col min="4" max="4" width="12.42578125" customWidth="1"/>
    <col min="5" max="5" width="7.42578125" customWidth="1"/>
    <col min="6" max="6" width="2.42578125" hidden="1" customWidth="1"/>
    <col min="7" max="7" width="9.140625" customWidth="1"/>
    <col min="8" max="8" width="3.85546875" customWidth="1"/>
    <col min="9" max="9" width="5.42578125" customWidth="1"/>
    <col min="10" max="10" width="2.42578125" customWidth="1"/>
    <col min="11" max="16384" width="8.85546875" hidden="1"/>
  </cols>
  <sheetData>
    <row r="1" spans="1:9" x14ac:dyDescent="0.25">
      <c r="A1" s="9" t="s">
        <v>103</v>
      </c>
      <c r="B1" s="9"/>
    </row>
    <row r="2" spans="1:9" x14ac:dyDescent="0.25">
      <c r="B2" t="s">
        <v>19</v>
      </c>
      <c r="C2" s="89" t="s">
        <v>379</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48579</v>
      </c>
      <c r="D7" s="93"/>
      <c r="E7" s="94"/>
    </row>
    <row r="8" spans="1:9" x14ac:dyDescent="0.25">
      <c r="B8" t="s">
        <v>100</v>
      </c>
      <c r="C8" s="92"/>
      <c r="D8" s="93"/>
      <c r="E8" s="94"/>
    </row>
    <row r="9" spans="1:9" x14ac:dyDescent="0.25">
      <c r="B9" t="s">
        <v>101</v>
      </c>
      <c r="C9" s="92"/>
      <c r="D9" s="93"/>
      <c r="E9" s="94"/>
    </row>
    <row r="10" spans="1:9" x14ac:dyDescent="0.25">
      <c r="B10" s="42" t="s">
        <v>102</v>
      </c>
      <c r="C10" s="43"/>
      <c r="D10" s="45">
        <v>1</v>
      </c>
      <c r="E10" s="44"/>
    </row>
    <row r="11" spans="1:9" x14ac:dyDescent="0.25">
      <c r="B11" s="42"/>
      <c r="C11" s="43"/>
      <c r="D11" s="45">
        <v>2</v>
      </c>
      <c r="E11" s="44"/>
      <c r="G11" s="62" t="s">
        <v>257</v>
      </c>
      <c r="H11" s="61">
        <v>3</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1</v>
      </c>
      <c r="E16" s="44"/>
    </row>
    <row r="17" spans="2:5" x14ac:dyDescent="0.25"/>
    <row r="18" spans="2:5" ht="14.45" customHeight="1" x14ac:dyDescent="0.25">
      <c r="B18" t="s">
        <v>272</v>
      </c>
      <c r="C18" s="95">
        <v>0</v>
      </c>
      <c r="D18" s="96"/>
      <c r="E18" s="97"/>
    </row>
    <row r="19" spans="2:5" x14ac:dyDescent="0.25">
      <c r="B19" t="s">
        <v>273</v>
      </c>
      <c r="C19" s="95">
        <v>0</v>
      </c>
      <c r="D19" s="96"/>
      <c r="E19" s="97"/>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28575</xdr:rowOff>
                  </from>
                  <to>
                    <xdr:col>2</xdr:col>
                    <xdr:colOff>523875</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28575</xdr:rowOff>
                  </from>
                  <to>
                    <xdr:col>2</xdr:col>
                    <xdr:colOff>523875</xdr:colOff>
                    <xdr:row>10</xdr:row>
                    <xdr:rowOff>180975</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28575</xdr:rowOff>
                  </from>
                  <to>
                    <xdr:col>3</xdr:col>
                    <xdr:colOff>352425</xdr:colOff>
                    <xdr:row>12</xdr:row>
                    <xdr:rowOff>180975</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28575</xdr:rowOff>
                  </from>
                  <to>
                    <xdr:col>2</xdr:col>
                    <xdr:colOff>523875</xdr:colOff>
                    <xdr:row>14</xdr:row>
                    <xdr:rowOff>180975</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523875</xdr:colOff>
                    <xdr:row>13</xdr:row>
                    <xdr:rowOff>180975</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180975</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180975</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180975</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180975</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180975</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180975</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180975</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352425</xdr:colOff>
                    <xdr:row>10</xdr:row>
                    <xdr:rowOff>180975</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28575</xdr:rowOff>
                  </from>
                  <to>
                    <xdr:col>2</xdr:col>
                    <xdr:colOff>523875</xdr:colOff>
                    <xdr:row>15</xdr:row>
                    <xdr:rowOff>180975</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F2" sqref="F2"/>
    </sheetView>
  </sheetViews>
  <sheetFormatPr defaultColWidth="0" defaultRowHeight="15" zeroHeight="1" x14ac:dyDescent="0.25"/>
  <cols>
    <col min="1" max="1" width="3.140625" customWidth="1"/>
    <col min="2" max="2" width="20" bestFit="1" customWidth="1"/>
    <col min="3" max="3" width="8.85546875" customWidth="1"/>
    <col min="4" max="4" width="9.140625" style="25" bestFit="1" customWidth="1"/>
    <col min="5" max="5" width="8.140625" style="25" customWidth="1"/>
    <col min="6" max="8" width="8.85546875" customWidth="1"/>
    <col min="9" max="9" width="4.5703125" customWidth="1"/>
    <col min="10" max="10" width="0" hidden="1" customWidth="1"/>
    <col min="11" max="11" width="6" customWidth="1"/>
    <col min="12" max="12" width="3.42578125" customWidth="1"/>
    <col min="13" max="13" width="4.140625" customWidth="1"/>
    <col min="14" max="14" width="20" bestFit="1" customWidth="1"/>
    <col min="15" max="16" width="8.85546875" customWidth="1"/>
    <col min="17" max="17" width="4.42578125" customWidth="1"/>
    <col min="18" max="16384" width="8.85546875" hidden="1"/>
  </cols>
  <sheetData>
    <row r="1" spans="1:16" x14ac:dyDescent="0.25">
      <c r="A1" s="9" t="s">
        <v>346</v>
      </c>
      <c r="M1" s="9" t="s">
        <v>349</v>
      </c>
    </row>
    <row r="2" spans="1:16" x14ac:dyDescent="0.25">
      <c r="B2" t="s">
        <v>213</v>
      </c>
      <c r="D2" s="29" t="s">
        <v>347</v>
      </c>
      <c r="E2" s="75" t="s">
        <v>348</v>
      </c>
      <c r="F2" s="78">
        <v>0.15</v>
      </c>
      <c r="N2" t="str">
        <f>CONCATENATE(D2," ","Result")</f>
        <v>IRR Result</v>
      </c>
      <c r="P2" s="76"/>
    </row>
    <row r="3" spans="1:16" x14ac:dyDescent="0.25"/>
    <row r="4" spans="1:16" x14ac:dyDescent="0.25">
      <c r="A4" s="9" t="s">
        <v>334</v>
      </c>
      <c r="D4" s="73" t="s">
        <v>340</v>
      </c>
      <c r="E4" s="73" t="s">
        <v>341</v>
      </c>
      <c r="F4" s="74" t="s">
        <v>343</v>
      </c>
      <c r="G4" s="74" t="s">
        <v>342</v>
      </c>
      <c r="H4" s="74" t="s">
        <v>344</v>
      </c>
      <c r="J4" s="25">
        <v>0</v>
      </c>
      <c r="M4" s="9" t="s">
        <v>350</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335</v>
      </c>
      <c r="D10" s="29"/>
      <c r="E10" s="72"/>
      <c r="F10" s="77">
        <f>'Cost Recovery Config'!C28</f>
        <v>1</v>
      </c>
      <c r="G10" s="29"/>
      <c r="H10" s="29"/>
      <c r="N10" t="s">
        <v>335</v>
      </c>
      <c r="P10" s="76"/>
    </row>
    <row r="11" spans="1:16" x14ac:dyDescent="0.25">
      <c r="B11" t="s">
        <v>336</v>
      </c>
      <c r="D11" s="29"/>
      <c r="E11" s="72"/>
      <c r="F11" s="77">
        <f>'Gross Split Config'!C30</f>
        <v>1</v>
      </c>
      <c r="G11" s="29"/>
      <c r="H11" s="29"/>
      <c r="N11" t="s">
        <v>336</v>
      </c>
      <c r="P11" s="76"/>
    </row>
    <row r="12" spans="1:16" x14ac:dyDescent="0.25">
      <c r="B12" t="s">
        <v>272</v>
      </c>
      <c r="D12" s="29"/>
      <c r="E12" s="72"/>
      <c r="F12" s="77">
        <f>'General Config'!C18</f>
        <v>0</v>
      </c>
      <c r="G12" s="29"/>
      <c r="H12" s="29"/>
      <c r="N12" t="s">
        <v>272</v>
      </c>
      <c r="P12" s="76"/>
    </row>
    <row r="13" spans="1:16" x14ac:dyDescent="0.25">
      <c r="B13" t="s">
        <v>337</v>
      </c>
      <c r="D13" s="29"/>
      <c r="E13" s="72"/>
      <c r="F13" s="77">
        <f>'Fiscal Config'!C3</f>
        <v>0.44</v>
      </c>
      <c r="G13" s="29"/>
      <c r="H13" s="29"/>
      <c r="N13" t="s">
        <v>337</v>
      </c>
      <c r="P13" s="76"/>
    </row>
    <row r="14" spans="1:16" x14ac:dyDescent="0.25"/>
    <row r="15" spans="1:16" hidden="1" x14ac:dyDescent="0.25">
      <c r="A15" s="9" t="s">
        <v>338</v>
      </c>
      <c r="D15" s="73" t="s">
        <v>340</v>
      </c>
      <c r="E15" s="73" t="s">
        <v>341</v>
      </c>
      <c r="F15" s="74" t="s">
        <v>343</v>
      </c>
      <c r="G15" s="73" t="s">
        <v>342</v>
      </c>
      <c r="H15" s="73" t="s">
        <v>344</v>
      </c>
      <c r="J15" s="72">
        <v>0</v>
      </c>
      <c r="M15" s="9" t="s">
        <v>351</v>
      </c>
    </row>
    <row r="16" spans="1:16" hidden="1" x14ac:dyDescent="0.25">
      <c r="B16" t="s">
        <v>339</v>
      </c>
      <c r="D16" s="29"/>
      <c r="F16" s="77">
        <f>'Gross Split Config'!C13</f>
        <v>0.08</v>
      </c>
      <c r="G16" s="29"/>
      <c r="H16" s="29"/>
      <c r="N16" t="s">
        <v>339</v>
      </c>
      <c r="P16" s="76"/>
    </row>
    <row r="17" spans="2:16" hidden="1" x14ac:dyDescent="0.25">
      <c r="B17" t="s">
        <v>272</v>
      </c>
      <c r="D17" s="29"/>
      <c r="F17" s="77">
        <f>'General Config'!C18</f>
        <v>0</v>
      </c>
      <c r="G17" s="29"/>
      <c r="H17" s="29"/>
      <c r="N17" t="s">
        <v>272</v>
      </c>
      <c r="P17" s="76"/>
    </row>
    <row r="18" spans="2:16" hidden="1" x14ac:dyDescent="0.25">
      <c r="B18" t="s">
        <v>337</v>
      </c>
      <c r="D18" s="29"/>
      <c r="F18" s="77">
        <f>'Fiscal Config'!C3</f>
        <v>0.44</v>
      </c>
      <c r="G18" s="29"/>
      <c r="H18" s="29"/>
      <c r="N18" t="s">
        <v>337</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428625</xdr:colOff>
                    <xdr:row>5</xdr:row>
                    <xdr:rowOff>28575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161925</xdr:rowOff>
                  </from>
                  <to>
                    <xdr:col>3</xdr:col>
                    <xdr:colOff>428625</xdr:colOff>
                    <xdr:row>6</xdr:row>
                    <xdr:rowOff>9525</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161925</xdr:rowOff>
                  </from>
                  <to>
                    <xdr:col>3</xdr:col>
                    <xdr:colOff>428625</xdr:colOff>
                    <xdr:row>7</xdr:row>
                    <xdr:rowOff>9525</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161925</xdr:rowOff>
                  </from>
                  <to>
                    <xdr:col>3</xdr:col>
                    <xdr:colOff>428625</xdr:colOff>
                    <xdr:row>8</xdr:row>
                    <xdr:rowOff>9525</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180975</xdr:rowOff>
                  </from>
                  <to>
                    <xdr:col>3</xdr:col>
                    <xdr:colOff>428625</xdr:colOff>
                    <xdr:row>9</xdr:row>
                    <xdr:rowOff>28575</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180975</xdr:rowOff>
                  </from>
                  <to>
                    <xdr:col>3</xdr:col>
                    <xdr:colOff>428625</xdr:colOff>
                    <xdr:row>10</xdr:row>
                    <xdr:rowOff>28575</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180975</xdr:rowOff>
                  </from>
                  <to>
                    <xdr:col>3</xdr:col>
                    <xdr:colOff>428625</xdr:colOff>
                    <xdr:row>11</xdr:row>
                    <xdr:rowOff>28575</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180975</xdr:rowOff>
                  </from>
                  <to>
                    <xdr:col>3</xdr:col>
                    <xdr:colOff>428625</xdr:colOff>
                    <xdr:row>12</xdr:row>
                    <xdr:rowOff>28575</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180975</xdr:rowOff>
                  </from>
                  <to>
                    <xdr:col>3</xdr:col>
                    <xdr:colOff>428625</xdr:colOff>
                    <xdr:row>13</xdr:row>
                    <xdr:rowOff>28575</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9525</xdr:rowOff>
                  </from>
                  <to>
                    <xdr:col>3</xdr:col>
                    <xdr:colOff>428625</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428625</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9525</xdr:rowOff>
                  </from>
                  <to>
                    <xdr:col>3</xdr:col>
                    <xdr:colOff>428625</xdr:colOff>
                    <xdr:row>19</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CFEC2-ED16-4EDB-A262-6B71A2FF0971}">
  <sheetPr codeName="Sheet2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333</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836B1B2B-6893-48C8-B54F-5B14F13A50F4}">
      <formula1>0</formula1>
    </dataValidation>
    <dataValidation operator="greaterThan" allowBlank="1" showInputMessage="1" showErrorMessage="1" errorTitle="Data Type Error" error="Should be Number not Text." sqref="D1:XFD1" xr:uid="{E043D95E-79BE-4619-9B1A-4A11D3234EBE}"/>
    <dataValidation type="whole" operator="greaterThan" allowBlank="1" showInputMessage="1" showErrorMessage="1" errorTitle="Data Type Error" error="Should be Number not Text" sqref="A2:A1048576" xr:uid="{556BA094-7F67-4D1B-806E-7E81078B1E0B}">
      <formula1>0</formula1>
    </dataValidation>
    <dataValidation type="decimal" operator="greaterThan" allowBlank="1" showInputMessage="1" showErrorMessage="1" errorTitle="Data Type Error" error="Should be Number not Text" sqref="B51:C1048576" xr:uid="{A611A7AC-3425-412F-B2BC-2BC212BD898A}">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E3C12-CCA9-4CAA-973A-D4FA344032D7}">
  <sheetPr codeName="Sheet27">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hidden="1"/>
    <col min="13" max="13" width="22" hidden="1"/>
    <col min="14" max="14" width="26.5703125" hidden="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B2:BJ50" xr:uid="{E13D6CAB-97DA-4921-A489-C7F0C9E711C3}">
      <formula1>0</formula1>
    </dataValidation>
    <dataValidation type="decimal" operator="greaterThan" allowBlank="1" showInputMessage="1" showErrorMessage="1" errorTitle="Data Type Error" error="Should be Number not Text" sqref="B51:E1048576" xr:uid="{AEED8B57-039B-48B2-95F3-BFD126245D64}">
      <formula1>0</formula1>
    </dataValidation>
    <dataValidation type="whole" operator="greaterThan" allowBlank="1" showInputMessage="1" showErrorMessage="1" errorTitle="Data Type Error" error="Should be Number not Text." sqref="A2:A1048576" xr:uid="{A83311E1-D512-4731-AB2C-277C7AC206D8}">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F19" sqref="F19"/>
    </sheetView>
  </sheetViews>
  <sheetFormatPr defaultColWidth="0" defaultRowHeight="15" zeroHeight="1" x14ac:dyDescent="0.25"/>
  <cols>
    <col min="1" max="1" width="5.42578125" customWidth="1"/>
    <col min="2" max="2" width="21.42578125" bestFit="1" customWidth="1"/>
    <col min="3" max="3" width="9.570312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370</v>
      </c>
      <c r="J1" s="9" t="s">
        <v>371</v>
      </c>
    </row>
    <row r="2" spans="1:18" x14ac:dyDescent="0.25">
      <c r="B2" s="83" t="s">
        <v>50</v>
      </c>
      <c r="C2" s="83" t="s">
        <v>372</v>
      </c>
      <c r="E2" s="83" t="s">
        <v>342</v>
      </c>
      <c r="F2" s="83" t="s">
        <v>343</v>
      </c>
      <c r="G2" s="83" t="s">
        <v>344</v>
      </c>
      <c r="H2" s="83" t="s">
        <v>374</v>
      </c>
      <c r="I2" s="83"/>
      <c r="K2" s="9" t="s">
        <v>357</v>
      </c>
    </row>
    <row r="3" spans="1:18" x14ac:dyDescent="0.25">
      <c r="B3" t="s">
        <v>367</v>
      </c>
      <c r="C3" s="25" t="s">
        <v>373</v>
      </c>
      <c r="E3" s="78"/>
      <c r="F3" s="25">
        <f>Sensitivity!D7</f>
        <v>0</v>
      </c>
      <c r="G3" s="78"/>
      <c r="H3" s="78"/>
      <c r="K3" s="80"/>
      <c r="L3" s="80"/>
      <c r="M3" s="80"/>
      <c r="N3" s="80"/>
      <c r="O3" s="80"/>
      <c r="P3" s="80"/>
      <c r="Q3" s="80"/>
      <c r="R3" s="80"/>
    </row>
    <row r="4" spans="1:18" x14ac:dyDescent="0.25">
      <c r="B4" t="s">
        <v>368</v>
      </c>
      <c r="C4" s="25" t="s">
        <v>373</v>
      </c>
      <c r="E4" s="78"/>
      <c r="F4" s="25">
        <f>Sensitivity!D8</f>
        <v>0</v>
      </c>
      <c r="G4" s="78"/>
      <c r="H4" s="78"/>
      <c r="K4" s="80"/>
      <c r="L4" s="80"/>
      <c r="M4" s="80"/>
      <c r="N4" s="80"/>
      <c r="O4" s="80"/>
      <c r="P4" s="80"/>
      <c r="Q4" s="80"/>
      <c r="R4" s="80"/>
    </row>
    <row r="5" spans="1:18" x14ac:dyDescent="0.25">
      <c r="B5" t="s">
        <v>230</v>
      </c>
      <c r="C5" s="25" t="s">
        <v>373</v>
      </c>
      <c r="E5" s="78"/>
      <c r="F5" s="25">
        <f>Sensitivity!D9</f>
        <v>0</v>
      </c>
      <c r="G5" s="78"/>
      <c r="H5" s="78"/>
      <c r="K5" s="80"/>
      <c r="L5" s="80"/>
      <c r="M5" s="80"/>
      <c r="N5" s="80"/>
      <c r="O5" s="80"/>
      <c r="P5" s="80"/>
      <c r="Q5" s="80"/>
      <c r="R5" s="80"/>
    </row>
    <row r="6" spans="1:18" x14ac:dyDescent="0.25">
      <c r="B6" t="s">
        <v>259</v>
      </c>
      <c r="C6" s="25" t="s">
        <v>373</v>
      </c>
      <c r="E6" s="78"/>
      <c r="F6" s="25">
        <f>Sensitivity!D10</f>
        <v>0</v>
      </c>
      <c r="G6" s="78"/>
      <c r="H6" s="78"/>
      <c r="K6" s="80"/>
      <c r="L6" s="80"/>
      <c r="M6" s="80"/>
      <c r="N6" s="80"/>
      <c r="O6" s="80"/>
      <c r="P6" s="80"/>
      <c r="Q6" s="80"/>
      <c r="R6" s="80"/>
    </row>
    <row r="7" spans="1:18" x14ac:dyDescent="0.25">
      <c r="B7" t="s">
        <v>369</v>
      </c>
      <c r="C7" s="25" t="s">
        <v>373</v>
      </c>
      <c r="E7" s="78"/>
      <c r="F7" s="25">
        <f>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347</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358</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332</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311</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85546875" bestFit="1" customWidth="1"/>
    <col min="7" max="7" width="11.5703125" bestFit="1" customWidth="1"/>
    <col min="8" max="8" width="14.140625" bestFit="1" customWidth="1"/>
    <col min="9" max="9" width="13.85546875" bestFit="1" customWidth="1"/>
    <col min="10" max="10" width="15" bestFit="1" customWidth="1"/>
    <col min="11" max="11" width="16.140625" bestFit="1" customWidth="1"/>
    <col min="12" max="12" width="11.42578125" bestFit="1" customWidth="1"/>
    <col min="13" max="13" width="10.85546875" bestFit="1" customWidth="1"/>
    <col min="14" max="14" width="13.140625" bestFit="1" customWidth="1"/>
    <col min="15" max="15" width="17.85546875" bestFit="1" customWidth="1"/>
    <col min="16" max="16" width="19.140625" bestFit="1" customWidth="1"/>
    <col min="17" max="17" width="13.85546875" bestFit="1" customWidth="1"/>
    <col min="18" max="18" width="16.85546875" bestFit="1" customWidth="1"/>
    <col min="19" max="19" width="23.5703125" bestFit="1" customWidth="1"/>
    <col min="20" max="20" width="21.85546875" bestFit="1" customWidth="1"/>
    <col min="21" max="21" width="27.140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314</v>
      </c>
    </row>
    <row r="4" spans="2:28" x14ac:dyDescent="0.25">
      <c r="B4" s="69" t="s">
        <v>0</v>
      </c>
      <c r="C4" s="69" t="s">
        <v>286</v>
      </c>
      <c r="D4" s="69" t="s">
        <v>287</v>
      </c>
      <c r="E4" s="69" t="s">
        <v>288</v>
      </c>
      <c r="F4" s="69" t="s">
        <v>318</v>
      </c>
      <c r="G4" s="69" t="s">
        <v>319</v>
      </c>
      <c r="H4" s="69" t="s">
        <v>320</v>
      </c>
      <c r="I4" s="69" t="s">
        <v>321</v>
      </c>
      <c r="J4" s="69" t="s">
        <v>305</v>
      </c>
      <c r="K4" s="69" t="s">
        <v>306</v>
      </c>
      <c r="L4" s="69" t="s">
        <v>290</v>
      </c>
      <c r="M4" s="69" t="s">
        <v>322</v>
      </c>
      <c r="N4" s="69" t="s">
        <v>323</v>
      </c>
      <c r="O4" s="69" t="s">
        <v>324</v>
      </c>
      <c r="P4" s="69" t="s">
        <v>325</v>
      </c>
      <c r="Q4" s="69" t="s">
        <v>232</v>
      </c>
      <c r="R4" s="69" t="s">
        <v>327</v>
      </c>
      <c r="S4" s="69" t="s">
        <v>326</v>
      </c>
      <c r="T4" s="69" t="s">
        <v>328</v>
      </c>
      <c r="U4" s="69" t="s">
        <v>329</v>
      </c>
      <c r="V4" s="69" t="s">
        <v>307</v>
      </c>
      <c r="W4" s="69" t="s">
        <v>308</v>
      </c>
      <c r="X4" s="69" t="s">
        <v>310</v>
      </c>
      <c r="Y4" s="69" t="s">
        <v>246</v>
      </c>
      <c r="Z4" s="69" t="s">
        <v>330</v>
      </c>
      <c r="AA4" s="69" t="s">
        <v>331</v>
      </c>
      <c r="AB4" s="69" t="s">
        <v>332</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315</v>
      </c>
    </row>
    <row r="58" spans="2:28" x14ac:dyDescent="0.25">
      <c r="B58" s="70" t="s">
        <v>0</v>
      </c>
      <c r="C58" s="70" t="s">
        <v>286</v>
      </c>
      <c r="D58" s="70" t="s">
        <v>287</v>
      </c>
      <c r="E58" s="70" t="s">
        <v>288</v>
      </c>
      <c r="F58" s="70" t="s">
        <v>318</v>
      </c>
      <c r="G58" s="70" t="s">
        <v>319</v>
      </c>
      <c r="H58" s="70" t="s">
        <v>320</v>
      </c>
      <c r="I58" s="70" t="s">
        <v>321</v>
      </c>
      <c r="J58" s="70" t="s">
        <v>305</v>
      </c>
      <c r="K58" s="70" t="s">
        <v>306</v>
      </c>
      <c r="L58" s="70" t="s">
        <v>290</v>
      </c>
      <c r="M58" s="70" t="s">
        <v>322</v>
      </c>
      <c r="N58" s="70" t="s">
        <v>323</v>
      </c>
      <c r="O58" s="70" t="s">
        <v>324</v>
      </c>
      <c r="P58" s="70" t="s">
        <v>325</v>
      </c>
      <c r="Q58" s="70" t="s">
        <v>232</v>
      </c>
      <c r="R58" s="70" t="s">
        <v>316</v>
      </c>
      <c r="S58" s="70" t="s">
        <v>326</v>
      </c>
      <c r="T58" s="70" t="s">
        <v>328</v>
      </c>
      <c r="U58" s="70" t="s">
        <v>329</v>
      </c>
      <c r="V58" s="70" t="s">
        <v>307</v>
      </c>
      <c r="W58" s="70" t="s">
        <v>308</v>
      </c>
      <c r="X58" s="70" t="s">
        <v>310</v>
      </c>
      <c r="Y58" s="70" t="s">
        <v>246</v>
      </c>
      <c r="Z58" s="70" t="s">
        <v>330</v>
      </c>
      <c r="AA58" s="70" t="s">
        <v>331</v>
      </c>
      <c r="AB58" s="70" t="s">
        <v>332</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317</v>
      </c>
    </row>
    <row r="112" spans="2:28" x14ac:dyDescent="0.25">
      <c r="B112" s="66" t="s">
        <v>0</v>
      </c>
      <c r="C112" s="66" t="s">
        <v>286</v>
      </c>
      <c r="D112" s="66" t="s">
        <v>287</v>
      </c>
      <c r="E112" s="66" t="s">
        <v>288</v>
      </c>
      <c r="F112" s="66" t="s">
        <v>318</v>
      </c>
      <c r="G112" s="66" t="s">
        <v>319</v>
      </c>
      <c r="H112" s="66" t="s">
        <v>320</v>
      </c>
      <c r="I112" s="66" t="s">
        <v>321</v>
      </c>
      <c r="J112" s="66" t="s">
        <v>305</v>
      </c>
      <c r="K112" s="66" t="s">
        <v>306</v>
      </c>
      <c r="L112" s="66" t="s">
        <v>290</v>
      </c>
      <c r="M112" s="66" t="s">
        <v>322</v>
      </c>
      <c r="N112" s="66" t="s">
        <v>323</v>
      </c>
      <c r="O112" s="66" t="s">
        <v>324</v>
      </c>
      <c r="P112" s="66" t="s">
        <v>325</v>
      </c>
      <c r="Q112" s="66" t="s">
        <v>232</v>
      </c>
      <c r="R112" s="66" t="s">
        <v>316</v>
      </c>
      <c r="S112" s="66" t="s">
        <v>326</v>
      </c>
      <c r="T112" s="66" t="s">
        <v>328</v>
      </c>
      <c r="U112" s="66" t="s">
        <v>329</v>
      </c>
      <c r="V112" s="66" t="s">
        <v>307</v>
      </c>
      <c r="W112" s="66" t="s">
        <v>308</v>
      </c>
      <c r="X112" s="66" t="s">
        <v>310</v>
      </c>
      <c r="Y112" s="66" t="s">
        <v>246</v>
      </c>
      <c r="Z112" s="66" t="s">
        <v>330</v>
      </c>
      <c r="AA112" s="66" t="s">
        <v>331</v>
      </c>
      <c r="AB112" s="66" t="s">
        <v>332</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5703125" bestFit="1" customWidth="1"/>
    <col min="9" max="9" width="11.42578125" bestFit="1" customWidth="1"/>
    <col min="10" max="10" width="11.85546875" customWidth="1"/>
    <col min="12" max="12" width="10.42578125" customWidth="1"/>
    <col min="13" max="13" width="9.140625" bestFit="1" customWidth="1"/>
    <col min="14" max="14" width="15.5703125" bestFit="1" customWidth="1"/>
    <col min="15" max="15" width="15.85546875" bestFit="1" customWidth="1"/>
    <col min="16" max="16" width="19.140625" bestFit="1" customWidth="1"/>
    <col min="17" max="17" width="12.570312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140625" bestFit="1" customWidth="1"/>
    <col min="26" max="26" width="11.85546875" bestFit="1" customWidth="1"/>
    <col min="27" max="27" width="8.5703125" bestFit="1" customWidth="1"/>
    <col min="28" max="28" width="9.5703125" customWidth="1"/>
    <col min="29" max="29" width="14" bestFit="1" customWidth="1"/>
    <col min="30" max="30" width="14.42578125" bestFit="1" customWidth="1"/>
    <col min="31" max="31" width="11.140625" customWidth="1"/>
    <col min="32" max="32" width="14" bestFit="1" customWidth="1"/>
  </cols>
  <sheetData>
    <row r="3" spans="2:32" x14ac:dyDescent="0.25">
      <c r="B3" s="9" t="s">
        <v>314</v>
      </c>
    </row>
    <row r="4" spans="2:32" x14ac:dyDescent="0.25">
      <c r="B4" s="69" t="s">
        <v>0</v>
      </c>
      <c r="C4" s="69" t="s">
        <v>286</v>
      </c>
      <c r="D4" s="69" t="s">
        <v>287</v>
      </c>
      <c r="E4" s="69" t="s">
        <v>288</v>
      </c>
      <c r="F4" s="69" t="s">
        <v>289</v>
      </c>
      <c r="G4" s="69" t="s">
        <v>230</v>
      </c>
      <c r="H4" s="69" t="s">
        <v>231</v>
      </c>
      <c r="I4" s="69" t="s">
        <v>290</v>
      </c>
      <c r="J4" s="69" t="s">
        <v>291</v>
      </c>
      <c r="K4" s="69" t="s">
        <v>292</v>
      </c>
      <c r="L4" s="69" t="s">
        <v>293</v>
      </c>
      <c r="M4" s="69" t="s">
        <v>294</v>
      </c>
      <c r="N4" s="69" t="s">
        <v>295</v>
      </c>
      <c r="O4" s="69" t="s">
        <v>296</v>
      </c>
      <c r="P4" s="69" t="s">
        <v>297</v>
      </c>
      <c r="Q4" s="69" t="s">
        <v>298</v>
      </c>
      <c r="R4" s="69" t="s">
        <v>302</v>
      </c>
      <c r="S4" s="69" t="s">
        <v>300</v>
      </c>
      <c r="T4" s="69" t="s">
        <v>299</v>
      </c>
      <c r="U4" s="69" t="s">
        <v>301</v>
      </c>
      <c r="V4" s="69" t="s">
        <v>303</v>
      </c>
      <c r="W4" s="69" t="s">
        <v>304</v>
      </c>
      <c r="X4" s="69" t="s">
        <v>305</v>
      </c>
      <c r="Y4" s="69" t="s">
        <v>306</v>
      </c>
      <c r="Z4" s="69" t="s">
        <v>307</v>
      </c>
      <c r="AA4" s="69" t="s">
        <v>308</v>
      </c>
      <c r="AB4" s="69" t="s">
        <v>309</v>
      </c>
      <c r="AC4" s="69" t="s">
        <v>310</v>
      </c>
      <c r="AD4" s="69" t="s">
        <v>311</v>
      </c>
      <c r="AE4" s="69" t="s">
        <v>312</v>
      </c>
      <c r="AF4" s="69" t="s">
        <v>313</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315</v>
      </c>
    </row>
    <row r="58" spans="2:32" x14ac:dyDescent="0.25">
      <c r="B58" s="70" t="s">
        <v>0</v>
      </c>
      <c r="C58" s="70" t="s">
        <v>286</v>
      </c>
      <c r="D58" s="70" t="s">
        <v>287</v>
      </c>
      <c r="E58" s="70" t="s">
        <v>288</v>
      </c>
      <c r="F58" s="70" t="s">
        <v>289</v>
      </c>
      <c r="G58" s="70" t="s">
        <v>230</v>
      </c>
      <c r="H58" s="70" t="s">
        <v>231</v>
      </c>
      <c r="I58" s="70" t="s">
        <v>290</v>
      </c>
      <c r="J58" s="70" t="s">
        <v>291</v>
      </c>
      <c r="K58" s="70" t="s">
        <v>292</v>
      </c>
      <c r="L58" s="70" t="s">
        <v>293</v>
      </c>
      <c r="M58" s="70" t="s">
        <v>294</v>
      </c>
      <c r="N58" s="70" t="s">
        <v>295</v>
      </c>
      <c r="O58" s="70" t="s">
        <v>296</v>
      </c>
      <c r="P58" s="70" t="s">
        <v>297</v>
      </c>
      <c r="Q58" s="70" t="s">
        <v>298</v>
      </c>
      <c r="R58" s="70" t="s">
        <v>302</v>
      </c>
      <c r="S58" s="70" t="s">
        <v>316</v>
      </c>
      <c r="T58" s="70" t="s">
        <v>299</v>
      </c>
      <c r="U58" s="70" t="s">
        <v>301</v>
      </c>
      <c r="V58" s="70" t="s">
        <v>303</v>
      </c>
      <c r="W58" s="70" t="s">
        <v>304</v>
      </c>
      <c r="X58" s="70" t="s">
        <v>305</v>
      </c>
      <c r="Y58" s="70" t="s">
        <v>306</v>
      </c>
      <c r="Z58" s="70" t="s">
        <v>307</v>
      </c>
      <c r="AA58" s="70" t="s">
        <v>308</v>
      </c>
      <c r="AB58" s="70" t="s">
        <v>309</v>
      </c>
      <c r="AC58" s="70" t="s">
        <v>310</v>
      </c>
      <c r="AD58" s="70" t="s">
        <v>311</v>
      </c>
      <c r="AE58" s="70" t="s">
        <v>312</v>
      </c>
      <c r="AF58" s="70" t="s">
        <v>313</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317</v>
      </c>
    </row>
    <row r="112" spans="2:32" x14ac:dyDescent="0.25">
      <c r="B112" s="66" t="s">
        <v>0</v>
      </c>
      <c r="C112" s="66" t="s">
        <v>286</v>
      </c>
      <c r="D112" s="66" t="s">
        <v>287</v>
      </c>
      <c r="E112" s="66" t="s">
        <v>288</v>
      </c>
      <c r="F112" s="66" t="s">
        <v>289</v>
      </c>
      <c r="G112" s="66" t="s">
        <v>230</v>
      </c>
      <c r="H112" s="66" t="s">
        <v>231</v>
      </c>
      <c r="I112" s="66" t="s">
        <v>290</v>
      </c>
      <c r="J112" s="66" t="s">
        <v>291</v>
      </c>
      <c r="K112" s="66" t="s">
        <v>292</v>
      </c>
      <c r="L112" s="66" t="s">
        <v>293</v>
      </c>
      <c r="M112" s="66" t="s">
        <v>294</v>
      </c>
      <c r="N112" s="66" t="s">
        <v>295</v>
      </c>
      <c r="O112" s="66" t="s">
        <v>296</v>
      </c>
      <c r="P112" s="66" t="s">
        <v>297</v>
      </c>
      <c r="Q112" s="66" t="s">
        <v>298</v>
      </c>
      <c r="R112" s="66" t="s">
        <v>302</v>
      </c>
      <c r="S112" s="66" t="s">
        <v>316</v>
      </c>
      <c r="T112" s="66" t="s">
        <v>299</v>
      </c>
      <c r="U112" s="66" t="s">
        <v>301</v>
      </c>
      <c r="V112" s="66" t="s">
        <v>303</v>
      </c>
      <c r="W112" s="66" t="s">
        <v>304</v>
      </c>
      <c r="X112" s="66" t="s">
        <v>305</v>
      </c>
      <c r="Y112" s="66" t="s">
        <v>306</v>
      </c>
      <c r="Z112" s="66" t="s">
        <v>307</v>
      </c>
      <c r="AA112" s="66" t="s">
        <v>308</v>
      </c>
      <c r="AB112" s="66" t="s">
        <v>309</v>
      </c>
      <c r="AC112" s="66" t="s">
        <v>310</v>
      </c>
      <c r="AD112" s="66" t="s">
        <v>311</v>
      </c>
      <c r="AE112" s="66" t="s">
        <v>312</v>
      </c>
      <c r="AF112" s="66" t="s">
        <v>313</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zoomScale="115" zoomScaleNormal="115" workbookViewId="0">
      <selection activeCell="C19" sqref="C19"/>
    </sheetView>
  </sheetViews>
  <sheetFormatPr defaultColWidth="0" defaultRowHeight="15" zeroHeight="1" x14ac:dyDescent="0.25"/>
  <cols>
    <col min="1" max="1" width="5.5703125" customWidth="1"/>
    <col min="2" max="2" width="26.140625" bestFit="1" customWidth="1"/>
    <col min="3" max="3" width="24.5703125" customWidth="1"/>
    <col min="4" max="4" width="8.85546875" customWidth="1"/>
    <col min="5" max="16384" width="8.85546875" hidden="1"/>
  </cols>
  <sheetData>
    <row r="1" spans="1:3" x14ac:dyDescent="0.25">
      <c r="A1" s="9" t="s">
        <v>263</v>
      </c>
    </row>
    <row r="2" spans="1:3" x14ac:dyDescent="0.25">
      <c r="B2" t="s">
        <v>266</v>
      </c>
      <c r="C2" s="22" t="s">
        <v>285</v>
      </c>
    </row>
    <row r="3" spans="1:3" x14ac:dyDescent="0.25">
      <c r="B3" t="s">
        <v>264</v>
      </c>
      <c r="C3" s="22">
        <v>0.44</v>
      </c>
    </row>
    <row r="5" spans="1:3" hidden="1" x14ac:dyDescent="0.25">
      <c r="B5" s="64" t="s">
        <v>0</v>
      </c>
      <c r="C5" s="64" t="s">
        <v>264</v>
      </c>
    </row>
    <row r="6" spans="1:3" hidden="1" x14ac:dyDescent="0.25">
      <c r="B6" s="22">
        <f>YEAR('General Config'!C6)</f>
        <v>2023</v>
      </c>
      <c r="C6" s="65">
        <v>0.4</v>
      </c>
    </row>
    <row r="7" spans="1:3" hidden="1" x14ac:dyDescent="0.25">
      <c r="B7" s="22">
        <v>2024</v>
      </c>
      <c r="C7" s="65">
        <v>0.4</v>
      </c>
    </row>
    <row r="8" spans="1:3" hidden="1" x14ac:dyDescent="0.25">
      <c r="B8" s="22">
        <v>2025</v>
      </c>
      <c r="C8" s="65">
        <v>0.42</v>
      </c>
    </row>
    <row r="9" spans="1:3" hidden="1" x14ac:dyDescent="0.25">
      <c r="B9" s="22">
        <v>2027</v>
      </c>
      <c r="C9" s="65">
        <v>0.42</v>
      </c>
    </row>
    <row r="10" spans="1:3" hidden="1" x14ac:dyDescent="0.25">
      <c r="B10" s="22">
        <v>2030</v>
      </c>
      <c r="C10" s="22">
        <v>0.43</v>
      </c>
    </row>
    <row r="11" spans="1:3" hidden="1" x14ac:dyDescent="0.25">
      <c r="B11" s="22">
        <v>2032</v>
      </c>
      <c r="C11" s="22">
        <v>0.45</v>
      </c>
    </row>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376</v>
      </c>
    </row>
    <row r="20" spans="1:3" x14ac:dyDescent="0.25"/>
    <row r="21" spans="1:3" x14ac:dyDescent="0.25">
      <c r="A21" s="9" t="s">
        <v>278</v>
      </c>
    </row>
    <row r="22" spans="1:3" x14ac:dyDescent="0.25">
      <c r="B22" t="s">
        <v>279</v>
      </c>
      <c r="C22" s="22">
        <v>0.02</v>
      </c>
    </row>
    <row r="23" spans="1:3" x14ac:dyDescent="0.25"/>
    <row r="24" spans="1:3" x14ac:dyDescent="0.25">
      <c r="A24" s="9" t="s">
        <v>280</v>
      </c>
    </row>
    <row r="25" spans="1:3" x14ac:dyDescent="0.25">
      <c r="B25" t="s">
        <v>281</v>
      </c>
      <c r="C25" s="22" t="s">
        <v>375</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hidden="1"/>
    <col min="13" max="13" width="22" hidden="1"/>
    <col min="14" max="14" width="26.5703125" hidden="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425781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333</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06" t="s">
        <v>90</v>
      </c>
      <c r="C33" s="106"/>
      <c r="D33" s="106"/>
      <c r="F33" s="106" t="s">
        <v>97</v>
      </c>
      <c r="G33" s="106"/>
      <c r="H33" s="106"/>
    </row>
    <row r="34" spans="2:8" ht="15" hidden="1" x14ac:dyDescent="0.25">
      <c r="B34" s="15" t="s">
        <v>49</v>
      </c>
      <c r="C34" s="15" t="s">
        <v>50</v>
      </c>
      <c r="D34" s="19" t="s">
        <v>76</v>
      </c>
      <c r="F34" s="15" t="s">
        <v>49</v>
      </c>
      <c r="G34" s="15" t="s">
        <v>50</v>
      </c>
      <c r="H34" s="19" t="s">
        <v>76</v>
      </c>
    </row>
    <row r="35" spans="2:8" ht="15" hidden="1" x14ac:dyDescent="0.25">
      <c r="B35" s="101" t="s">
        <v>36</v>
      </c>
      <c r="C35" s="16" t="s">
        <v>51</v>
      </c>
      <c r="D35" s="21">
        <v>5</v>
      </c>
      <c r="F35" s="101" t="s">
        <v>36</v>
      </c>
      <c r="G35" s="16" t="s">
        <v>51</v>
      </c>
      <c r="H35" s="21">
        <v>5</v>
      </c>
    </row>
    <row r="36" spans="2:8" ht="15" hidden="1" x14ac:dyDescent="0.25">
      <c r="B36" s="107"/>
      <c r="C36" s="16" t="s">
        <v>52</v>
      </c>
      <c r="D36" s="21">
        <v>0</v>
      </c>
      <c r="F36" s="107"/>
      <c r="G36" s="16" t="s">
        <v>52</v>
      </c>
      <c r="H36" s="21">
        <v>3</v>
      </c>
    </row>
    <row r="37" spans="2:8" ht="15" hidden="1" x14ac:dyDescent="0.25">
      <c r="B37" s="107"/>
      <c r="C37" s="17" t="s">
        <v>75</v>
      </c>
      <c r="D37" s="21">
        <v>0</v>
      </c>
      <c r="F37" s="107"/>
      <c r="G37" s="17" t="s">
        <v>28</v>
      </c>
      <c r="H37" s="21">
        <v>0</v>
      </c>
    </row>
    <row r="38" spans="2:8" ht="15" hidden="1" x14ac:dyDescent="0.25">
      <c r="B38" s="102"/>
      <c r="C38" s="20" t="s">
        <v>28</v>
      </c>
      <c r="D38" s="21">
        <v>-5</v>
      </c>
      <c r="F38" s="102"/>
      <c r="G38" s="19" t="s">
        <v>96</v>
      </c>
      <c r="H38" s="21" t="s">
        <v>96</v>
      </c>
    </row>
    <row r="39" spans="2:8" ht="14.45" hidden="1" customHeight="1" x14ac:dyDescent="0.25">
      <c r="B39" s="101" t="s">
        <v>60</v>
      </c>
      <c r="C39" s="17" t="s">
        <v>29</v>
      </c>
      <c r="D39" s="21">
        <v>0</v>
      </c>
      <c r="F39" s="101" t="s">
        <v>60</v>
      </c>
      <c r="G39" s="17" t="s">
        <v>29</v>
      </c>
      <c r="H39" s="21">
        <v>0</v>
      </c>
    </row>
    <row r="40" spans="2:8" ht="15" hidden="1" x14ac:dyDescent="0.25">
      <c r="B40" s="107"/>
      <c r="C40" s="17" t="s">
        <v>69</v>
      </c>
      <c r="D40" s="21">
        <v>8</v>
      </c>
      <c r="F40" s="107"/>
      <c r="G40" s="17" t="s">
        <v>69</v>
      </c>
      <c r="H40" s="21">
        <v>8</v>
      </c>
    </row>
    <row r="41" spans="2:8" ht="15" hidden="1" x14ac:dyDescent="0.25">
      <c r="B41" s="107"/>
      <c r="C41" s="17" t="s">
        <v>70</v>
      </c>
      <c r="D41" s="21">
        <v>10</v>
      </c>
      <c r="F41" s="107"/>
      <c r="G41" s="17" t="s">
        <v>70</v>
      </c>
      <c r="H41" s="21">
        <v>10</v>
      </c>
    </row>
    <row r="42" spans="2:8" ht="15" hidden="1" x14ac:dyDescent="0.25">
      <c r="B42" s="107"/>
      <c r="C42" s="17" t="s">
        <v>71</v>
      </c>
      <c r="D42" s="21">
        <v>12</v>
      </c>
      <c r="F42" s="107"/>
      <c r="G42" s="17" t="s">
        <v>71</v>
      </c>
      <c r="H42" s="21">
        <v>12</v>
      </c>
    </row>
    <row r="43" spans="2:8" ht="30" hidden="1" x14ac:dyDescent="0.25">
      <c r="B43" s="107"/>
      <c r="C43" s="17" t="s">
        <v>72</v>
      </c>
      <c r="D43" s="21">
        <v>14</v>
      </c>
      <c r="F43" s="107"/>
      <c r="G43" s="17" t="s">
        <v>72</v>
      </c>
      <c r="H43" s="21">
        <v>14</v>
      </c>
    </row>
    <row r="44" spans="2:8" ht="15" hidden="1" x14ac:dyDescent="0.25">
      <c r="B44" s="102"/>
      <c r="C44" s="17" t="s">
        <v>53</v>
      </c>
      <c r="D44" s="21">
        <v>16</v>
      </c>
      <c r="F44" s="102"/>
      <c r="G44" s="17" t="s">
        <v>53</v>
      </c>
      <c r="H44" s="21">
        <v>16</v>
      </c>
    </row>
    <row r="45" spans="2:8" ht="15" hidden="1" x14ac:dyDescent="0.25">
      <c r="B45" s="101" t="s">
        <v>38</v>
      </c>
      <c r="C45" s="17" t="s">
        <v>46</v>
      </c>
      <c r="D45" s="21">
        <v>0</v>
      </c>
      <c r="F45" s="101" t="s">
        <v>38</v>
      </c>
      <c r="G45" s="17" t="s">
        <v>46</v>
      </c>
      <c r="H45" s="21">
        <v>0</v>
      </c>
    </row>
    <row r="46" spans="2:8" ht="15" hidden="1" x14ac:dyDescent="0.25">
      <c r="B46" s="102"/>
      <c r="C46" s="18" t="s">
        <v>54</v>
      </c>
      <c r="D46" s="21">
        <v>1</v>
      </c>
      <c r="F46" s="102"/>
      <c r="G46" s="18" t="s">
        <v>54</v>
      </c>
      <c r="H46" s="21">
        <v>1</v>
      </c>
    </row>
    <row r="47" spans="2:8" ht="15" hidden="1" x14ac:dyDescent="0.25">
      <c r="B47" s="103" t="s">
        <v>39</v>
      </c>
      <c r="C47" s="18" t="s">
        <v>30</v>
      </c>
      <c r="D47" s="21">
        <v>0</v>
      </c>
      <c r="F47" s="98" t="s">
        <v>39</v>
      </c>
      <c r="G47" s="18" t="s">
        <v>30</v>
      </c>
      <c r="H47" s="21">
        <v>0</v>
      </c>
    </row>
    <row r="48" spans="2:8" ht="15" hidden="1" x14ac:dyDescent="0.25">
      <c r="B48" s="104"/>
      <c r="C48" s="18" t="s">
        <v>77</v>
      </c>
      <c r="D48" s="21">
        <v>2</v>
      </c>
      <c r="F48" s="99"/>
      <c r="G48" s="18" t="s">
        <v>55</v>
      </c>
      <c r="H48" s="21">
        <v>2</v>
      </c>
    </row>
    <row r="49" spans="2:8" ht="15" hidden="1" x14ac:dyDescent="0.25">
      <c r="B49" s="105"/>
      <c r="C49" s="19" t="s">
        <v>96</v>
      </c>
      <c r="D49" s="19" t="s">
        <v>96</v>
      </c>
      <c r="F49" s="100"/>
      <c r="G49" s="18" t="s">
        <v>56</v>
      </c>
      <c r="H49" s="21">
        <v>4</v>
      </c>
    </row>
    <row r="50" spans="2:8" ht="15" hidden="1" x14ac:dyDescent="0.25">
      <c r="B50" s="98" t="s">
        <v>40</v>
      </c>
      <c r="C50" s="18" t="s">
        <v>35</v>
      </c>
      <c r="D50" s="21">
        <v>0</v>
      </c>
      <c r="F50" s="98" t="s">
        <v>40</v>
      </c>
      <c r="G50" s="18" t="s">
        <v>35</v>
      </c>
      <c r="H50" s="21">
        <v>0</v>
      </c>
    </row>
    <row r="51" spans="2:8" ht="15" hidden="1" x14ac:dyDescent="0.25">
      <c r="B51" s="100"/>
      <c r="C51" s="18" t="s">
        <v>73</v>
      </c>
      <c r="D51" s="21">
        <v>16</v>
      </c>
      <c r="F51" s="100"/>
      <c r="G51" s="18" t="s">
        <v>73</v>
      </c>
      <c r="H51" s="21">
        <v>16</v>
      </c>
    </row>
    <row r="52" spans="2:8" ht="15" hidden="1" x14ac:dyDescent="0.25">
      <c r="B52" s="98" t="s">
        <v>43</v>
      </c>
      <c r="C52" s="18" t="s">
        <v>31</v>
      </c>
      <c r="D52" s="21">
        <v>1</v>
      </c>
      <c r="F52" s="98" t="s">
        <v>43</v>
      </c>
      <c r="G52" s="18" t="s">
        <v>31</v>
      </c>
      <c r="H52" s="21">
        <v>1</v>
      </c>
    </row>
    <row r="53" spans="2:8" ht="15" hidden="1" x14ac:dyDescent="0.25">
      <c r="B53" s="100"/>
      <c r="C53" s="18" t="s">
        <v>74</v>
      </c>
      <c r="D53" s="21">
        <v>0</v>
      </c>
      <c r="F53" s="100"/>
      <c r="G53" s="18" t="s">
        <v>74</v>
      </c>
      <c r="H53" s="21">
        <v>0</v>
      </c>
    </row>
    <row r="54" spans="2:8" ht="15" hidden="1" x14ac:dyDescent="0.25">
      <c r="B54" s="98" t="s">
        <v>61</v>
      </c>
      <c r="C54" s="18" t="s">
        <v>57</v>
      </c>
      <c r="D54" s="21">
        <v>0</v>
      </c>
      <c r="F54" s="98" t="s">
        <v>61</v>
      </c>
      <c r="G54" s="18" t="s">
        <v>57</v>
      </c>
      <c r="H54" s="21">
        <v>0</v>
      </c>
    </row>
    <row r="55" spans="2:8" ht="15" hidden="1" x14ac:dyDescent="0.25">
      <c r="B55" s="99"/>
      <c r="C55" s="18" t="s">
        <v>78</v>
      </c>
      <c r="D55" s="21">
        <v>2</v>
      </c>
      <c r="F55" s="99"/>
      <c r="G55" s="18" t="s">
        <v>78</v>
      </c>
      <c r="H55" s="21">
        <v>2</v>
      </c>
    </row>
    <row r="56" spans="2:8" ht="15" hidden="1" x14ac:dyDescent="0.25">
      <c r="B56" s="99"/>
      <c r="C56" s="18" t="s">
        <v>47</v>
      </c>
      <c r="D56" s="21">
        <v>3</v>
      </c>
      <c r="F56" s="99"/>
      <c r="G56" s="18" t="s">
        <v>47</v>
      </c>
      <c r="H56" s="21">
        <v>3</v>
      </c>
    </row>
    <row r="57" spans="2:8" ht="15" hidden="1" x14ac:dyDescent="0.25">
      <c r="B57" s="100"/>
      <c r="C57" s="18" t="s">
        <v>79</v>
      </c>
      <c r="D57" s="21">
        <v>4</v>
      </c>
      <c r="F57" s="100"/>
      <c r="G57" s="18" t="s">
        <v>79</v>
      </c>
      <c r="H57" s="21">
        <v>4</v>
      </c>
    </row>
    <row r="58" spans="2:8" ht="15" hidden="1" x14ac:dyDescent="0.25">
      <c r="B58" s="98" t="s">
        <v>27</v>
      </c>
      <c r="C58" s="18" t="s">
        <v>80</v>
      </c>
      <c r="D58" s="21">
        <v>0</v>
      </c>
      <c r="F58" s="98" t="s">
        <v>27</v>
      </c>
      <c r="G58" s="18" t="s">
        <v>58</v>
      </c>
      <c r="H58" s="21">
        <v>0</v>
      </c>
    </row>
    <row r="59" spans="2:8" ht="15" hidden="1" x14ac:dyDescent="0.25">
      <c r="B59" s="99"/>
      <c r="C59" s="18" t="s">
        <v>48</v>
      </c>
      <c r="D59" s="21">
        <v>3</v>
      </c>
      <c r="F59" s="99"/>
      <c r="G59" s="18" t="s">
        <v>32</v>
      </c>
      <c r="H59" s="21">
        <v>6</v>
      </c>
    </row>
    <row r="60" spans="2:8" ht="15" hidden="1" x14ac:dyDescent="0.25">
      <c r="B60" s="100"/>
      <c r="C60" s="18" t="s">
        <v>81</v>
      </c>
      <c r="D60" s="21">
        <v>5</v>
      </c>
      <c r="F60" s="100"/>
      <c r="G60" s="18" t="s">
        <v>59</v>
      </c>
      <c r="H60" s="21">
        <v>10</v>
      </c>
    </row>
    <row r="61" spans="2:8" ht="15" hidden="1" x14ac:dyDescent="0.25">
      <c r="B61" s="98" t="s">
        <v>62</v>
      </c>
      <c r="C61" s="18" t="s">
        <v>33</v>
      </c>
      <c r="D61" s="21">
        <v>0</v>
      </c>
      <c r="F61" s="98" t="s">
        <v>62</v>
      </c>
      <c r="G61" s="18" t="s">
        <v>33</v>
      </c>
      <c r="H61" s="21">
        <v>0</v>
      </c>
    </row>
    <row r="62" spans="2:8" ht="15" hidden="1" x14ac:dyDescent="0.25">
      <c r="B62" s="99"/>
      <c r="C62" s="18" t="s">
        <v>82</v>
      </c>
      <c r="D62" s="21">
        <v>0.5</v>
      </c>
      <c r="F62" s="99"/>
      <c r="G62" s="18" t="s">
        <v>82</v>
      </c>
      <c r="H62" s="21">
        <v>0.5</v>
      </c>
    </row>
    <row r="63" spans="2:8" ht="15" hidden="1" x14ac:dyDescent="0.25">
      <c r="B63" s="99"/>
      <c r="C63" s="18" t="s">
        <v>83</v>
      </c>
      <c r="D63" s="21">
        <v>1</v>
      </c>
      <c r="F63" s="99"/>
      <c r="G63" s="18" t="s">
        <v>83</v>
      </c>
      <c r="H63" s="21">
        <v>1</v>
      </c>
    </row>
    <row r="64" spans="2:8" ht="15" hidden="1" x14ac:dyDescent="0.25">
      <c r="B64" s="99"/>
      <c r="C64" s="18" t="s">
        <v>84</v>
      </c>
      <c r="D64" s="21">
        <v>1.5</v>
      </c>
      <c r="F64" s="99"/>
      <c r="G64" s="18" t="s">
        <v>84</v>
      </c>
      <c r="H64" s="21">
        <v>1.5</v>
      </c>
    </row>
    <row r="65" spans="2:8" ht="15" hidden="1" x14ac:dyDescent="0.25">
      <c r="B65" s="99"/>
      <c r="C65" s="18" t="s">
        <v>85</v>
      </c>
      <c r="D65" s="21">
        <v>2</v>
      </c>
      <c r="F65" s="99"/>
      <c r="G65" s="18" t="s">
        <v>85</v>
      </c>
      <c r="H65" s="21">
        <v>2</v>
      </c>
    </row>
    <row r="66" spans="2:8" ht="15" hidden="1" x14ac:dyDescent="0.25">
      <c r="B66" s="100"/>
      <c r="C66" s="18" t="s">
        <v>92</v>
      </c>
      <c r="D66" s="21">
        <v>4</v>
      </c>
      <c r="F66" s="100"/>
      <c r="G66" s="18" t="s">
        <v>92</v>
      </c>
      <c r="H66" s="21">
        <v>4</v>
      </c>
    </row>
    <row r="67" spans="2:8" ht="15" hidden="1" x14ac:dyDescent="0.25">
      <c r="B67" s="98" t="s">
        <v>63</v>
      </c>
      <c r="C67" s="18" t="s">
        <v>34</v>
      </c>
      <c r="D67" s="21">
        <v>0</v>
      </c>
      <c r="F67" s="98" t="s">
        <v>63</v>
      </c>
      <c r="G67" s="18" t="s">
        <v>34</v>
      </c>
      <c r="H67" s="21">
        <v>0</v>
      </c>
    </row>
    <row r="68" spans="2:8" ht="15" hidden="1" x14ac:dyDescent="0.25">
      <c r="B68" s="99"/>
      <c r="C68" s="18" t="s">
        <v>88</v>
      </c>
      <c r="D68" s="21">
        <v>0.5</v>
      </c>
      <c r="F68" s="99"/>
      <c r="G68" s="18" t="s">
        <v>93</v>
      </c>
      <c r="H68" s="21">
        <v>1</v>
      </c>
    </row>
    <row r="69" spans="2:8" ht="15" hidden="1" x14ac:dyDescent="0.25">
      <c r="B69" s="99"/>
      <c r="C69" s="18" t="s">
        <v>89</v>
      </c>
      <c r="D69" s="21">
        <v>0.75</v>
      </c>
      <c r="F69" s="99"/>
      <c r="G69" s="18" t="s">
        <v>94</v>
      </c>
      <c r="H69" s="21">
        <v>2</v>
      </c>
    </row>
    <row r="70" spans="2:8" ht="15" hidden="1" x14ac:dyDescent="0.25">
      <c r="B70" s="100"/>
      <c r="C70" s="18" t="s">
        <v>91</v>
      </c>
      <c r="D70" s="21">
        <v>1</v>
      </c>
      <c r="F70" s="99"/>
      <c r="G70" s="18" t="s">
        <v>86</v>
      </c>
      <c r="H70" s="21">
        <v>3</v>
      </c>
    </row>
    <row r="71" spans="2:8" ht="15" hidden="1" x14ac:dyDescent="0.25">
      <c r="F71" s="99"/>
      <c r="G71" s="18" t="s">
        <v>87</v>
      </c>
      <c r="H71" s="21">
        <v>4</v>
      </c>
    </row>
    <row r="72" spans="2:8" ht="15" hidden="1" x14ac:dyDescent="0.25">
      <c r="F72" s="100"/>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tabSelected="1" topLeftCell="A13" zoomScaleNormal="100" workbookViewId="0">
      <selection activeCell="E28" sqref="E28"/>
    </sheetView>
  </sheetViews>
  <sheetFormatPr defaultColWidth="0" defaultRowHeight="15" zeroHeight="1" x14ac:dyDescent="0.25"/>
  <cols>
    <col min="1" max="1" width="5.42578125" customWidth="1"/>
    <col min="2" max="2" width="32.140625" customWidth="1"/>
    <col min="3" max="3" width="18.85546875" customWidth="1"/>
    <col min="4" max="4" width="8" bestFit="1" customWidth="1"/>
    <col min="5" max="5" width="8" customWidth="1"/>
    <col min="6" max="6" width="4.5703125"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249</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x14ac:dyDescent="0.25">
      <c r="A37" s="9" t="s">
        <v>249</v>
      </c>
    </row>
    <row r="38" spans="1:6" ht="14.45" customHeight="1" x14ac:dyDescent="0.25">
      <c r="B38" s="114" t="s">
        <v>250</v>
      </c>
      <c r="C38" s="116" t="s">
        <v>251</v>
      </c>
      <c r="D38" s="110" t="s">
        <v>255</v>
      </c>
      <c r="E38" s="108" t="s">
        <v>256</v>
      </c>
      <c r="F38" s="47"/>
    </row>
    <row r="39" spans="1:6" x14ac:dyDescent="0.25">
      <c r="B39" s="115"/>
      <c r="C39" s="117"/>
      <c r="D39" s="111"/>
      <c r="E39" s="109"/>
    </row>
    <row r="40" spans="1:6" x14ac:dyDescent="0.25">
      <c r="B40" s="46">
        <v>0</v>
      </c>
      <c r="C40" s="48">
        <v>1</v>
      </c>
      <c r="D40" s="53">
        <v>0.313726</v>
      </c>
      <c r="E40" s="54">
        <v>0.54901999999999995</v>
      </c>
    </row>
    <row r="41" spans="1:6" x14ac:dyDescent="0.25">
      <c r="B41" s="46">
        <v>1</v>
      </c>
      <c r="C41" s="51">
        <v>1.2</v>
      </c>
      <c r="D41" s="53">
        <v>0.27450999999999998</v>
      </c>
      <c r="E41" s="54">
        <v>0.50980400000000003</v>
      </c>
    </row>
    <row r="42" spans="1:6" x14ac:dyDescent="0.25">
      <c r="A42" s="52"/>
      <c r="B42" s="50">
        <v>1.2</v>
      </c>
      <c r="C42" s="58">
        <v>1.4</v>
      </c>
      <c r="D42" s="59">
        <v>0.235295</v>
      </c>
      <c r="E42" s="54">
        <v>0.47058899999999998</v>
      </c>
    </row>
    <row r="43" spans="1:6" x14ac:dyDescent="0.25">
      <c r="A43" s="52"/>
      <c r="B43" s="50">
        <v>1.4</v>
      </c>
      <c r="C43" s="49">
        <v>1.6</v>
      </c>
      <c r="D43" s="54">
        <v>0.196079</v>
      </c>
      <c r="E43" s="54">
        <v>0.43137300000000001</v>
      </c>
    </row>
    <row r="44" spans="1:6" x14ac:dyDescent="0.25">
      <c r="B44" s="46">
        <v>1.6</v>
      </c>
      <c r="C44" s="51">
        <v>999</v>
      </c>
      <c r="D44" s="54">
        <v>0.156863</v>
      </c>
      <c r="E44" s="54">
        <v>0.39215699999999998</v>
      </c>
    </row>
    <row r="45" spans="1:6" x14ac:dyDescent="0.25">
      <c r="B45" s="46"/>
      <c r="C45" s="51"/>
      <c r="D45" s="57"/>
      <c r="E45" s="57"/>
    </row>
    <row r="46" spans="1:6" x14ac:dyDescent="0.25">
      <c r="B46" s="46"/>
      <c r="C46" s="51"/>
      <c r="D46" s="57"/>
      <c r="E46" s="57"/>
    </row>
    <row r="47" spans="1:6" x14ac:dyDescent="0.25"/>
    <row r="48" spans="1:6" hidden="1" x14ac:dyDescent="0.25">
      <c r="A48" s="9" t="s">
        <v>252</v>
      </c>
    </row>
    <row r="49" spans="1:5" ht="14.45" hidden="1" customHeight="1" x14ac:dyDescent="0.25">
      <c r="B49" s="114" t="s">
        <v>253</v>
      </c>
      <c r="C49" s="116" t="s">
        <v>254</v>
      </c>
      <c r="D49" s="110" t="s">
        <v>255</v>
      </c>
      <c r="E49" s="112" t="s">
        <v>256</v>
      </c>
    </row>
    <row r="50" spans="1:5" hidden="1" x14ac:dyDescent="0.25">
      <c r="B50" s="115"/>
      <c r="C50" s="117"/>
      <c r="D50" s="111"/>
      <c r="E50" s="11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345</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06" t="s">
        <v>90</v>
      </c>
      <c r="C35" s="106"/>
      <c r="D35" s="106"/>
      <c r="F35" s="106" t="s">
        <v>97</v>
      </c>
      <c r="G35" s="106"/>
      <c r="H35" s="106"/>
    </row>
    <row r="36" spans="2:8" hidden="1" x14ac:dyDescent="0.25">
      <c r="B36" s="15" t="s">
        <v>49</v>
      </c>
      <c r="C36" s="15" t="s">
        <v>50</v>
      </c>
      <c r="D36" s="19" t="s">
        <v>76</v>
      </c>
      <c r="F36" s="15" t="s">
        <v>49</v>
      </c>
      <c r="G36" s="15" t="s">
        <v>50</v>
      </c>
      <c r="H36" s="19" t="s">
        <v>76</v>
      </c>
    </row>
    <row r="37" spans="2:8" hidden="1" x14ac:dyDescent="0.25">
      <c r="B37" s="101" t="s">
        <v>36</v>
      </c>
      <c r="C37" s="16" t="s">
        <v>51</v>
      </c>
      <c r="D37" s="21">
        <v>5</v>
      </c>
      <c r="F37" s="101" t="s">
        <v>36</v>
      </c>
      <c r="G37" s="16" t="s">
        <v>51</v>
      </c>
      <c r="H37" s="21">
        <v>5</v>
      </c>
    </row>
    <row r="38" spans="2:8" hidden="1" x14ac:dyDescent="0.25">
      <c r="B38" s="107"/>
      <c r="C38" s="16" t="s">
        <v>52</v>
      </c>
      <c r="D38" s="21">
        <v>0</v>
      </c>
      <c r="F38" s="107"/>
      <c r="G38" s="16" t="s">
        <v>52</v>
      </c>
      <c r="H38" s="21">
        <v>3</v>
      </c>
    </row>
    <row r="39" spans="2:8" hidden="1" x14ac:dyDescent="0.25">
      <c r="B39" s="107"/>
      <c r="C39" s="17" t="s">
        <v>75</v>
      </c>
      <c r="D39" s="21">
        <v>0</v>
      </c>
      <c r="F39" s="107"/>
      <c r="G39" s="17" t="s">
        <v>28</v>
      </c>
      <c r="H39" s="21">
        <v>0</v>
      </c>
    </row>
    <row r="40" spans="2:8" hidden="1" x14ac:dyDescent="0.25">
      <c r="B40" s="102"/>
      <c r="C40" s="20" t="s">
        <v>28</v>
      </c>
      <c r="D40" s="21">
        <v>-5</v>
      </c>
      <c r="F40" s="102"/>
      <c r="G40" s="19" t="s">
        <v>96</v>
      </c>
      <c r="H40" s="21" t="s">
        <v>96</v>
      </c>
    </row>
    <row r="41" spans="2:8" ht="14.45" hidden="1" customHeight="1" x14ac:dyDescent="0.25">
      <c r="B41" s="101" t="s">
        <v>60</v>
      </c>
      <c r="C41" s="17" t="s">
        <v>29</v>
      </c>
      <c r="D41" s="21">
        <v>0</v>
      </c>
      <c r="F41" s="101" t="s">
        <v>60</v>
      </c>
      <c r="G41" s="17" t="s">
        <v>29</v>
      </c>
      <c r="H41" s="21">
        <v>0</v>
      </c>
    </row>
    <row r="42" spans="2:8" hidden="1" x14ac:dyDescent="0.25">
      <c r="B42" s="107"/>
      <c r="C42" s="17" t="s">
        <v>69</v>
      </c>
      <c r="D42" s="21">
        <v>8</v>
      </c>
      <c r="F42" s="107"/>
      <c r="G42" s="17" t="s">
        <v>69</v>
      </c>
      <c r="H42" s="21">
        <v>8</v>
      </c>
    </row>
    <row r="43" spans="2:8" hidden="1" x14ac:dyDescent="0.25">
      <c r="B43" s="107"/>
      <c r="C43" s="17" t="s">
        <v>70</v>
      </c>
      <c r="D43" s="21">
        <v>10</v>
      </c>
      <c r="F43" s="107"/>
      <c r="G43" s="17" t="s">
        <v>70</v>
      </c>
      <c r="H43" s="21">
        <v>10</v>
      </c>
    </row>
    <row r="44" spans="2:8" hidden="1" x14ac:dyDescent="0.25">
      <c r="B44" s="107"/>
      <c r="C44" s="17" t="s">
        <v>71</v>
      </c>
      <c r="D44" s="21">
        <v>12</v>
      </c>
      <c r="F44" s="107"/>
      <c r="G44" s="17" t="s">
        <v>71</v>
      </c>
      <c r="H44" s="21">
        <v>12</v>
      </c>
    </row>
    <row r="45" spans="2:8" ht="30" hidden="1" x14ac:dyDescent="0.25">
      <c r="B45" s="107"/>
      <c r="C45" s="17" t="s">
        <v>72</v>
      </c>
      <c r="D45" s="21">
        <v>14</v>
      </c>
      <c r="F45" s="107"/>
      <c r="G45" s="17" t="s">
        <v>72</v>
      </c>
      <c r="H45" s="21">
        <v>14</v>
      </c>
    </row>
    <row r="46" spans="2:8" hidden="1" x14ac:dyDescent="0.25">
      <c r="B46" s="102"/>
      <c r="C46" s="17" t="s">
        <v>53</v>
      </c>
      <c r="D46" s="21">
        <v>16</v>
      </c>
      <c r="F46" s="102"/>
      <c r="G46" s="17" t="s">
        <v>53</v>
      </c>
      <c r="H46" s="21">
        <v>16</v>
      </c>
    </row>
    <row r="47" spans="2:8" hidden="1" x14ac:dyDescent="0.25">
      <c r="B47" s="101" t="s">
        <v>38</v>
      </c>
      <c r="C47" s="17" t="s">
        <v>46</v>
      </c>
      <c r="D47" s="21">
        <v>0</v>
      </c>
      <c r="F47" s="101" t="s">
        <v>38</v>
      </c>
      <c r="G47" s="17" t="s">
        <v>46</v>
      </c>
      <c r="H47" s="21">
        <v>0</v>
      </c>
    </row>
    <row r="48" spans="2:8" hidden="1" x14ac:dyDescent="0.25">
      <c r="B48" s="102"/>
      <c r="C48" s="18" t="s">
        <v>54</v>
      </c>
      <c r="D48" s="21">
        <v>1</v>
      </c>
      <c r="F48" s="102"/>
      <c r="G48" s="18" t="s">
        <v>54</v>
      </c>
      <c r="H48" s="21">
        <v>1</v>
      </c>
    </row>
    <row r="49" spans="2:8" hidden="1" x14ac:dyDescent="0.25">
      <c r="B49" s="103" t="s">
        <v>39</v>
      </c>
      <c r="C49" s="18" t="s">
        <v>30</v>
      </c>
      <c r="D49" s="21">
        <v>0</v>
      </c>
      <c r="F49" s="98" t="s">
        <v>39</v>
      </c>
      <c r="G49" s="18" t="s">
        <v>30</v>
      </c>
      <c r="H49" s="21">
        <v>0</v>
      </c>
    </row>
    <row r="50" spans="2:8" hidden="1" x14ac:dyDescent="0.25">
      <c r="B50" s="104"/>
      <c r="C50" s="18" t="s">
        <v>77</v>
      </c>
      <c r="D50" s="21">
        <v>2</v>
      </c>
      <c r="F50" s="99"/>
      <c r="G50" s="18" t="s">
        <v>55</v>
      </c>
      <c r="H50" s="21">
        <v>2</v>
      </c>
    </row>
    <row r="51" spans="2:8" hidden="1" x14ac:dyDescent="0.25">
      <c r="B51" s="105"/>
      <c r="C51" s="19" t="s">
        <v>96</v>
      </c>
      <c r="D51" s="19" t="s">
        <v>96</v>
      </c>
      <c r="F51" s="100"/>
      <c r="G51" s="18" t="s">
        <v>56</v>
      </c>
      <c r="H51" s="21">
        <v>4</v>
      </c>
    </row>
    <row r="52" spans="2:8" hidden="1" x14ac:dyDescent="0.25">
      <c r="B52" s="98" t="s">
        <v>40</v>
      </c>
      <c r="C52" s="18" t="s">
        <v>35</v>
      </c>
      <c r="D52" s="21">
        <v>0</v>
      </c>
      <c r="F52" s="98" t="s">
        <v>40</v>
      </c>
      <c r="G52" s="18" t="s">
        <v>35</v>
      </c>
      <c r="H52" s="21">
        <v>0</v>
      </c>
    </row>
    <row r="53" spans="2:8" hidden="1" x14ac:dyDescent="0.25">
      <c r="B53" s="100"/>
      <c r="C53" s="18" t="s">
        <v>73</v>
      </c>
      <c r="D53" s="21">
        <v>16</v>
      </c>
      <c r="F53" s="100"/>
      <c r="G53" s="18" t="s">
        <v>73</v>
      </c>
      <c r="H53" s="21">
        <v>16</v>
      </c>
    </row>
    <row r="54" spans="2:8" hidden="1" x14ac:dyDescent="0.25">
      <c r="B54" s="98" t="s">
        <v>43</v>
      </c>
      <c r="C54" s="18" t="s">
        <v>31</v>
      </c>
      <c r="D54" s="21">
        <v>1</v>
      </c>
      <c r="F54" s="98" t="s">
        <v>43</v>
      </c>
      <c r="G54" s="18" t="s">
        <v>31</v>
      </c>
      <c r="H54" s="21">
        <v>1</v>
      </c>
    </row>
    <row r="55" spans="2:8" hidden="1" x14ac:dyDescent="0.25">
      <c r="B55" s="100"/>
      <c r="C55" s="18" t="s">
        <v>74</v>
      </c>
      <c r="D55" s="21">
        <v>0</v>
      </c>
      <c r="F55" s="100"/>
      <c r="G55" s="18" t="s">
        <v>74</v>
      </c>
      <c r="H55" s="21">
        <v>0</v>
      </c>
    </row>
    <row r="56" spans="2:8" hidden="1" x14ac:dyDescent="0.25">
      <c r="B56" s="98" t="s">
        <v>61</v>
      </c>
      <c r="C56" s="18" t="s">
        <v>57</v>
      </c>
      <c r="D56" s="21">
        <v>0</v>
      </c>
      <c r="F56" s="98" t="s">
        <v>61</v>
      </c>
      <c r="G56" s="18" t="s">
        <v>57</v>
      </c>
      <c r="H56" s="21">
        <v>0</v>
      </c>
    </row>
    <row r="57" spans="2:8" hidden="1" x14ac:dyDescent="0.25">
      <c r="B57" s="99"/>
      <c r="C57" s="18" t="s">
        <v>78</v>
      </c>
      <c r="D57" s="21">
        <v>2</v>
      </c>
      <c r="F57" s="99"/>
      <c r="G57" s="18" t="s">
        <v>78</v>
      </c>
      <c r="H57" s="21">
        <v>2</v>
      </c>
    </row>
    <row r="58" spans="2:8" hidden="1" x14ac:dyDescent="0.25">
      <c r="B58" s="99"/>
      <c r="C58" s="18" t="s">
        <v>47</v>
      </c>
      <c r="D58" s="21">
        <v>3</v>
      </c>
      <c r="F58" s="99"/>
      <c r="G58" s="18" t="s">
        <v>47</v>
      </c>
      <c r="H58" s="21">
        <v>3</v>
      </c>
    </row>
    <row r="59" spans="2:8" hidden="1" x14ac:dyDescent="0.25">
      <c r="B59" s="100"/>
      <c r="C59" s="18" t="s">
        <v>79</v>
      </c>
      <c r="D59" s="21">
        <v>4</v>
      </c>
      <c r="F59" s="100"/>
      <c r="G59" s="18" t="s">
        <v>79</v>
      </c>
      <c r="H59" s="21">
        <v>4</v>
      </c>
    </row>
    <row r="60" spans="2:8" hidden="1" x14ac:dyDescent="0.25">
      <c r="B60" s="98" t="s">
        <v>27</v>
      </c>
      <c r="C60" s="18" t="s">
        <v>80</v>
      </c>
      <c r="D60" s="21">
        <v>0</v>
      </c>
      <c r="F60" s="98" t="s">
        <v>27</v>
      </c>
      <c r="G60" s="18" t="s">
        <v>80</v>
      </c>
      <c r="H60" s="21">
        <v>0</v>
      </c>
    </row>
    <row r="61" spans="2:8" hidden="1" x14ac:dyDescent="0.25">
      <c r="B61" s="99"/>
      <c r="C61" s="18" t="s">
        <v>48</v>
      </c>
      <c r="D61" s="21">
        <v>3</v>
      </c>
      <c r="F61" s="99"/>
      <c r="G61" s="18" t="s">
        <v>48</v>
      </c>
      <c r="H61" s="21">
        <v>6</v>
      </c>
    </row>
    <row r="62" spans="2:8" hidden="1" x14ac:dyDescent="0.25">
      <c r="B62" s="100"/>
      <c r="C62" s="18" t="s">
        <v>81</v>
      </c>
      <c r="D62" s="21">
        <v>5</v>
      </c>
      <c r="F62" s="100"/>
      <c r="G62" s="18" t="s">
        <v>81</v>
      </c>
      <c r="H62" s="21">
        <v>10</v>
      </c>
    </row>
    <row r="63" spans="2:8" hidden="1" x14ac:dyDescent="0.25">
      <c r="B63" s="98" t="s">
        <v>62</v>
      </c>
      <c r="C63" s="18" t="s">
        <v>33</v>
      </c>
      <c r="D63" s="21">
        <v>0</v>
      </c>
      <c r="F63" s="98" t="s">
        <v>62</v>
      </c>
      <c r="G63" s="18" t="s">
        <v>33</v>
      </c>
      <c r="H63" s="21">
        <v>0</v>
      </c>
    </row>
    <row r="64" spans="2:8" hidden="1" x14ac:dyDescent="0.25">
      <c r="B64" s="99"/>
      <c r="C64" s="18" t="s">
        <v>82</v>
      </c>
      <c r="D64" s="21">
        <v>0.5</v>
      </c>
      <c r="F64" s="99"/>
      <c r="G64" s="18" t="s">
        <v>82</v>
      </c>
      <c r="H64" s="21">
        <v>0.5</v>
      </c>
    </row>
    <row r="65" spans="2:8" hidden="1" x14ac:dyDescent="0.25">
      <c r="B65" s="99"/>
      <c r="C65" s="18" t="s">
        <v>83</v>
      </c>
      <c r="D65" s="21">
        <v>1</v>
      </c>
      <c r="F65" s="99"/>
      <c r="G65" s="18" t="s">
        <v>83</v>
      </c>
      <c r="H65" s="21">
        <v>1</v>
      </c>
    </row>
    <row r="66" spans="2:8" hidden="1" x14ac:dyDescent="0.25">
      <c r="B66" s="99"/>
      <c r="C66" s="18" t="s">
        <v>84</v>
      </c>
      <c r="D66" s="21">
        <v>1.5</v>
      </c>
      <c r="F66" s="99"/>
      <c r="G66" s="18" t="s">
        <v>84</v>
      </c>
      <c r="H66" s="21">
        <v>1.5</v>
      </c>
    </row>
    <row r="67" spans="2:8" hidden="1" x14ac:dyDescent="0.25">
      <c r="B67" s="99"/>
      <c r="C67" s="18" t="s">
        <v>85</v>
      </c>
      <c r="D67" s="21">
        <v>2</v>
      </c>
      <c r="F67" s="99"/>
      <c r="G67" s="18" t="s">
        <v>85</v>
      </c>
      <c r="H67" s="21">
        <v>2</v>
      </c>
    </row>
    <row r="68" spans="2:8" hidden="1" x14ac:dyDescent="0.25">
      <c r="B68" s="100"/>
      <c r="C68" s="18" t="s">
        <v>92</v>
      </c>
      <c r="D68" s="21">
        <v>4</v>
      </c>
      <c r="F68" s="100"/>
      <c r="G68" s="18" t="s">
        <v>92</v>
      </c>
      <c r="H68" s="21">
        <v>4</v>
      </c>
    </row>
    <row r="69" spans="2:8" hidden="1" x14ac:dyDescent="0.25">
      <c r="B69" s="98" t="s">
        <v>63</v>
      </c>
      <c r="C69" s="18" t="s">
        <v>34</v>
      </c>
      <c r="D69" s="21">
        <v>0</v>
      </c>
      <c r="F69" s="98" t="s">
        <v>63</v>
      </c>
      <c r="G69" s="18" t="s">
        <v>34</v>
      </c>
      <c r="H69" s="21">
        <v>0</v>
      </c>
    </row>
    <row r="70" spans="2:8" hidden="1" x14ac:dyDescent="0.25">
      <c r="B70" s="99"/>
      <c r="C70" s="18" t="s">
        <v>88</v>
      </c>
      <c r="D70" s="21">
        <v>0.5</v>
      </c>
      <c r="F70" s="99"/>
      <c r="G70" s="18" t="s">
        <v>93</v>
      </c>
      <c r="H70" s="21">
        <v>1</v>
      </c>
    </row>
    <row r="71" spans="2:8" hidden="1" x14ac:dyDescent="0.25">
      <c r="B71" s="99"/>
      <c r="C71" s="18" t="s">
        <v>89</v>
      </c>
      <c r="D71" s="21">
        <v>0.75</v>
      </c>
      <c r="F71" s="99"/>
      <c r="G71" s="18" t="s">
        <v>94</v>
      </c>
      <c r="H71" s="21">
        <v>2</v>
      </c>
    </row>
    <row r="72" spans="2:8" hidden="1" x14ac:dyDescent="0.25">
      <c r="B72" s="100"/>
      <c r="C72" s="18" t="s">
        <v>91</v>
      </c>
      <c r="D72" s="21">
        <v>1</v>
      </c>
      <c r="F72" s="99"/>
      <c r="G72" s="18" t="s">
        <v>86</v>
      </c>
      <c r="H72" s="21">
        <v>3</v>
      </c>
    </row>
    <row r="73" spans="2:8" hidden="1" x14ac:dyDescent="0.25">
      <c r="F73" s="99"/>
      <c r="G73" s="18" t="s">
        <v>87</v>
      </c>
      <c r="H73" s="21">
        <v>4</v>
      </c>
    </row>
    <row r="74" spans="2:8" hidden="1" x14ac:dyDescent="0.25">
      <c r="F74" s="100"/>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14" t="s">
        <v>250</v>
      </c>
      <c r="C38" s="116" t="s">
        <v>251</v>
      </c>
      <c r="D38" s="110" t="s">
        <v>255</v>
      </c>
      <c r="E38" s="108" t="s">
        <v>256</v>
      </c>
      <c r="F38" s="47"/>
    </row>
    <row r="39" spans="1:6" ht="15" hidden="1" x14ac:dyDescent="0.25">
      <c r="B39" s="115"/>
      <c r="C39" s="117"/>
      <c r="D39" s="111"/>
      <c r="E39" s="10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4" t="s">
        <v>253</v>
      </c>
      <c r="C49" s="116" t="s">
        <v>254</v>
      </c>
      <c r="D49" s="110" t="s">
        <v>255</v>
      </c>
      <c r="E49" s="112" t="s">
        <v>256</v>
      </c>
    </row>
    <row r="50" spans="1:5" ht="15" hidden="1" x14ac:dyDescent="0.25">
      <c r="B50" s="115"/>
      <c r="C50" s="117"/>
      <c r="D50" s="111"/>
      <c r="E50" s="11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A2" sqref="A2"/>
    </sheetView>
  </sheetViews>
  <sheetFormatPr defaultColWidth="0" defaultRowHeight="15" zeroHeight="1" x14ac:dyDescent="0.25"/>
  <cols>
    <col min="1" max="1" width="11.140625" customWidth="1"/>
    <col min="2" max="2" width="16.5703125" bestFit="1" customWidth="1"/>
    <col min="3" max="3" width="14" bestFit="1" customWidth="1"/>
    <col min="4" max="4" width="10" bestFit="1" customWidth="1"/>
    <col min="5" max="5" width="18.42578125" bestFit="1" customWidth="1"/>
    <col min="6" max="6" width="19.5703125" bestFit="1" customWidth="1"/>
    <col min="7" max="7" width="14.85546875" bestFit="1" customWidth="1"/>
    <col min="8" max="8" width="14.425781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570312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42578125" customWidth="1"/>
    <col min="2" max="2" width="16.855468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352</v>
      </c>
      <c r="F1" s="9" t="s">
        <v>356</v>
      </c>
    </row>
    <row r="2" spans="1:14" x14ac:dyDescent="0.25">
      <c r="B2" t="s">
        <v>353</v>
      </c>
      <c r="C2" s="29">
        <v>0.2</v>
      </c>
      <c r="G2" s="9" t="s">
        <v>357</v>
      </c>
    </row>
    <row r="3" spans="1:14" x14ac:dyDescent="0.25">
      <c r="B3" t="s">
        <v>354</v>
      </c>
      <c r="C3" s="29">
        <v>0.2</v>
      </c>
      <c r="G3" s="80"/>
      <c r="H3" s="80"/>
      <c r="I3" s="80"/>
      <c r="J3" s="80"/>
      <c r="K3" s="80"/>
      <c r="L3" s="80"/>
      <c r="M3" s="80"/>
      <c r="N3" s="80"/>
    </row>
    <row r="4" spans="1:14" x14ac:dyDescent="0.25">
      <c r="B4" t="s">
        <v>355</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342</v>
      </c>
      <c r="D6" s="83" t="s">
        <v>343</v>
      </c>
      <c r="E6" s="83" t="s">
        <v>344</v>
      </c>
      <c r="G6" s="80"/>
      <c r="H6" s="80"/>
      <c r="I6" s="80"/>
      <c r="J6" s="80"/>
      <c r="K6" s="80"/>
      <c r="L6" s="80"/>
      <c r="M6" s="80"/>
      <c r="N6" s="80"/>
    </row>
    <row r="7" spans="1:14" x14ac:dyDescent="0.25">
      <c r="B7" t="s">
        <v>367</v>
      </c>
      <c r="C7" s="25">
        <f>D7-$C$2*D7</f>
        <v>0</v>
      </c>
      <c r="D7" s="25">
        <f>IFERROR(AVERAGE(tbl_prod_oil[Oil Price (USD/BBL)]),0)</f>
        <v>0</v>
      </c>
      <c r="E7" s="25">
        <f>D7+$C$3*D7</f>
        <v>0</v>
      </c>
      <c r="G7" s="80"/>
      <c r="H7" s="80"/>
      <c r="I7" s="80"/>
      <c r="J7" s="80"/>
      <c r="K7" s="80"/>
      <c r="L7" s="80"/>
      <c r="M7" s="80"/>
      <c r="N7" s="80"/>
    </row>
    <row r="8" spans="1:14" x14ac:dyDescent="0.25">
      <c r="B8" t="s">
        <v>368</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369</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347</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358</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332</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311</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vt:i4>
      </vt:variant>
    </vt:vector>
  </HeadingPairs>
  <TitlesOfParts>
    <vt:vector size="36" baseType="lpstr">
      <vt:lpstr>Cover</vt:lpstr>
      <vt:lpstr>UserGuide</vt:lpstr>
      <vt:lpstr>Summary</vt:lpstr>
      <vt:lpstr>General Config</vt:lpstr>
      <vt:lpstr>Optimization</vt:lpstr>
      <vt:lpstr>Prod Electricity (2)</vt:lpstr>
      <vt:lpstr>Monte Carlo</vt:lpstr>
      <vt:lpstr>Prod Gas (2)</vt:lpstr>
      <vt:lpstr>Uncertainity</vt:lpstr>
      <vt:lpstr>Result Table GS</vt:lpstr>
      <vt:lpstr>Result Table CR</vt:lpstr>
      <vt:lpstr>Fiscal Config</vt:lpstr>
      <vt:lpstr>Prod Oil</vt:lpstr>
      <vt:lpstr>Prod Gas</vt:lpstr>
      <vt:lpstr>Prod LPG Propane</vt:lpstr>
      <vt:lpstr>Prod LPG Butane</vt:lpstr>
      <vt:lpstr>Prod CO2</vt:lpstr>
      <vt:lpstr>Prod Sulfur</vt:lpstr>
      <vt:lpstr>Prod Electricity</vt:lpstr>
      <vt:lpstr>Gross Split Config (2)</vt:lpstr>
      <vt:lpstr>Cost Recovery Config</vt:lpstr>
      <vt:lpstr>Gross Split Config</vt:lpstr>
      <vt:lpstr>Cost Recovery Config (2)</vt:lpstr>
      <vt:lpstr>Cost Tangible</vt:lpstr>
      <vt:lpstr>Cost Intangible</vt:lpstr>
      <vt:lpstr>Cost OPEX</vt:lpstr>
      <vt:lpstr>Cost ASR</vt:lpstr>
      <vt:lpstr>Sensitivity</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2023-11-21T12:38:57Z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