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4.xml" ContentType="application/vnd.openxmlformats-officedocument.drawing+xml"/>
  <Override PartName="/xl/ctrlProps/ctrlProp18.xml" ContentType="application/vnd.ms-excel.controlproperties+xml"/>
  <Override PartName="/xl/drawings/drawing5.xml" ContentType="application/vnd.openxmlformats-officedocument.drawing+xml"/>
  <Override PartName="/xl/ctrlProps/ctrlProp19.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tangibleIC.png" ContentType="image/.PNG"/>
  <Override PartName="/customUI/images/tableIC.png" ContentType="image/.PNG"/>
  <Override PartName="/customUI/images/python.png" ContentType="image/.PNG"/>
  <Override PartName="/customUI/images/optIC.png" ContentType="image/.PNG"/>
  <Override PartName="/customUI/images/generalconfigIC.png" ContentType="image/.PNG"/>
  <Override PartName="/customUI/images/welcomeIC.png" ContentType="image/.PNG"/>
  <Override PartName="/customUI/images/runIC.png" ContentType="image/.PNG"/>
  <Override PartName="/customUI/images/intangibleIC.png" ContentType="image/.PNG"/>
  <Override PartName="/customUI/images/summaryIC.png" ContentType="image/.PNG"/>
  <Override PartName="/customUI/images/pythonIC.png" ContentType="image/.PNG"/>
  <Override PartName="/customUI/images/monteIC.png" ContentType="image/.PNG"/>
  <Override PartName="/customUI/images/sensIC.png" ContentType="image/.PNG"/>
  <Override PartName="/customUI/images/fiscalIC.png" ContentType="image/.PNG"/>
  <Override PartName="/customUI/images/opexIC.png" ContentType="image/.PNG"/>
  <Override PartName="/customUI/images/userguideIC.png" ContentType="image/.PNG"/>
  <Override PartName="/customUI/images/CondaIC.png" ContentType="image/.PNG"/>
  <Override PartName="/customUI/images/EMDIC.png" ContentType="image/.PNG"/>
  <Override PartName="/customUI/images/ASRIC.png" ContentType="image/.PNG"/>
  <Override PartName="/customUI/images/prodIC.png" ContentType="image/.PNG"/>
</Types>
</file>

<file path=_rels/.rels><?xml version="1.0" encoding="UTF-8" standalone="yes"?>
<Relationships xmlns="http://schemas.openxmlformats.org/package/2006/relationships"><Relationship Id="R272985488a184bd1"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E:\1009_My Journal_PSC Migas\26_20230707_PSCEconomic\pyscnomics\pyscnomics\"/>
    </mc:Choice>
  </mc:AlternateContent>
  <xr:revisionPtr revIDLastSave="0" documentId="13_ncr:1_{91C44BA3-7A9F-4256-B058-7C6230B52168}" xr6:coauthVersionLast="47" xr6:coauthVersionMax="47" xr10:uidLastSave="{00000000-0000-0000-0000-000000000000}"/>
  <bookViews>
    <workbookView xWindow="28695" yWindow="0" windowWidth="19410" windowHeight="15585" tabRatio="912" firstSheet="23" activeTab="24" xr2:uid="{F41B6BF2-4712-40A6-B007-CDDECCED21AA}"/>
  </bookViews>
  <sheets>
    <sheet name="Cover" sheetId="19" state="hidden" r:id="rId1"/>
    <sheet name="UserGuide" sheetId="8" state="hidden" r:id="rId2"/>
    <sheet name="Summary" sheetId="18" state="hidden" r:id="rId3"/>
    <sheet name="General Config" sheetId="4" state="hidden" r:id="rId4"/>
    <sheet name="Result Table CR" sheetId="346" state="hidden" r:id="rId5"/>
    <sheet name="Prod Oil (2)" sheetId="398" state="hidden" r:id="rId6"/>
    <sheet name="Fiscal Config" sheetId="345" state="hidden" r:id="rId7"/>
    <sheet name="Prod Oil" sheetId="54" state="hidden" r:id="rId8"/>
    <sheet name="Prod Gas" sheetId="5" state="hidden" r:id="rId9"/>
    <sheet name="Prod LPG Propane" sheetId="6" state="hidden" r:id="rId10"/>
    <sheet name="Prod LPG Butane" sheetId="7" state="hidden" r:id="rId11"/>
    <sheet name="Prod CO2" sheetId="10" state="hidden" r:id="rId12"/>
    <sheet name="Prod Sulfur" sheetId="9" state="hidden" r:id="rId13"/>
    <sheet name="Prod Electricity" sheetId="353" state="hidden" r:id="rId14"/>
    <sheet name="Gross Split Config (2)" sheetId="103" state="hidden" r:id="rId15"/>
    <sheet name="Cost Recovery Config" sheetId="16" state="hidden" r:id="rId16"/>
    <sheet name="Gross Split Config" sheetId="15" state="hidden" r:id="rId17"/>
    <sheet name="Cost Recovery Config (2)" sheetId="343" state="hidden" r:id="rId18"/>
    <sheet name="Cost Tangible" sheetId="72" state="hidden" r:id="rId19"/>
    <sheet name="Cost Intangible" sheetId="73" state="hidden" r:id="rId20"/>
    <sheet name="Cost OPEX" sheetId="74" state="hidden" r:id="rId21"/>
    <sheet name="Cost ASR" sheetId="75" state="hidden" r:id="rId22"/>
    <sheet name="Sensitivity" sheetId="376" state="hidden" r:id="rId23"/>
    <sheet name="Optimization" sheetId="375" r:id="rId24"/>
    <sheet name="Monte Carlo" sheetId="378" r:id="rId25"/>
    <sheet name="Result Table GS" sheetId="347" state="hidden" r:id="rId26"/>
  </sheets>
  <functionGroups builtInGroupCount="19"/>
  <externalReferences>
    <externalReference r:id="rId27"/>
    <externalReference r:id="rId28"/>
  </externalReferences>
  <definedNames>
    <definedName name="_fiscalType">'General Config'!$C$2</definedName>
    <definedName name="_nButane">'General Config'!$D$13</definedName>
    <definedName name="_nCO2">'General Config'!$D$14</definedName>
    <definedName name="_nElectricity">'General Config'!$D$16</definedName>
    <definedName name="_nGas">'General Config'!$D$11</definedName>
    <definedName name="_nOil">'General Config'!$D$10</definedName>
    <definedName name="_nPropane">'General Config'!$D$12</definedName>
    <definedName name="_nSulfur">'General Config'!$D$15</definedName>
    <definedName name="averageInflation">[1]InputData!$G$58</definedName>
    <definedName name="Beta_overBrent">[1]InputData!$G$347</definedName>
    <definedName name="bon_Prod_Amt_Gas_T1">[1]InputData!$H$371</definedName>
    <definedName name="bon_Prod_Amt_Gas_T2">[1]InputData!$H$372</definedName>
    <definedName name="bon_Prod_Amt_Gas_T3">[1]InputData!$H$373</definedName>
    <definedName name="bon_Prod_Amt_Oil_T1">[1]InputData!$H$364</definedName>
    <definedName name="bon_Prod_Amt_Oil_T2">[1]InputData!$H$365</definedName>
    <definedName name="bon_Prod_Amt_Oil_T3">[1]InputData!$H$366</definedName>
    <definedName name="bon_Prod_Amt_Oil_T4">[1]InputData!$H$367</definedName>
    <definedName name="bon_Prod_CumProd_Gas_T1">[1]InputData!$G$371</definedName>
    <definedName name="bon_Prod_CumProd_Gas_T2">[1]InputData!$G$372</definedName>
    <definedName name="bon_Prod_CumProd_Gas_T3">[1]InputData!$G$373</definedName>
    <definedName name="bon_Prod_CumProd_Oil_T1">[1]InputData!$G$364</definedName>
    <definedName name="bon_Prod_CumProd_Oil_T2">[1]InputData!$G$365</definedName>
    <definedName name="bon_Prod_CumProd_Oil_T3">[1]InputData!$G$366</definedName>
    <definedName name="bon_Prod_CumProd_Oil_T4">[1]InputData!$G$367</definedName>
    <definedName name="breakevenToggle">[1]InputData!$G$23</definedName>
    <definedName name="CA_AvgPriceGas">[1]Calculations!$L$131:$JA$131</definedName>
    <definedName name="CA_AvgPriceLiquids">[1]Calculations!$L$130:$JA$130</definedName>
    <definedName name="CA_CapexDecom">[1]Calculations!$L$179:$JA$179</definedName>
    <definedName name="CA_CapexDevexTotal">[1]Calculations!$L$177:$JA$177</definedName>
    <definedName name="CA_CapexDrillexIntan">[1]Calculations!$L$164:$JA$164</definedName>
    <definedName name="CA_CapexDrillexTan">[1]Calculations!$L$163:$JA$163</definedName>
    <definedName name="CA_CapexEAIntan">[1]Calculations!$L$159:$JA$159</definedName>
    <definedName name="CA_CapexEATan">[1]Calculations!$L$158:$JA$158</definedName>
    <definedName name="CA_CapexEATotal">[1]Calculations!$L$160:$JA$160</definedName>
    <definedName name="CA_CapexFacilFloaters">[1]Calculations!$L$168:$JA$168</definedName>
    <definedName name="CA_CapexFacilInfra">[1]Calculations!$L$171:$JA$171</definedName>
    <definedName name="CA_CapexFacilLNG">[1]Calculations!$L$174:$JA$174</definedName>
    <definedName name="CA_CapexFacilOther">[1]Calculations!$L$173:$JA$173</definedName>
    <definedName name="CA_CapexFacilProduction">[1]Calculations!$L$169:$JA$169</definedName>
    <definedName name="CA_CapexFacilStructures">[1]Calculations!$L$170:$JA$170</definedName>
    <definedName name="CA_CapexFacilSubsea">[1]Calculations!$L$167:$JA$167</definedName>
    <definedName name="CA_CapexFacilTerminals">[1]Calculations!$L$166:$JA$166</definedName>
    <definedName name="CA_CapexFacilTopsides">[1]Calculations!$L$165:$JA$165</definedName>
    <definedName name="CA_CapexFacilWPG">[1]Calculations!$L$172:$JA$172</definedName>
    <definedName name="CA_CapexGG">[1]Calculations!$L$157:$JA$157</definedName>
    <definedName name="CA_CapexLeasehold">[1]Calculations!$L$156:$JA$156</definedName>
    <definedName name="CA_CapexOther">[1]Calculations!$L$176:$JA$176</definedName>
    <definedName name="CA_CapexPipelines">[1]Calculations!$L$175:$JA$175</definedName>
    <definedName name="CA_CarbonCosts">[1]Calculations!$L$185:$JA$185</definedName>
    <definedName name="CA_CarriedCosts">[1]Calculations!$L$482:$JA$482</definedName>
    <definedName name="CA_CarryRepayment">[1]Calculations!$L$483:$JA$483</definedName>
    <definedName name="CA_Days">[1]InputData!$L$6:$JA$6</definedName>
    <definedName name="CA_IndexEscCapex">[1]Calculations!$L$19:$JA$19</definedName>
    <definedName name="CA_IndexEscOpex">[1]Calculations!$L$20:$JA$20</definedName>
    <definedName name="CA_IndexInflation">[1]Calculations!$L$18:$JA$18</definedName>
    <definedName name="CA_IndexInflationFixed">[1]Calculations!$L$14:$JA$14</definedName>
    <definedName name="CA_OpexFixed">[1]Calculations!$L$148:$JA$148</definedName>
    <definedName name="CA_OpexLNG">[1]Calculations!$L$150:$JA$150</definedName>
    <definedName name="CA_OpexTotal">[1]Calculations!$L$152:$JA$152</definedName>
    <definedName name="CA_OpexVarTotal">[1]Calculations!$L$146:$JA$146</definedName>
    <definedName name="CA_OpTrig">[1]Calculations!$L$11:$JA$11</definedName>
    <definedName name="CA_PctGasRevenue">[1]Calculations!$L$135:$JA$135</definedName>
    <definedName name="CA_PctGasVolumeTotal">[1]Calculations!$I$35</definedName>
    <definedName name="CA_PctLiquidsRevenue">[1]Calculations!$L$134:$JA$134</definedName>
    <definedName name="CA_Periods">[1]InputData!$L$4:$JA$4</definedName>
    <definedName name="CA_PriceCO2e">[1]Calculations!$L$184:$JA$184</definedName>
    <definedName name="CA_PriceFinalCondDom">[1]Calculations!$L$105:$JA$105</definedName>
    <definedName name="CA_PriceFinalCondExport">[1]Calculations!$L$90:$JA$90</definedName>
    <definedName name="CA_PriceFinalGasDom">[1]Calculations!$L$104:$JA$104</definedName>
    <definedName name="CA_PriceFinalGasExport">[1]Calculations!$L$89:$JA$89</definedName>
    <definedName name="CA_PriceFinalLNGFeedstockDom">[1]Calculations!$L$107:$JA$107</definedName>
    <definedName name="CA_PriceFinalLNGFeedstockExport">[1]Calculations!$L$92:$JA$92</definedName>
    <definedName name="CA_PriceFinalLNGSalesDom">[1]Calculations!$L$106:$JA$106</definedName>
    <definedName name="CA_PriceFinalLNGSalesExport">[1]Calculations!$L$91:$JA$91</definedName>
    <definedName name="CA_PriceFinalNGLDom">[1]Calculations!$L$108:$JA$108</definedName>
    <definedName name="CA_PriceFinalNGLExport">[1]Calculations!$L$93:$JA$93</definedName>
    <definedName name="CA_PriceFinalOilDom">[1]Calculations!$L$103:$JA$103</definedName>
    <definedName name="CA_PriceFinalOilExport">[1]Calculations!$L$88:$JA$88</definedName>
    <definedName name="CA_PriceFinalOtherDom10">[1]Calculations!$L$114:$JA$114</definedName>
    <definedName name="CA_PriceFinalOtherDom5">[1]Calculations!$L$109:$JA$109</definedName>
    <definedName name="CA_PriceFinalOtherDom6">[1]Calculations!$L$110:$JA$110</definedName>
    <definedName name="CA_PriceFinalOtherDom7">[1]Calculations!$L$111:$JA$111</definedName>
    <definedName name="CA_PriceFinalOtherDom8">[1]Calculations!$L$112:$JA$112</definedName>
    <definedName name="CA_PriceFinalOtherDom9">[1]Calculations!$L$113:$JA$113</definedName>
    <definedName name="CA_PriceFinalOtherExport10">[1]Calculations!$L$99:$JA$99</definedName>
    <definedName name="CA_PriceFinalOtherExport5">[1]Calculations!$L$94:$JA$94</definedName>
    <definedName name="CA_PriceFinalOtherExport6">[1]Calculations!$L$95:$JA$95</definedName>
    <definedName name="CA_PriceFinalOtherExport7">[1]Calculations!$L$96:$JA$96</definedName>
    <definedName name="CA_PriceFinalOtherExport8">[1]Calculations!$L$97:$JA$97</definedName>
    <definedName name="CA_PriceFinalOtherExport9">[1]Calculations!$L$98:$JA$98</definedName>
    <definedName name="CA_PriceFinalTotalDom">[1]Calculations!$L$115:$JA$115</definedName>
    <definedName name="CA_PriceFinalTotalExport">[1]Calculations!$L$100:$JA$100</definedName>
    <definedName name="CA_ProdCO2e">[1]Calculations!$L$183:$JA$183</definedName>
    <definedName name="CA_ProdRateLNGFeedstock">[1]Calculations!$L$43:$JA$43</definedName>
    <definedName name="CA_ProductionGas">[1]Calculations!$L$25:$JA$25</definedName>
    <definedName name="CA_ProductionGasCum">[1]Calculations!$L$30:$JA$30</definedName>
    <definedName name="CA_ProductionLiquids">[1]Calculations!$L$24:$JA$24</definedName>
    <definedName name="CA_ProductionLiquidsCum">[1]Calculations!$L$29:$JA$29</definedName>
    <definedName name="CA_ProductionTotal">[1]Calculations!$L$26:$JA$26</definedName>
    <definedName name="CA_ProductionTotalCum">[1]Calculations!$L$31:$JA$31</definedName>
    <definedName name="CA_QualAdjust">[1]Calculations!$L$498:$JA$498</definedName>
    <definedName name="CA_QualAdjustCond_Domestic">[1]Calculations!$L$522:$JA$522</definedName>
    <definedName name="CA_QualAdjustCond_Export">[1]Calculations!$L$510:$JA$510</definedName>
    <definedName name="CA_RevenueDomesticGas">[1]Calculations!$L$122:$JA$122</definedName>
    <definedName name="CA_RevenueExportGas">[1]Calculations!$L$121:$JA$121</definedName>
    <definedName name="CA_RevenueGrossGas">[1]Calculations!$L$120:$JA$120</definedName>
    <definedName name="CA_RevenueGrossLiquids">[1]Calculations!$L$125:$JA$125</definedName>
    <definedName name="CA_RevenueGrossOil">[1]Calculations!$L$119:$JA$119</definedName>
    <definedName name="CA_RevenueGrossTotal">[1]Calculations!$L$128:$JA$128</definedName>
    <definedName name="CA_RevenueLNGFeedstock">[1]Calculations!$L$124:$JA$124</definedName>
    <definedName name="CA_RevenueLNGSales">[1]Calculations!$L$123:$JA$123</definedName>
    <definedName name="CA_RevenueNGL">[1]Calculations!$L$127:$JA$127</definedName>
    <definedName name="CA_SalesCondDom">[1]Calculations!$L$74:$JA$74</definedName>
    <definedName name="CA_SalesCondExport">[1]Calculations!$L$59:$JA$59</definedName>
    <definedName name="CA_SalesGasDom">[1]Calculations!$L$73:$JA$73</definedName>
    <definedName name="CA_SalesGasExport">[1]Calculations!$L$58:$JA$58</definedName>
    <definedName name="CA_SalesLNGFeedstock">[1]Calculations!$L$61:$JA$61</definedName>
    <definedName name="CA_SalesLNGFeedstockDom">[1]Calculations!$L$76:$JA$76</definedName>
    <definedName name="CA_SalesLNGSales">[1]Calculations!$L$60:$JA$60</definedName>
    <definedName name="CA_SalesLNGSalesDom">[1]Calculations!$L$75:$JA$75</definedName>
    <definedName name="CA_SalesNGL">[1]Calculations!$L$62:$JA$62</definedName>
    <definedName name="CA_SalesNGLDom">[1]Calculations!$L$77:$JA$77</definedName>
    <definedName name="CA_SalesOilDom">[1]Calculations!$L$72:$JA$72</definedName>
    <definedName name="CA_SalesOilExport">[1]Calculations!$L$57:$JA$57</definedName>
    <definedName name="CA_SalesOtherDom10">[1]Calculations!$L$83:$JA$83</definedName>
    <definedName name="CA_SalesOtherDom5">[1]Calculations!$L$78:$JA$78</definedName>
    <definedName name="CA_SalesOtherDom6">[1]Calculations!$L$79:$JA$79</definedName>
    <definedName name="CA_SalesOtherDom7">[1]Calculations!$L$80:$JA$80</definedName>
    <definedName name="CA_SalesOtherDom8">[1]Calculations!$L$81:$JA$81</definedName>
    <definedName name="CA_SalesOtherDom9">[1]Calculations!$L$82:$JA$82</definedName>
    <definedName name="CA_SalesOtherExport10">[1]Calculations!$L$68:$JA$68</definedName>
    <definedName name="CA_SalesOtherExport5">[1]Calculations!$L$63:$JA$63</definedName>
    <definedName name="CA_SalesOtherExport6">[1]Calculations!$L$64:$JA$64</definedName>
    <definedName name="CA_SalesOtherExport7">[1]Calculations!$L$65:$JA$65</definedName>
    <definedName name="CA_SalesOtherExport8">[1]Calculations!$L$66:$JA$66</definedName>
    <definedName name="CA_SalesOtherExport9">[1]Calculations!$L$67:$JA$67</definedName>
    <definedName name="CA_WI_IOC">[1]Calculations!$L$426:$JA$426</definedName>
    <definedName name="CA_WI_NOC">[1]Calculations!$L$425:$JA$425</definedName>
    <definedName name="CA_Years">[1]InputData!$L$5:$JA$5</definedName>
    <definedName name="calc_pctGasRevTotal">[1]Calculations!$I$135</definedName>
    <definedName name="calc_pctOilRevTotal">[1]Calculations!$I$134</definedName>
    <definedName name="CarbonTaxToggle">[1]InputData!$G$381</definedName>
    <definedName name="CarbonToggle">[1]InputData!$G$21</definedName>
    <definedName name="carryRateDevex">[1]InputData!$G$317</definedName>
    <definedName name="carryRateEA">[1]InputData!$G$316</definedName>
    <definedName name="carryRateFees">[1]InputData!$G$318</definedName>
    <definedName name="carryRateOpex">[1]InputData!$G$319</definedName>
    <definedName name="carryRateSigBonus">[1]InputData!$G$315</definedName>
    <definedName name="carryRpmtDevex">[1]InputData!$H$317</definedName>
    <definedName name="carryRpmtEA">[1]InputData!$H$316</definedName>
    <definedName name="carryRpmtFees">[1]InputData!$H$318</definedName>
    <definedName name="carryRpmtOpex">[1]InputData!$H$319</definedName>
    <definedName name="carryRpmtSigBonus">[1]InputData!$H$315</definedName>
    <definedName name="CondDiscountToCrude_Domestic">[1]InputData!$I$170</definedName>
    <definedName name="CondDiscountToCrude_Export">[1]InputData!$I$117</definedName>
    <definedName name="conv_Bbls_Mcf">[1]InputData!$G$47</definedName>
    <definedName name="conv_MMbtu_Mcf">[1]InputData!$G$52</definedName>
    <definedName name="conv_MMbtu_Mcf_LNG">[1]InputData!$G$53</definedName>
    <definedName name="conv_USD_IDR">[1]InputData!$G$334</definedName>
    <definedName name="costprem_Capex">[1]InputData!$G$61</definedName>
    <definedName name="costprem_Opex">[1]InputData!$G$62</definedName>
    <definedName name="cr_Limit">[1]InputData!$G$401</definedName>
    <definedName name="CT_Rate">[1]InputData!$G$383</definedName>
    <definedName name="CT_Year">[1]InputData!$G$382</definedName>
    <definedName name="dcr_Capitalization">[1]InputData!$G$432</definedName>
    <definedName name="dcr_FacilPctTan">[1]InputData!$F$436</definedName>
    <definedName name="DCRA__Yr1OR">[1]Depreciation!$H$83:$H$88</definedName>
    <definedName name="DCRA_Capital">[1]Depreciation!$L$73:$JA$78</definedName>
    <definedName name="DCRA_CapitalizedAssets">[1]Depreciation!$I$73:$I$78</definedName>
    <definedName name="DCRA_DB_Switch">[1]Depreciation!$I$83:$I$88</definedName>
    <definedName name="DCRA_Factor">[1]Depreciation!$G$83:$G$88</definedName>
    <definedName name="DCRA_Final">[1]Depreciation!$L$101:$JA$106</definedName>
    <definedName name="DCRA_Life">[1]Depreciation!$F$83:$F$88</definedName>
    <definedName name="DCRA_Method">[1]Depreciation!$E$83:$E$88</definedName>
    <definedName name="DCRA_MethodFinal">[1]Depreciation!$E$101:$E$106</definedName>
    <definedName name="DCRA_Rates">[1]Depreciation!$L$83:$JA$88</definedName>
    <definedName name="DCRA_RatesRev">[1]Depreciation!$L$92:$JA$97</definedName>
    <definedName name="DCRA_TaxDepreciation">[1]Depreciation!$L$107:$JA$107</definedName>
    <definedName name="dit_Capitalization">[1]InputData!$G$277</definedName>
    <definedName name="dit_FacilPctTan">[1]InputData!$F$285</definedName>
    <definedName name="DITA_Capital">[1]Depreciation!$L$15:$JA$25</definedName>
    <definedName name="DITA_CapitalizedAssets">[1]Depreciation!$I$15:$I$25</definedName>
    <definedName name="DITA_DB_Switch">[1]Depreciation!$I$30:$I$40</definedName>
    <definedName name="DITA_Factor">[1]Depreciation!$G$30:$G$40</definedName>
    <definedName name="DITA_Final">[1]Depreciation!$L$58:$JA$68</definedName>
    <definedName name="DITA_Life">[1]Depreciation!$F$30:$F$40</definedName>
    <definedName name="DITA_Method">[1]Depreciation!$E$30:$E$40</definedName>
    <definedName name="DITA_MethodFinal">[1]Depreciation!$E$58:$E$68</definedName>
    <definedName name="DITA_Rates">[1]Depreciation!$L$30:$JA$40</definedName>
    <definedName name="DITA_RatesRev">[1]Depreciation!$L$44:$JA$54</definedName>
    <definedName name="DITA_TaxDepreciation">[1]Depreciation!$L$69:$JA$69</definedName>
    <definedName name="DITA_UOPRates">[1]Depreciation!$L$11:$JA$11</definedName>
    <definedName name="DITA_Yr1OR">[1]Depreciation!$H$30:$H$40</definedName>
    <definedName name="dmo_Max_Multip">[1]InputData!$G$535</definedName>
    <definedName name="dmo_Price_Until1987">[1]InputData!$G$538</definedName>
    <definedName name="dmo_Prod_Period">[1]InputData!$G$536</definedName>
    <definedName name="econLimitToggle">[1]InputData!$G$22</definedName>
    <definedName name="econLimitTrig">[1]Cashflow!$L$78:$JA$78</definedName>
    <definedName name="FA_Aceh_CommFund">[1]Calculations!$L$222:$JA$222</definedName>
    <definedName name="FA_Carbon_Tax">[1]Calculations!$L$227:$JA$227</definedName>
    <definedName name="FA_CIT">[1]Calculations!$L$376:$JA$376</definedName>
    <definedName name="FA_CITRate">[1]Calculations!$L$375:$JA$375</definedName>
    <definedName name="FA_Contr_FTP_Gas">[1]Calculations!$L$198:$JA$198</definedName>
    <definedName name="FA_Contr_FTP_Oil">[1]Calculations!$L$197:$JA$197</definedName>
    <definedName name="FA_CostRecoveryTotal_Gas">[1]Calculations!$L$325:$JA$325</definedName>
    <definedName name="FA_CostRecoveryTotal_Liquids">[1]Calculations!$L$284:$JA$284</definedName>
    <definedName name="FA_DMO_Discount">[1]Calculations!$L$394:$JA$394</definedName>
    <definedName name="FA_DMO_Volume">[1]Calculations!$L$393:$JA$393</definedName>
    <definedName name="FA_Fees">[1]Calculations!$L$221:$JA$221</definedName>
    <definedName name="FA_Gas_Transfer_Price_Est">[1]Calculations!$L$543:$JA$543</definedName>
    <definedName name="FA_GovProfitShare_Gas">[1]Calculations!$L$365:$JA$365</definedName>
    <definedName name="FA_GovProfitShare_Liquids">[1]Calculations!$L$363:$JA$363</definedName>
    <definedName name="FA_GSATerms">[1]Calculations!$L$189:$JA$189</definedName>
    <definedName name="FA_InvestCredit_Gas">[1]Calculations!$L$232:$JA$232</definedName>
    <definedName name="FA_InvestCredit_Oil">[1]Calculations!$L$231:$JA$231</definedName>
    <definedName name="FA_ProdBonus">[1]Calculations!$L$218:$JA$218</definedName>
    <definedName name="FA_ProdBonus_Gas">[1]Calculations!$L$216:$JA$216</definedName>
    <definedName name="FA_ProdBonus_Oil">[1]Calculations!$L$210:$JA$210</definedName>
    <definedName name="FA_ProfitShare_Gas">[1]Calculations!$L$364:$JA$364</definedName>
    <definedName name="FA_ProfitShare_Liquids">[1]Calculations!$L$362:$JA$362</definedName>
    <definedName name="FA_RecCostsCapexDevex">[1]Calculations!$L$238:$JA$238</definedName>
    <definedName name="FA_RecCostsCapexDevex_Gas">[1]Calculations!$L$291:$JA$291</definedName>
    <definedName name="FA_RecCostsCapexDevex_Liquids">[1]Calculations!$L$250:$JA$250</definedName>
    <definedName name="FA_RecCostsDecom">[1]Calculations!$L$239:$JA$239</definedName>
    <definedName name="FA_RecCostsDecom_Gas">[1]Calculations!$L$292:$JA$292</definedName>
    <definedName name="FA_RecCostsDecom_Liquids">[1]Calculations!$L$251:$JA$251</definedName>
    <definedName name="FA_RecCostsEA">[1]Calculations!$L$237:$JA$237</definedName>
    <definedName name="FA_RecCostsEA_Gas">[1]Calculations!$L$290:$JA$290</definedName>
    <definedName name="FA_RecCostsEA_Liquids">[1]Calculations!$L$249:$JA$249</definedName>
    <definedName name="FA_RecCostsFees">[1]Calculations!$L$240:$JA$240</definedName>
    <definedName name="FA_RecCostsFees_Gas">[1]Calculations!$L$293:$JA$293</definedName>
    <definedName name="FA_RecCostsFees_Liquids">[1]Calculations!$L$252:$JA$252</definedName>
    <definedName name="FA_RecCostsIC">[1]Calculations!$L$236:$JA$236</definedName>
    <definedName name="FA_RecCostsIC_Gas">[1]Calculations!$L$289:$JA$289</definedName>
    <definedName name="FA_RecCostsIC_Liquids">[1]Calculations!$L$248:$JA$248</definedName>
    <definedName name="FA_RecCostsOpex">[1]Calculations!$L$235:$JA$235</definedName>
    <definedName name="FA_RecCostsOpex_Gas">[1]Calculations!$L$288:$JA$288</definedName>
    <definedName name="FA_RecCostsOpex_Liquids">[1]Calculations!$L$247:$JA$247</definedName>
    <definedName name="FA_RoyaltyGas">[1]Calculations!$L$193:$JA$193</definedName>
    <definedName name="FA_RoyaltyLiquids">[1]Calculations!$L$192:$JA$192</definedName>
    <definedName name="FA_RoyaltyTotal">[1]Calculations!$L$194:$JA$194</definedName>
    <definedName name="fee_Admin">[1]InputData!$G$376</definedName>
    <definedName name="fee_Communities">[1]InputData!$G$378</definedName>
    <definedName name="gen_api">[1]InputData!$G$39</definedName>
    <definedName name="gen_contractDuration">[1]InputData!$G$32</definedName>
    <definedName name="gen_depthWater">[1]InputData!$G$37</definedName>
    <definedName name="gen_discountRate">[1]InputData!$G$44</definedName>
    <definedName name="gen_primaryProduct">[1]InputData!$G$10</definedName>
    <definedName name="gen_ProjectName">[1]InputData!$C$2</definedName>
    <definedName name="gen_stub">[1]InputData!$G$26</definedName>
    <definedName name="gen_timingCosts">[1]InputData!$G$56</definedName>
    <definedName name="gen_timingPrices">[1]InputData!$G$57</definedName>
    <definedName name="IA_CapexDecom">[1]InputData!$L$271:$JA$271</definedName>
    <definedName name="IA_CapexDrillexIntan">[1]InputData!$L$256:$JA$256</definedName>
    <definedName name="IA_CapexDrillexTan">[1]InputData!$L$255:$JA$255</definedName>
    <definedName name="IA_CapexEAIntan">[1]InputData!$L$252:$JA$252</definedName>
    <definedName name="IA_CapexEATan">[1]InputData!$L$251:$JA$251</definedName>
    <definedName name="IA_CapexFacilFloaters">[1]InputData!$L$260:$JA$260</definedName>
    <definedName name="IA_CapexFacilInfra">[1]InputData!$L$263:$JA$263</definedName>
    <definedName name="IA_CapexFacilLNG">[1]InputData!$L$266:$JA$266</definedName>
    <definedName name="IA_CapexFacilOther">[1]InputData!$L$265:$JA$265</definedName>
    <definedName name="IA_CapexFacilProd">[1]InputData!$L$261:$JA$261</definedName>
    <definedName name="IA_CapexFacilStructures">[1]InputData!$L$262:$JA$262</definedName>
    <definedName name="IA_CapexFacilSubsea">[1]InputData!$L$259:$JA$259</definedName>
    <definedName name="IA_CapexFacilTerminals">[1]InputData!$L$258:$JA$258</definedName>
    <definedName name="IA_CapexFacilTopsides">[1]InputData!$L$257:$JA$257</definedName>
    <definedName name="IA_CapexFacilWPG">[1]InputData!$L$264:$JA$264</definedName>
    <definedName name="IA_CapexGG">[1]InputData!$L$250:$JA$250</definedName>
    <definedName name="IA_CapexLeasehold">[1]InputData!$L$249</definedName>
    <definedName name="IA_CapexOther">[1]InputData!$L$268:$JA$268</definedName>
    <definedName name="IA_CapexPipelines">[1]InputData!$L$267:$JA$267</definedName>
    <definedName name="IA_carry_WD">[1]InputData!$F$550:$F$551</definedName>
    <definedName name="IA_CarryMax">[1]InputData!$L$322:$JA$322</definedName>
    <definedName name="IA_carryRpmtLimit">[1]InputData!$H$550:$H$551</definedName>
    <definedName name="IA_CIT_Rate">[1]InputData!$H$525:$H$530</definedName>
    <definedName name="IA_CIT_Yr">[1]InputData!$G$525:$G$530</definedName>
    <definedName name="IA_Contract_Inputs">[1]InputData!$C$561:$AB$588</definedName>
    <definedName name="IA_ContractName1">[1]InputData!$G$41</definedName>
    <definedName name="IA_DMO_Discount">[1]InputData!$H$542:$H$545</definedName>
    <definedName name="IA_DMO_Yr">[1]InputData!$G$542:$G$545</definedName>
    <definedName name="IA_DomCond">[1]InputData!$L$93:$JA$93</definedName>
    <definedName name="IA_DomGas">[1]InputData!$L$92:$JA$92</definedName>
    <definedName name="IA_DomLNGFeedstock">[1]InputData!$L$95:$JA$95</definedName>
    <definedName name="IA_DomLNGSales">[1]InputData!$L$94:$JA$94</definedName>
    <definedName name="IA_DomNGL">[1]InputData!$L$96:$JA$96</definedName>
    <definedName name="IA_DomOil">[1]InputData!$L$91:$JA$91</definedName>
    <definedName name="IA_DomOther10">[1]InputData!$L$102:$JA$102</definedName>
    <definedName name="IA_DomOther5">[1]InputData!$L$97:$JA$97</definedName>
    <definedName name="IA_DomOther6">[1]InputData!$L$98:$JA$98</definedName>
    <definedName name="IA_DomOther7">[1]InputData!$L$99:$JA$99</definedName>
    <definedName name="IA_DomOther8">[1]InputData!$L$100:$JA$100</definedName>
    <definedName name="IA_DomOther9">[1]InputData!$L$101:$JA$101</definedName>
    <definedName name="IA_EscCapex">[1]InputData!$L$59:$JA$59</definedName>
    <definedName name="IA_EscOpex">[1]InputData!$L$60:$JA$60</definedName>
    <definedName name="IA_GasLossFactor">[1]InputData!$L$87:$JA$87</definedName>
    <definedName name="IA_IC_Gas_WD2001">[1]InputData!$F$414:$F$416</definedName>
    <definedName name="IA_IC_Gas_Yr2001">[1]InputData!$G$413:$L$413</definedName>
    <definedName name="IA_IC_Gas2001">[1]InputData!$G$414:$L$416</definedName>
    <definedName name="IA_IC_Oil_WD2001">[1]InputData!$F$407:$F$409</definedName>
    <definedName name="IA_IC_Oil_Yr2001">[1]InputData!$G$406:$L$406</definedName>
    <definedName name="IA_IC_Oil2001">[1]InputData!$G$407:$L$409</definedName>
    <definedName name="IA_IC_Rate_Gas">[1]InputData!$I$426:$I$427</definedName>
    <definedName name="IA_IC_Rate_Oil">[1]InputData!$I$421:$I$422</definedName>
    <definedName name="IA_IC_Yr_Gas">[1]InputData!$H$426:$H$427</definedName>
    <definedName name="IA_IC_Yr_Oil">[1]InputData!$H$421:$H$422</definedName>
    <definedName name="IA_ICP">[1]InputData!$H$350:$H$356</definedName>
    <definedName name="IA_ICP_Yr">[1]InputData!$G$350:$G$356</definedName>
    <definedName name="IA_Inflation">[1]InputData!$L$58:$JA$58</definedName>
    <definedName name="IA_IOCParticipation">[1]InputData!$L$312:$JA$312</definedName>
    <definedName name="IA_IsNOC">[1]InputData!$F$297:$F$306</definedName>
    <definedName name="IA_License_Table">[1]InputData!$C$593:$D$630</definedName>
    <definedName name="IA_NOLMax">[1]InputData!$L$321:$JA$321</definedName>
    <definedName name="IA_OpexFixedTotal">[1]InputData!$L$212:$JA$212</definedName>
    <definedName name="IA_OpexLNG">[1]InputData!$L$244:$JA$244</definedName>
    <definedName name="IA_OpexVarCompr">[1]InputData!$L$232:$JA$232</definedName>
    <definedName name="IA_OpexVarGT">[1]InputData!$L$224:$JA$224</definedName>
    <definedName name="IA_OpexVarOps">[1]InputData!$L$220:$JA$220</definedName>
    <definedName name="IA_OpexVarOther">[1]InputData!$L$240:$JA$240</definedName>
    <definedName name="IA_OpexVarProc">[1]InputData!$L$228:$JA$228</definedName>
    <definedName name="IA_OpexVarTariffs">[1]InputData!$L$236:$JA$236</definedName>
    <definedName name="IA_OpexVarTotal">[1]InputData!$L$216:$JA$216</definedName>
    <definedName name="IA_OtherProd10">[1]InputData!$L$85:$JA$85</definedName>
    <definedName name="IA_OtherProd5">[1]InputData!$L$80:$JA$80</definedName>
    <definedName name="IA_OtherProd6">[1]InputData!$L$81:$JA$81</definedName>
    <definedName name="IA_OtherProd7">[1]InputData!$L$82:$JA$82</definedName>
    <definedName name="IA_OtherProd8">[1]InputData!$L$83:$JA$83</definedName>
    <definedName name="IA_OtherProd9">[1]InputData!$L$84:$JA$84</definedName>
    <definedName name="IA_PartnerList">[1]InputData!$D$297:$D$306</definedName>
    <definedName name="IA_PriceCO2e">[1]InputData!$L$69:$JA$69</definedName>
    <definedName name="IA_PriceDomesticCond_Disc">[1]InputData!$L$170:$JA$170</definedName>
    <definedName name="IA_PriceDomesticDiffCond_Calc">[1]InputData!$L$171:$JA$171</definedName>
    <definedName name="IA_PriceDomesticDiffCond_HC">[1]InputData!$L$172:$JA$172</definedName>
    <definedName name="IA_PriceDomesticDiffGas">[1]InputData!$L$166:$JA$166</definedName>
    <definedName name="IA_PriceDomesticDiffLNGFeedstock">[1]InputData!$L$180:$JA$180</definedName>
    <definedName name="IA_PriceDomesticDiffLNGSales">[1]InputData!$L$176:$JA$176</definedName>
    <definedName name="IA_PriceDomesticDiffNGL">[1]InputData!$L$184:$JA$184</definedName>
    <definedName name="IA_PriceDomesticDiffOil_Calc">[1]InputData!$L$161:$JA$161</definedName>
    <definedName name="IA_PriceDomesticDiffOil_HC">[1]InputData!$L$162:$JA$162</definedName>
    <definedName name="IA_PriceDomesticDiffOther10">[1]InputData!$L$208:$JA$208</definedName>
    <definedName name="IA_PriceDomesticDiffOther5">[1]InputData!$L$188:$JA$188</definedName>
    <definedName name="IA_PriceDomesticDiffOther6">[1]InputData!$L$192:$JA$192</definedName>
    <definedName name="IA_PriceDomesticDiffOther7">[1]InputData!$L$196:$JA$196</definedName>
    <definedName name="IA_PriceDomesticDiffOther8">[1]InputData!$L$200:$JA$200</definedName>
    <definedName name="IA_PriceDomesticDiffOther9">[1]InputData!$L$204:$JA$204</definedName>
    <definedName name="IA_PriceDomesticGas">[1]InputData!$L$165:$JA$165</definedName>
    <definedName name="IA_PriceDomesticLNGFeedstock">[1]InputData!$L$179:$JA$179</definedName>
    <definedName name="IA_PriceDomesticLNGSales">[1]InputData!$L$175:$JA$175</definedName>
    <definedName name="IA_PriceDomesticNGL">[1]InputData!$L$183:$JA$183</definedName>
    <definedName name="IA_PriceDomesticOil">[1]InputData!$L$160:$JA$160</definedName>
    <definedName name="IA_PriceDomesticOther10">[1]InputData!$L$207:$JA$207</definedName>
    <definedName name="IA_PriceDomesticOther5">[1]InputData!$L$187:$JA$187</definedName>
    <definedName name="IA_PriceDomesticOther6">[1]InputData!$L$191:$JA$191</definedName>
    <definedName name="IA_PriceDomesticOther7">[1]InputData!$L$195:$JA$195</definedName>
    <definedName name="IA_PriceDomesticOther8">[1]InputData!$L$199:$JA$199</definedName>
    <definedName name="IA_PriceDomesticOther9">[1]InputData!$L$203:$JA$203</definedName>
    <definedName name="IA_PriceExportDiffCond">[1]InputData!$L$117:$JA$117</definedName>
    <definedName name="IA_PriceExportDiffCond_Calc">[1]InputData!$L$118:$JA$118</definedName>
    <definedName name="IA_PriceExportDiffCond_HC">[1]InputData!$L$119:$JA$119</definedName>
    <definedName name="IA_PriceExportDiffGas">[1]InputData!$L$113:$JA$113</definedName>
    <definedName name="IA_PriceExportDiffLNGFeedstock">[1]InputData!$L$127:$JA$127</definedName>
    <definedName name="IA_PriceExportDiffLNGSales">[1]InputData!$L$123:$JA$123</definedName>
    <definedName name="IA_PriceExportDiffNGL">[1]InputData!$L$131:$JA$131</definedName>
    <definedName name="IA_PriceExportDiffOil_Calc">[1]InputData!$L$108:$JA$108</definedName>
    <definedName name="IA_PriceExportDiffOil_HC">[1]InputData!$L$109:$JA$109</definedName>
    <definedName name="IA_PriceExportDiffOther10">[1]InputData!$L$155:$JA$155</definedName>
    <definedName name="IA_PriceExportDiffOther5">[1]InputData!$L$135:$JA$135</definedName>
    <definedName name="IA_PriceExportDiffOther6">[1]InputData!$L$139:$JA$139</definedName>
    <definedName name="IA_PriceExportDiffOther7">[1]InputData!$L$143:$JA$143</definedName>
    <definedName name="IA_PriceExportDiffOther8">[1]InputData!$L$147:$JA$147</definedName>
    <definedName name="IA_PriceExportDiffOther9">[1]InputData!$L$151:$JA$151</definedName>
    <definedName name="IA_PriceExportGas">[1]InputData!$L$112:$JA$112</definedName>
    <definedName name="IA_PriceExportLNGFeedstock">[1]InputData!$L$126:$JA$126</definedName>
    <definedName name="IA_PriceExportLNGSales">[1]InputData!$L$122:$JA$122</definedName>
    <definedName name="IA_PriceExportNGL">[1]InputData!$L$130:$JA$130</definedName>
    <definedName name="IA_PriceExportOil">[1]InputData!$L$107:$JA$107</definedName>
    <definedName name="IA_PriceExportOther10">[1]InputData!$L$154:$JA$154</definedName>
    <definedName name="IA_PriceExportOther5">[1]InputData!$L$134:$JA$134</definedName>
    <definedName name="IA_PriceExportOther6">[1]InputData!$L$138:$JA$138</definedName>
    <definedName name="IA_PriceExportOther7">[1]InputData!$L$142:$JA$142</definedName>
    <definedName name="IA_PriceExportOther8">[1]InputData!$L$146:$JA$146</definedName>
    <definedName name="IA_PriceExportOther9">[1]InputData!$L$150:$JA$150</definedName>
    <definedName name="IA_ProdCO2e">[1]InputData!$L$67:$JA$67</definedName>
    <definedName name="IA_ProdCond">[1]InputData!$L$76:$JA$76</definedName>
    <definedName name="IA_ProdGas">[1]InputData!$L$75:$JA$75</definedName>
    <definedName name="IA_ProdLNGFeedstock">[1]InputData!$L$78:$JA$78</definedName>
    <definedName name="IA_ProdLNGSales">[1]InputData!$L$77:$JA$77</definedName>
    <definedName name="IA_ProdNGL">[1]InputData!$L$79:$JA$79</definedName>
    <definedName name="IA_ProdOil">[1]InputData!$L$74:$JA$74</definedName>
    <definedName name="IA_PS_Prog_CumProd">[1]InputData!$G$516:$G$521</definedName>
    <definedName name="IA_PS_Prog_CumProd_Rate">[1]InputData!$H$516:$H$521</definedName>
    <definedName name="IA_PS_Rate_Gas">[1]InputData!$H$463:$I$464</definedName>
    <definedName name="IA_PS_Rate_Gas2001">[1]InputData!$G$452:$H$453</definedName>
    <definedName name="IA_PS_Rate_Oil">[1]InputData!$H$458:$I$459</definedName>
    <definedName name="IA_PS_Rate_Oil2001">[1]InputData!$G$445:$K$447</definedName>
    <definedName name="IA_PS_WD_Gas">[1]InputData!$G$463:$G$464</definedName>
    <definedName name="IA_PS_WD_Gas2001">[1]InputData!$F$452:$F$453</definedName>
    <definedName name="IA_PS_WD_Oil">[1]InputData!$G$458:$G$459</definedName>
    <definedName name="IA_PS_WD_Oil2001">[1]InputData!$F$445:$F$447</definedName>
    <definedName name="IA_PS_Yr_Gas">[1]InputData!$H$462:$I$462</definedName>
    <definedName name="IA_PS_Yr_Gas2001">[1]InputData!$G$451:$H$451</definedName>
    <definedName name="IA_PS_Yr_Oil">[1]InputData!$H$457:$I$457</definedName>
    <definedName name="IA_PS_Yr_Oil2001">[1]InputData!$G$444:$K$444</definedName>
    <definedName name="IA_Roy_Rate">[1]InputData!$H$393:$H$397</definedName>
    <definedName name="IA_Roy_Rate2001">[1]InputData!$G$388:$I$389</definedName>
    <definedName name="IA_Roy_WD2001">[1]InputData!$F$388:$F$389</definedName>
    <definedName name="IA_Roy_Yr">[1]InputData!$G$393:$G$397</definedName>
    <definedName name="IA_Roy_Yr2001">[1]InputData!$G$387:$I$387</definedName>
    <definedName name="IA_StateParticipation">[1]InputData!$L$311:$JA$311</definedName>
    <definedName name="IA_WHTrate">[1]InputData!$L$292:$JA$292</definedName>
    <definedName name="ICP_Esc">[1]InputData!$G$359</definedName>
    <definedName name="index_yr0Capex">[1]InputData!$I$59</definedName>
    <definedName name="index_yr0Inflation">[1]InputData!$I$58</definedName>
    <definedName name="index_yr0Opex">[1]InputData!$I$60</definedName>
    <definedName name="input_CapexDecom">[1]InputData!$L$272</definedName>
    <definedName name="input_OpexFixedTotal">[1]InputData!$L$213</definedName>
    <definedName name="input_OpexLNG">[1]InputData!$L$245</definedName>
    <definedName name="input_OpexVarCompr">[1]InputData!$L$233</definedName>
    <definedName name="input_OpexVarGT">[1]InputData!$L$225</definedName>
    <definedName name="input_OpexVarOps">[1]InputData!$L$221</definedName>
    <definedName name="input_OpexVarOther">[1]InputData!$L$241</definedName>
    <definedName name="input_OpexVarProc">[1]InputData!$L$229</definedName>
    <definedName name="input_OpexVarTariffs">[1]InputData!$L$237</definedName>
    <definedName name="input_OpexVarTotal">[1]InputData!$L$217</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olExpiration">[1]InputData!$G$294</definedName>
    <definedName name="OA_AdditionalTaxes">[1]Cashflow!$L$65:$JA$65</definedName>
    <definedName name="OA_ATCF_Nominal">[1]Cashflow!$L$94:$JA$94</definedName>
    <definedName name="OA_ATCF_Nominal_IOC">[1]Cashflow!$L$122:$JA$122</definedName>
    <definedName name="OA_ATCF_Nominal_NOC">[1]Cashflow!$L$143:$JA$143</definedName>
    <definedName name="OA_ATCF_Real">[1]Cashflow!$L$97:$JA$97</definedName>
    <definedName name="OA_ATCF_Real_HostGovt">[1]Cashflow!$L$165:$JA$165</definedName>
    <definedName name="OA_ATCF_Real_IOC">[1]Cashflow!$L$123:$JA$123</definedName>
    <definedName name="OA_ATCF_Real_NOC">[1]Cashflow!$L$144:$JA$144</definedName>
    <definedName name="OA_CapexDecom">[1]Cashflow!$L$26:$JA$26</definedName>
    <definedName name="OA_CapexDevex">[1]Cashflow!$L$24:$JA$24</definedName>
    <definedName name="OA_CapexDevexLNG">[1]Cashflow!$L$25:$JA$25</definedName>
    <definedName name="OA_CapexEA">[1]Cashflow!$L$23:$JA$23</definedName>
    <definedName name="OA_CapexTotal">[1]Cashflow!$L$27:$JA$27</definedName>
    <definedName name="OA_CarbonCosts">[1]Cashflow!$L$55:$JA$55</definedName>
    <definedName name="OA_CIT">[1]Cashflow!$L$63:$JA$63</definedName>
    <definedName name="OA_Decom">[1]Cashflow!$L$88:$JA$88</definedName>
    <definedName name="OA_Decom_Tax">[1]Cashflow!$L$89:$JA$89</definedName>
    <definedName name="OA_DF_DevForward">[1]Cashflow!$L$105:$JA$105</definedName>
    <definedName name="OA_DF_FullCycle">[1]Cashflow!$L$104:$JA$104</definedName>
    <definedName name="OA_DF_PointForward">[1]Cashflow!$L$106:$JA$106</definedName>
    <definedName name="OA_DI_Nominal">[1]Cashflow!$L$95:$JA$95</definedName>
    <definedName name="OA_EBITDA">[1]Cashflow!$L$61:$JA$61</definedName>
    <definedName name="OA_EntitlementRevTotal">[1]Cashflow!$L$51:$JA$51</definedName>
    <definedName name="OA_EntitleRevenue_Gas">[1]Calculations!$L$412:$JA$412</definedName>
    <definedName name="OA_EntitleRevenue_Liquids">[1]Calculations!$L$406:$JA$406</definedName>
    <definedName name="OA_EntitleVol_Gas">[1]Calculations!$L$416:$JA$416</definedName>
    <definedName name="OA_EntitleVol_Liquids">[1]Calculations!$L$415:$JA$415</definedName>
    <definedName name="OA_GrossRevenueGas">[1]Cashflow!$L$12:$JA$12</definedName>
    <definedName name="OA_GrossRevenueLiquids">[1]Cashflow!$L$13:$JA$13</definedName>
    <definedName name="OA_GrossRevenueOil">[1]Cashflow!$L$11:$JA$11</definedName>
    <definedName name="OA_GrossRevenueTotal">[1]Cashflow!$L$14:$JA$14</definedName>
    <definedName name="OA_Nom_To_Real">[1]Cashflow!$L$96:$JA$96</definedName>
    <definedName name="OA_OpexFixed">[1]Cashflow!$L$18:$JA$18</definedName>
    <definedName name="OA_OpexLNG">[1]Cashflow!$L$19:$JA$19</definedName>
    <definedName name="OA_OpexTotal">[1]Cashflow!$L$20:$JA$20</definedName>
    <definedName name="OA_OpexVariable">[1]Cashflow!$L$17:$JA$17</definedName>
    <definedName name="OA_OtherCosts">[1]Cashflow!$L$57:$JA$57</definedName>
    <definedName name="OA_ProdAndOtherTaxes">[1]Cashflow!$L$59:$JA$59</definedName>
    <definedName name="outEconLimitYear">[1]Cashflow!$I$79</definedName>
    <definedName name="outIRR_Proj">[1]Cashflow!$G$114</definedName>
    <definedName name="outIRR_Proj_DevFwd">[1]Cashflow!$H$114</definedName>
    <definedName name="outIRR_Proj_PntFwd">[1]Cashflow!$I$114</definedName>
    <definedName name="outNPV_Proj">[1]Cashflow!$G$113</definedName>
    <definedName name="outNPV_Proj_DevFwd">[1]Cashflow!$H$113</definedName>
    <definedName name="outNPV_Proj_PntFwd">[1]Cashflow!$I$113</definedName>
    <definedName name="ps_contract_Premium">[1]InputData!$F$482:$F$483</definedName>
    <definedName name="ps_Prog_CumProd_Trig">[1]InputData!$E$516</definedName>
    <definedName name="ps_Rate_Gas_GrossSplit">[1]InputData!$G$477</definedName>
    <definedName name="ps_Rate_GrossSplit_Var">[1]InputData!$H$498</definedName>
    <definedName name="ps_Rate_Oil_AdjustmentPrice">[1]InputData!$N$350:$N$356</definedName>
    <definedName name="ps_Rate_Oil_AdjustmentRate">[1]InputData!$O$350:$O$356</definedName>
    <definedName name="ps_Rate_Oil_GrossSplit">[1]InputData!$G$472</definedName>
    <definedName name="ps_Rate_Premium">[1]InputData!$G$482:$H$483</definedName>
    <definedName name="ps_Rate_Prog_Gas_Price1">[1]InputData!$G$510</definedName>
    <definedName name="ps_Rate_Prog_Gas_Price2">[1]InputData!$G$511</definedName>
    <definedName name="ps_Rate_Prog_Gas_Rate">[1]InputData!$H$510</definedName>
    <definedName name="ps_Rate_Prog_Oil">[1]InputData!$G$504</definedName>
    <definedName name="ps_Yr_Premium">[1]InputData!$G$481:$H$481</definedName>
    <definedName name="sensitivity_CarbonPrice">[1]Calculations!$B$176</definedName>
    <definedName name="sensitivity_CarbonPrice2">[1]Summary!$M$263</definedName>
    <definedName name="sensitivity_Decom">[1]Calculations!$B$179</definedName>
    <definedName name="sensitivity_Decom2">[1]Summary!$R$261</definedName>
    <definedName name="Sensitivity_DiscountRate">[1]Summary!$K$286</definedName>
    <definedName name="sensitivity_FD">[1]Calculations!$B$155</definedName>
    <definedName name="sensitivity_FD2">[1]Summary!$N$261</definedName>
    <definedName name="sensitivity_Opex">[1]Calculations!$B$139</definedName>
    <definedName name="sensitivity_Opex2">[1]Summary!$P$261</definedName>
    <definedName name="sensitivity_Price">[1]Calculations!$B$87</definedName>
    <definedName name="sensitivity_Price2">[1]Summary!$J$261</definedName>
    <definedName name="sensitivity_Production">[1]Calculations!$B$23</definedName>
    <definedName name="sensitivity_Production2">[1]Summary!$L$261</definedName>
    <definedName name="sigBonusRecov">[1]InputData!$G$249</definedName>
    <definedName name="switch_NomReal">[1]Summary!$M$6</definedName>
    <definedName name="switch_Period">[1]Summary!$M$5</definedName>
    <definedName name="tax_GTP_CapAll">[1]InputData!$G$555</definedName>
    <definedName name="trig_contract">[1]InputData!$G$329</definedName>
    <definedName name="trig_Conventional">[1]InputData!$G$326</definedName>
    <definedName name="trig_Decom_HC">[1]InputData!$C$271</definedName>
    <definedName name="trig_FixedOpex_HC">[1]InputData!$C$212</definedName>
    <definedName name="trig_Frontier">[1]InputData!$G$327</definedName>
    <definedName name="trig_Gas_Transfer_Price_Est">[1]InputData!$G$554</definedName>
    <definedName name="trig_LNG">[1]InputData!$G$328</definedName>
    <definedName name="trig_LNGOpex_HC">[1]InputData!$C$244</definedName>
    <definedName name="trig_PriceInputcondDomestic_Calc">[1]InputData!$C$171</definedName>
    <definedName name="trig_PriceInputcondDomestic_HC">[1]InputData!$C$172</definedName>
    <definedName name="trig_PriceInputCondExport_Calc">[1]InputData!$C$118</definedName>
    <definedName name="trig_PriceInputCondExport_HC">[1]InputData!$C$119</definedName>
    <definedName name="trig_PriceInputOilDomestic_Calc">[1]InputData!$C$161</definedName>
    <definedName name="trig_PriceInputOilDomestic_HC">[1]InputData!$C$162</definedName>
    <definedName name="trig_PriceInputOilExport_Calc">[1]InputData!$C$108</definedName>
    <definedName name="trig_PriceInputOilExport_HC">[1]InputData!$C$109</definedName>
    <definedName name="trig_Production">[1]InputData!$L$86:$JA$86</definedName>
    <definedName name="trig_VarOpexCompr_HC">[1]InputData!$C$232</definedName>
    <definedName name="trig_VarOpexGT_HC">[1]InputData!$C$224</definedName>
    <definedName name="trig_VarOpexOps_HC">[1]InputData!$C$220</definedName>
    <definedName name="trig_VarOpexOther_HC">[1]InputData!$C$240</definedName>
    <definedName name="trig_VarOpexProc_HC">[1]InputData!$C$228</definedName>
    <definedName name="trig_VarOpexTariffs_HC">[1]InputData!$C$236</definedName>
    <definedName name="trig_VarOpexTotal">[1]InputData!$B$215</definedName>
    <definedName name="trig_VarOpexTotal_HC">[1]InputData!$C$216</definedName>
    <definedName name="year_baseCosts">[1]InputData!$G$17</definedName>
    <definedName name="year_basePrices">[1]InputData!$G$18</definedName>
    <definedName name="year_cntTotal">[1]InputData!$G$34</definedName>
    <definedName name="year_contractAward">[1]InputData!$G$14</definedName>
    <definedName name="year_ContractConvert">[1]InputData!$G$331</definedName>
    <definedName name="year_contractExpiry">[1]InputData!$G$15</definedName>
    <definedName name="year_current">[1]InputData!$G$13</definedName>
    <definedName name="year_FID">[1]InputData!$G$31</definedName>
    <definedName name="year_firstProd">[1]InputData!$G$19</definedName>
    <definedName name="year_firstSpend">[1]InputData!$G$30</definedName>
    <definedName name="year_GSAactive">[1]InputData!$G$332</definedName>
    <definedName name="year_lastProd">[1]InputData!$G$20</definedName>
    <definedName name="year_modelStart">[1]InputData!$G$16</definedName>
    <definedName name="year_peakProd">[1]InputData!$G$27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 i="378" l="1"/>
  <c r="F6" i="378"/>
  <c r="F5" i="378"/>
  <c r="F4" i="378"/>
  <c r="F3" i="378"/>
  <c r="F18" i="375"/>
  <c r="D7" i="376"/>
  <c r="D9" i="376"/>
  <c r="D11" i="376"/>
  <c r="D10" i="376"/>
  <c r="D8" i="376"/>
  <c r="E11" i="376" l="1"/>
  <c r="E10" i="376"/>
  <c r="C9" i="376"/>
  <c r="C7" i="376"/>
  <c r="E8" i="376"/>
  <c r="C11" i="376"/>
  <c r="C10" i="376"/>
  <c r="C8" i="376"/>
  <c r="E9" i="376"/>
  <c r="E7" i="376"/>
  <c r="N2" i="375" l="1"/>
  <c r="F17" i="375" l="1"/>
  <c r="F16" i="375"/>
  <c r="F13" i="375"/>
  <c r="F12" i="375"/>
  <c r="F11" i="375"/>
  <c r="F10" i="375"/>
  <c r="F9" i="375"/>
  <c r="F8" i="375"/>
  <c r="F7" i="375"/>
  <c r="F6" i="375"/>
  <c r="F5" i="375"/>
  <c r="B6" i="345" l="1"/>
  <c r="B17" i="8" l="1"/>
</calcChain>
</file>

<file path=xl/sharedStrings.xml><?xml version="1.0" encoding="utf-8"?>
<sst xmlns="http://schemas.openxmlformats.org/spreadsheetml/2006/main" count="903" uniqueCount="379">
  <si>
    <t>Year</t>
  </si>
  <si>
    <t>Oil Sales (MMBOPY)</t>
  </si>
  <si>
    <t>Oil Price (USD/BBL)</t>
  </si>
  <si>
    <t>Condensate Sales (MMBOPY)</t>
  </si>
  <si>
    <t>Condensate Price (USD/BBL)</t>
  </si>
  <si>
    <t>Gas Production (BSCF)</t>
  </si>
  <si>
    <t>GSA 1 GHV (BTU/SCF)</t>
  </si>
  <si>
    <t>GSA 1 Volume (BSCF)</t>
  </si>
  <si>
    <t>LPG Propane Sales (MT)</t>
  </si>
  <si>
    <t>LPG Propane Price (USD/T)</t>
  </si>
  <si>
    <t>LPG Butane Sales (MT)</t>
  </si>
  <si>
    <t>LPG Butane Price(USD/T)</t>
  </si>
  <si>
    <t>Text Color in Cells</t>
  </si>
  <si>
    <t>Tabs</t>
  </si>
  <si>
    <t>Price (MMUSD/Unit)</t>
  </si>
  <si>
    <t>CO2 Sales (Ton)</t>
  </si>
  <si>
    <t>Sulfur Sales (Ton)</t>
  </si>
  <si>
    <t>Associated With</t>
  </si>
  <si>
    <t>Cost (MUSD)</t>
  </si>
  <si>
    <t>Type of Contract</t>
  </si>
  <si>
    <t>Discount Rate Start Year</t>
  </si>
  <si>
    <t>Inflation Rate Applied to</t>
  </si>
  <si>
    <t>PIS Year</t>
  </si>
  <si>
    <t>Useful Life (Years)</t>
  </si>
  <si>
    <t>Depreciation Factor</t>
  </si>
  <si>
    <t>Applied By IC</t>
  </si>
  <si>
    <t>Yes</t>
  </si>
  <si>
    <t>Tahapan Produksi</t>
  </si>
  <si>
    <t>No POD</t>
  </si>
  <si>
    <t>Onshore</t>
  </si>
  <si>
    <t>Well Developed</t>
  </si>
  <si>
    <t>&lt;25</t>
  </si>
  <si>
    <t>Sekunder</t>
  </si>
  <si>
    <t>&lt;5</t>
  </si>
  <si>
    <t>&lt;100</t>
  </si>
  <si>
    <t>Conventional</t>
  </si>
  <si>
    <t>Field Status</t>
  </si>
  <si>
    <t>Field Location</t>
  </si>
  <si>
    <t>Reservoir Depth (m)</t>
  </si>
  <si>
    <t>Infrastructure Availability</t>
  </si>
  <si>
    <t>Reservoir Type</t>
  </si>
  <si>
    <t>CO2 Content</t>
  </si>
  <si>
    <t>H2S Content</t>
  </si>
  <si>
    <t>Oil API</t>
  </si>
  <si>
    <t>Domestic Content Use</t>
  </si>
  <si>
    <t>Production Stage</t>
  </si>
  <si>
    <t>&lt;=2500</t>
  </si>
  <si>
    <t>50&lt;=x&lt;70</t>
  </si>
  <si>
    <t>Secondary</t>
  </si>
  <si>
    <t>Karakteristik</t>
  </si>
  <si>
    <t>Parameter</t>
  </si>
  <si>
    <t>POD I</t>
  </si>
  <si>
    <t>POD II</t>
  </si>
  <si>
    <t>Offshore (h&gt;1000)</t>
  </si>
  <si>
    <t>&gt;2500</t>
  </si>
  <si>
    <t>New Frontier Offshore</t>
  </si>
  <si>
    <t>New Frontier Onshore</t>
  </si>
  <si>
    <t>x&lt;30</t>
  </si>
  <si>
    <t>Primer</t>
  </si>
  <si>
    <t>Tersier</t>
  </si>
  <si>
    <t>Field Location (*h=sea depth in meter)</t>
  </si>
  <si>
    <t>Domestic Content Use (%)</t>
  </si>
  <si>
    <t>CO2 Content (%)</t>
  </si>
  <si>
    <t>H2S Content (ppm)</t>
  </si>
  <si>
    <t>Holiday</t>
  </si>
  <si>
    <t>Period</t>
  </si>
  <si>
    <t>Start of Production</t>
  </si>
  <si>
    <t>Volume</t>
  </si>
  <si>
    <t>Fee</t>
  </si>
  <si>
    <t>Offshore (0&lt;h&lt;=20)</t>
  </si>
  <si>
    <t>Offshore (20&lt;h&lt;=50)</t>
  </si>
  <si>
    <t>Offshore (50&lt;h&lt;=150)</t>
  </si>
  <si>
    <t>Offshore (150&lt;h&lt;=1000)</t>
  </si>
  <si>
    <t>Non Conventional</t>
  </si>
  <si>
    <t>&gt;=25</t>
  </si>
  <si>
    <t>POFD</t>
  </si>
  <si>
    <t>Value (%)</t>
  </si>
  <si>
    <t>New Frontier</t>
  </si>
  <si>
    <t>30&lt;=x&lt;50</t>
  </si>
  <si>
    <t>70&lt;=x&lt;100</t>
  </si>
  <si>
    <t>Primary</t>
  </si>
  <si>
    <t>Tertiary</t>
  </si>
  <si>
    <t>5&lt;=x&lt;10</t>
  </si>
  <si>
    <t>10&lt;=x&lt;20</t>
  </si>
  <si>
    <t>20&lt;=x&lt;40</t>
  </si>
  <si>
    <t>40&lt;=x&lt;60</t>
  </si>
  <si>
    <t>2000&lt;=x&lt;3000</t>
  </si>
  <si>
    <t>3000&lt;=x&lt;4000</t>
  </si>
  <si>
    <t>100&lt;=x&lt;300</t>
  </si>
  <si>
    <t>300&lt;=x&lt;500</t>
  </si>
  <si>
    <t>PERMEN ESDM NO.08 Tahun 2017</t>
  </si>
  <si>
    <t>500&lt;=x</t>
  </si>
  <si>
    <t>60&lt;=x</t>
  </si>
  <si>
    <t>100&lt;=x&lt;1000</t>
  </si>
  <si>
    <t>1000&lt;=x&lt;2000</t>
  </si>
  <si>
    <t>4000&lt;=x</t>
  </si>
  <si>
    <t>-</t>
  </si>
  <si>
    <t>PERMEN ESDM NO.52 Tahun 2017 / No. 20 Tahun 2019</t>
  </si>
  <si>
    <t>Project Start Date</t>
  </si>
  <si>
    <t>Project End Date</t>
  </si>
  <si>
    <t>Oil Onstream Date</t>
  </si>
  <si>
    <t>Gas Onstream Date</t>
  </si>
  <si>
    <t>Produced Fluid</t>
  </si>
  <si>
    <t>General Configuration</t>
  </si>
  <si>
    <t>Split Configuration</t>
  </si>
  <si>
    <t>Oil DMO Configuration</t>
  </si>
  <si>
    <t>Gas DMO Configuration</t>
  </si>
  <si>
    <t>First Tranche Petroleum (FTP) Configuration</t>
  </si>
  <si>
    <t>FTP Availability</t>
  </si>
  <si>
    <t>FTP is Shared</t>
  </si>
  <si>
    <t>FTP Portion</t>
  </si>
  <si>
    <t>Split Type</t>
  </si>
  <si>
    <t>Pre Tax Split Configuration</t>
  </si>
  <si>
    <t>Gas Contractor Pre Tax</t>
  </si>
  <si>
    <t>Oil Contractor Pre Tax</t>
  </si>
  <si>
    <t>Oil IC</t>
  </si>
  <si>
    <t>Investment Credit (IC) Configuration</t>
  </si>
  <si>
    <t>Gas IC</t>
  </si>
  <si>
    <t>IC Availability</t>
  </si>
  <si>
    <t>Cost Recovery (CR) Configuration</t>
  </si>
  <si>
    <t>Oil CR Cap Rate</t>
  </si>
  <si>
    <t>Gas CR Cap Rate</t>
  </si>
  <si>
    <t>No</t>
  </si>
  <si>
    <t>GSA 1 Price (USD/MMBTU)</t>
  </si>
  <si>
    <t>GSA 2 Volume (BSCF)</t>
  </si>
  <si>
    <t>GSA 2 GHV (BTU/SCF)</t>
  </si>
  <si>
    <t>GSA 2 Price (USD/MMBTU)</t>
  </si>
  <si>
    <t>GSA 3 Volume (BSCF)</t>
  </si>
  <si>
    <t>GSA 3 GHV (BTU/SCF)</t>
  </si>
  <si>
    <t>GSA 3 Price (USD/MMBTU)</t>
  </si>
  <si>
    <t>GSA 4 Volume (BSCF)</t>
  </si>
  <si>
    <t>GSA 4 GHV (BTU/SCF)</t>
  </si>
  <si>
    <t>GSA 4 Price (USD/MMBTU)</t>
  </si>
  <si>
    <t>GSA 5 Volume (BSCF)</t>
  </si>
  <si>
    <t>GSA 5 GHV (BTU/SCF)</t>
  </si>
  <si>
    <t>GSA 5 Price (USD/MMBTU)</t>
  </si>
  <si>
    <t>GSA 6 Volume (BSCF)5</t>
  </si>
  <si>
    <t>GSA 6 GHV (BTU/SCF)</t>
  </si>
  <si>
    <t>GSA 6 Price (USD/MMBTU)</t>
  </si>
  <si>
    <t>GSA 7 Volume (BSCF)</t>
  </si>
  <si>
    <t>GSA 7 GHV (BTU/SCF)</t>
  </si>
  <si>
    <t>GSA 7 Price (USD/MMBTU)</t>
  </si>
  <si>
    <t>GSA 8 Volume (BSCF)</t>
  </si>
  <si>
    <t>GSA 8 GHV (BTU/SCF)</t>
  </si>
  <si>
    <t>GSA 8 Price (USD/MMBTU)</t>
  </si>
  <si>
    <t>GSA 9 Volume (BSCF)</t>
  </si>
  <si>
    <t>GSA 9 GHV (BTU/SCF)</t>
  </si>
  <si>
    <t>GSA 9 Price (USD/MMBTU)</t>
  </si>
  <si>
    <t>GSA 10 Volume (BSCF)</t>
  </si>
  <si>
    <t>GSA 10 GHV (BTU/SCF)</t>
  </si>
  <si>
    <t>GSA 10 Price (USD/MMBTU)</t>
  </si>
  <si>
    <t>GSA 11 Volume (BSCF)</t>
  </si>
  <si>
    <t>GSA 11 GHV (BTU/SCF)</t>
  </si>
  <si>
    <t>GSA 11 Price (USD/MMBTU)</t>
  </si>
  <si>
    <t>GSA 12 Volume (BSCF)</t>
  </si>
  <si>
    <t>GSA 12 GHV (BTU/SCF)</t>
  </si>
  <si>
    <t>GSA 12 Price (USD/MMBTU)</t>
  </si>
  <si>
    <t>GSA 13 Volume (BSCF)5</t>
  </si>
  <si>
    <t>GSA 13 GHV (BTU/SCF)</t>
  </si>
  <si>
    <t>GSA 13 Price (USD/MMBTU)</t>
  </si>
  <si>
    <t>GSA 14 Volume (BSCF)</t>
  </si>
  <si>
    <t>GSA 14 GHV (BTU/SCF)</t>
  </si>
  <si>
    <t>GSA 14 Price (USD/MMBTU)</t>
  </si>
  <si>
    <t>GSA 15 Volume (BSCF)</t>
  </si>
  <si>
    <t>GSA 15 GHV (BTU/SCF)</t>
  </si>
  <si>
    <t>GSA 15 Price (USD/MMBTU)</t>
  </si>
  <si>
    <t>GSA 16 Volume (BSCF)</t>
  </si>
  <si>
    <t>GSA 16 GHV (BTU/SCF)</t>
  </si>
  <si>
    <t>GSA 16 Price (USD/MMBTU)</t>
  </si>
  <si>
    <t>GSA 17 Volume (BSCF)</t>
  </si>
  <si>
    <t>GSA 17 GHV (BTU/SCF)</t>
  </si>
  <si>
    <t>GSA 18 Price (USD/MMBTU)</t>
  </si>
  <si>
    <t>GSA 19 Volume (BSCF)</t>
  </si>
  <si>
    <t>GSA 19 GHV (BTU/SCF)</t>
  </si>
  <si>
    <t>GSA 19 Price (USD/MMBTU)</t>
  </si>
  <si>
    <t>GSA 20 Volume (BSCF)5</t>
  </si>
  <si>
    <t>GSA 20 GHV (BTU/SCF)</t>
  </si>
  <si>
    <t>GSA 20 Price (USD/MMBTU)</t>
  </si>
  <si>
    <t>GSA 17 Price (USD/MMBTU)</t>
  </si>
  <si>
    <t>GSA 18 Volume (BSCF)</t>
  </si>
  <si>
    <t>GSA 18 GHV (BTU/SCF)</t>
  </si>
  <si>
    <t>Pyscnomics User Guide</t>
  </si>
  <si>
    <t>It is important to exercise caution when modifying columns or rows. The Prod Oil, Prod Gas, Prod LPG Propane, Prod LPG Butane, Prod CO2, Prod Sulfur, and General Config tab are all included in the Pyscnomics Excel model. Each tab is separated into different colors that show how much flexibility the user has to change inputs in each corresponding section.</t>
  </si>
  <si>
    <t>Colors in Tab</t>
  </si>
  <si>
    <t xml:space="preserve">Green - represents the calculation result tab. Users should not change the structure (add or delete rows or columns) of these sections. </t>
  </si>
  <si>
    <t>All of the model's editable inputs are shown in blue on blue (accessible only in the Yellow colored tab).</t>
  </si>
  <si>
    <t>The result of the calculations is in the cell that is black on white and should not be changed.</t>
  </si>
  <si>
    <t>1) General Config</t>
  </si>
  <si>
    <t>This tab contains all of the model's general configuration information.</t>
  </si>
  <si>
    <t>2) Cost Recovery Config</t>
  </si>
  <si>
    <t>This tab will be shown when the Cost Recovery or Transisition in the Type of Contract (General Config Tab) is selected.</t>
  </si>
  <si>
    <t>This tab will be shown when the Gross Split or Transition in the Type of Contract (General Config Tab) is selected.</t>
  </si>
  <si>
    <t>This tab will be shown when the Oil Checkbox in the Produced Fluid (General Config Tab) is checked.</t>
  </si>
  <si>
    <t>3) Gross Split Config</t>
  </si>
  <si>
    <t>4) Prod Oil</t>
  </si>
  <si>
    <t>5) Prod Gas</t>
  </si>
  <si>
    <t>This tab will be shown when the Gas Checkbox in the Produced Fluid (General Config Tab) is checked.</t>
  </si>
  <si>
    <t>6) Prod LPG Propane</t>
  </si>
  <si>
    <t>This tab will be shown when the LPG Propane Checkbox in the Produced Fluid (General Config Tab) is checked.</t>
  </si>
  <si>
    <t>This tab will be shown when the LPG Butane Checkbox in the Produced Fluid (General Config Tab) is checked.</t>
  </si>
  <si>
    <t>7) Prod LPG Butane</t>
  </si>
  <si>
    <t>8) Prod Sulfur</t>
  </si>
  <si>
    <t>9) Prod CO2</t>
  </si>
  <si>
    <t>This tab will be shown when the Sulfur Checkbox in the Produced Fluid (General Config Tab) is checked.</t>
  </si>
  <si>
    <t>This tab will be shown when the CO2 Checkbox in the Produced Fluid (General Config Tab) is checked.</t>
  </si>
  <si>
    <t>10) Cost Tangible</t>
  </si>
  <si>
    <t>This tab contains all of the Tangible cost data.</t>
  </si>
  <si>
    <t>This tab contains all of the Intangible cost data.</t>
  </si>
  <si>
    <t>This tab contains all of the Operating Expenditure (OPEX) cost data.</t>
  </si>
  <si>
    <t>11) Cost Intangible</t>
  </si>
  <si>
    <t>12) Cost OPEX</t>
  </si>
  <si>
    <t>13) Cost ASR</t>
  </si>
  <si>
    <t>This tab contains all of the Abandonment and Site Restoration (ASR) cost data.</t>
  </si>
  <si>
    <t>Parameters</t>
  </si>
  <si>
    <t>Unit</t>
  </si>
  <si>
    <t>Control</t>
  </si>
  <si>
    <t>Oil Production</t>
  </si>
  <si>
    <t>MSTB</t>
  </si>
  <si>
    <t>Oil WAP</t>
  </si>
  <si>
    <t>US$/bbl</t>
  </si>
  <si>
    <t>Gross Revenue</t>
  </si>
  <si>
    <t>MUS$</t>
  </si>
  <si>
    <t>Gross Share</t>
  </si>
  <si>
    <t>Contr. Gross Share</t>
  </si>
  <si>
    <t>GoI Gross Share</t>
  </si>
  <si>
    <t>Sunk Cost</t>
  </si>
  <si>
    <t>Investment</t>
  </si>
  <si>
    <t>Tangible</t>
  </si>
  <si>
    <t>Intangible</t>
  </si>
  <si>
    <t>OPEX + ASR</t>
  </si>
  <si>
    <t>OPEX</t>
  </si>
  <si>
    <t>ASR</t>
  </si>
  <si>
    <t>Deductible Cost</t>
  </si>
  <si>
    <t>(% Gross Revenue)</t>
  </si>
  <si>
    <t>%</t>
  </si>
  <si>
    <t>Contractor Profitability:</t>
  </si>
  <si>
    <t>Contr. Net Share</t>
  </si>
  <si>
    <t>(% Gross Rev)</t>
  </si>
  <si>
    <t>Contr. Net Cash Flow</t>
  </si>
  <si>
    <t>Contr. NPV 2023 Onward</t>
  </si>
  <si>
    <t>Contr. IRR 2023 Onward</t>
  </si>
  <si>
    <t>Contr. POT</t>
  </si>
  <si>
    <t>years</t>
  </si>
  <si>
    <t>Contr. PI</t>
  </si>
  <si>
    <t>GoI Profitability:</t>
  </si>
  <si>
    <t>Net DMO</t>
  </si>
  <si>
    <t>Tax</t>
  </si>
  <si>
    <t>GoI Take</t>
  </si>
  <si>
    <t>GoI NPV 2023 Onward</t>
  </si>
  <si>
    <t>RC Split</t>
  </si>
  <si>
    <t>RC Bottom Limit (&lt;)</t>
  </si>
  <si>
    <t xml:space="preserve"> (&lt;=) RC Top Limit</t>
  </si>
  <si>
    <t>ICP Sliding Scale</t>
  </si>
  <si>
    <t>ICP Bottom Limit (&lt;)</t>
  </si>
  <si>
    <t xml:space="preserve"> (&lt;=) ICP Top Limit</t>
  </si>
  <si>
    <t>Pre Tax CTR Oil</t>
  </si>
  <si>
    <t>Pre Tax CTR Gas</t>
  </si>
  <si>
    <t>GSA Number</t>
  </si>
  <si>
    <t>Description</t>
  </si>
  <si>
    <t>CAPEX</t>
  </si>
  <si>
    <t>DMO is Weighted</t>
  </si>
  <si>
    <t>General DMO Configuration</t>
  </si>
  <si>
    <t>Discount Rate</t>
  </si>
  <si>
    <t>Tax Configuration</t>
  </si>
  <si>
    <t>Tax Rate</t>
  </si>
  <si>
    <t>Tax Payment Method</t>
  </si>
  <si>
    <t>Tax Mode</t>
  </si>
  <si>
    <t>Direct Mode</t>
  </si>
  <si>
    <t>Net Present Value Configuration</t>
  </si>
  <si>
    <t>NPV Mode</t>
  </si>
  <si>
    <t>Salvage Value</t>
  </si>
  <si>
    <t>LBT Portion</t>
  </si>
  <si>
    <t>VAT Discount</t>
  </si>
  <si>
    <t>LBT Discount</t>
  </si>
  <si>
    <t>VAT Portion</t>
  </si>
  <si>
    <t>Fixed Cost (MUSD)</t>
  </si>
  <si>
    <t>Production Rate</t>
  </si>
  <si>
    <t>Cost Per Production Volume</t>
  </si>
  <si>
    <t>ASR Config</t>
  </si>
  <si>
    <t>Future Rate</t>
  </si>
  <si>
    <t>Depreciation Configuration</t>
  </si>
  <si>
    <t>Depreciation Method</t>
  </si>
  <si>
    <t>Tax Payment Configuration</t>
  </si>
  <si>
    <t>Tax of PSC Cost Recovery</t>
  </si>
  <si>
    <t>Pre PDJP No.20 Tahun 2017</t>
  </si>
  <si>
    <t>User Input - Single Value</t>
  </si>
  <si>
    <t>Lifting</t>
  </si>
  <si>
    <t>Price</t>
  </si>
  <si>
    <t>Revenue</t>
  </si>
  <si>
    <t>Depreciable</t>
  </si>
  <si>
    <t>Depreciation</t>
  </si>
  <si>
    <t>Non Capital</t>
  </si>
  <si>
    <t>FTP</t>
  </si>
  <si>
    <t>FTP - CTR</t>
  </si>
  <si>
    <t>FTP - GOV</t>
  </si>
  <si>
    <t>Investment Credit</t>
  </si>
  <si>
    <t>Unrecovered Cost</t>
  </si>
  <si>
    <t>Cost To Be Recovered</t>
  </si>
  <si>
    <t>Cost Recovery</t>
  </si>
  <si>
    <t>Unrec. After Tf</t>
  </si>
  <si>
    <t>Transfer (Tf) to GAS</t>
  </si>
  <si>
    <t>Cost To Be Recovered After Tf</t>
  </si>
  <si>
    <t>Equity To Be Shared (ETS) Before Transfer</t>
  </si>
  <si>
    <t>Cost Recovery After Tf</t>
  </si>
  <si>
    <t>ETS After Tf</t>
  </si>
  <si>
    <t>Contractor Share</t>
  </si>
  <si>
    <t>Government Share</t>
  </si>
  <si>
    <t>DMO Volume</t>
  </si>
  <si>
    <t>DMO Fee</t>
  </si>
  <si>
    <t>DDMO</t>
  </si>
  <si>
    <t>Taxable Income</t>
  </si>
  <si>
    <t>Contractor Take</t>
  </si>
  <si>
    <t>Cashflow</t>
  </si>
  <si>
    <t>Governent Take</t>
  </si>
  <si>
    <t>Oil</t>
  </si>
  <si>
    <t>Gas</t>
  </si>
  <si>
    <t>Transfer (Tf) to Oil</t>
  </si>
  <si>
    <t>Consolidated</t>
  </si>
  <si>
    <t>Base Split</t>
  </si>
  <si>
    <t>Variable Split</t>
  </si>
  <si>
    <t>Progressive Split</t>
  </si>
  <si>
    <t>Contractor Split</t>
  </si>
  <si>
    <t>Non-Capital</t>
  </si>
  <si>
    <t>Total Expenses</t>
  </si>
  <si>
    <t>Cost to be Deducted</t>
  </si>
  <si>
    <t>Carry Forward Cost</t>
  </si>
  <si>
    <t>Carry Forward Cost After Tf</t>
  </si>
  <si>
    <t>Transfer (Tf) to Gas</t>
  </si>
  <si>
    <t>Contractor Share After Tf</t>
  </si>
  <si>
    <t>Contractor Net Operating Profit</t>
  </si>
  <si>
    <t>Net Contractor Share</t>
  </si>
  <si>
    <t>Contractor Cashflow</t>
  </si>
  <si>
    <t>Government Take</t>
  </si>
  <si>
    <t>Electricity Sales (Unit)</t>
  </si>
  <si>
    <t>Cost Recovery Optimization</t>
  </si>
  <si>
    <t>Oil DMO Fee</t>
  </si>
  <si>
    <t>Gas DMO Fee</t>
  </si>
  <si>
    <t>Effective Tax Rate</t>
  </si>
  <si>
    <t>Gross Split Optimization</t>
  </si>
  <si>
    <t>Ministerial Discretion</t>
  </si>
  <si>
    <t>Optimized</t>
  </si>
  <si>
    <t>Priority</t>
  </si>
  <si>
    <t>Min</t>
  </si>
  <si>
    <t>Base</t>
  </si>
  <si>
    <t>Max</t>
  </si>
  <si>
    <t>Ministerial Discretion Split</t>
  </si>
  <si>
    <t>Target Value</t>
  </si>
  <si>
    <t>IRR</t>
  </si>
  <si>
    <t>--&gt;</t>
  </si>
  <si>
    <t>Result Target Value</t>
  </si>
  <si>
    <t>Result of Cost Recovery Optimization</t>
  </si>
  <si>
    <t>Result Gross Split Optimization</t>
  </si>
  <si>
    <t>Sensitivity Configuration</t>
  </si>
  <si>
    <t>Minimum</t>
  </si>
  <si>
    <t>Maximum</t>
  </si>
  <si>
    <t>Step</t>
  </si>
  <si>
    <t>Sensitivity Result</t>
  </si>
  <si>
    <t>NPV</t>
  </si>
  <si>
    <t>P/I</t>
  </si>
  <si>
    <t>Gas Production</t>
  </si>
  <si>
    <t>Gas WAP</t>
  </si>
  <si>
    <t>US$/MMBTU</t>
  </si>
  <si>
    <t>TBTU</t>
  </si>
  <si>
    <t>Cost Recovery / Deductible Cost</t>
  </si>
  <si>
    <t>Unrec. Cost / Carry Fwd. Deductible Cost</t>
  </si>
  <si>
    <t>FTP (PSC Cost Recovery)</t>
  </si>
  <si>
    <t xml:space="preserve">Gray - represents the data tab. Users should not change the structure (add or delete rows or columns) of these sections. </t>
  </si>
  <si>
    <t>Oil Price</t>
  </si>
  <si>
    <t>Gas Price</t>
  </si>
  <si>
    <t>Cum. Prod</t>
  </si>
  <si>
    <t>Uncertainity Configuration</t>
  </si>
  <si>
    <t>Uncertainity Result</t>
  </si>
  <si>
    <t>Distribution</t>
  </si>
  <si>
    <t>Fixed</t>
  </si>
  <si>
    <t>Standard Deviation</t>
  </si>
  <si>
    <t>PSC Declining Balance</t>
  </si>
  <si>
    <t>SKK Full Cycle Real Terms</t>
  </si>
  <si>
    <t>PySCnomics</t>
  </si>
  <si>
    <t>Transition CR - 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</si>
</sst>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_(* \(#,##0\);_(* &quot;-&quot;_);_(@_)"/>
    <numFmt numFmtId="43" formatCode="_(* #,##0.00_);_(* \(#,##0.00\);_(* &quot;-&quot;??_);_(@_)"/>
    <numFmt numFmtId="164" formatCode="_-* #,##0_-;\-* #,##0_-;_-* &quot;-&quot;_-;_-@_-"/>
    <numFmt numFmtId="165" formatCode="_-* #,##0.00_-;\-* #,##0.00_-;_-* &quot;-&quot;??_-;_-@_-"/>
    <numFmt numFmtId="166" formatCode="_(* #,##0.00_);_(* \(#,##0.00\);_(* &quot;-&quot;_);_(@_)"/>
    <numFmt numFmtId="167" formatCode="0.0"/>
  </numFmts>
  <fonts count="2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1"/>
      <name val="Arial"/>
      <family val="2"/>
    </font>
    <font>
      <sz val="10"/>
      <color rgb="FF0000FF"/>
      <name val="Arial"/>
      <family val="2"/>
    </font>
    <font>
      <sz val="10"/>
      <color rgb="FF000000"/>
      <name val="Arial"/>
      <family val="2"/>
    </font>
    <font>
      <sz val="10"/>
      <color rgb="FF0000FF"/>
      <name val="Calibri"/>
      <family val="2"/>
      <scheme val="minor"/>
    </font>
    <font>
      <sz val="8"/>
      <color rgb="FF000000"/>
      <name val="Segoe UI"/>
      <family val="2"/>
    </font>
    <font>
      <sz val="10"/>
      <name val="Arial"/>
      <family val="2"/>
    </font>
    <font>
      <b/>
      <sz val="11"/>
      <name val="Calibri"/>
      <family val="2"/>
      <scheme val="minor"/>
    </font>
    <font>
      <sz val="11"/>
      <name val="Calibri"/>
      <family val="2"/>
      <scheme val="minor"/>
    </font>
    <font>
      <sz val="12"/>
      <color theme="1"/>
      <name val="Calibri"/>
      <family val="2"/>
      <scheme val="minor"/>
    </font>
    <font>
      <b/>
      <sz val="12"/>
      <color theme="1"/>
      <name val="Calibri"/>
      <family val="2"/>
      <scheme val="minor"/>
    </font>
    <font>
      <b/>
      <sz val="38"/>
      <color theme="1"/>
      <name val="Bahnschrift Condensed"/>
      <family val="2"/>
    </font>
    <font>
      <sz val="10"/>
      <name val="Calibri"/>
      <family val="2"/>
      <scheme val="minor"/>
    </font>
    <font>
      <sz val="8"/>
      <name val="Calibri"/>
      <family val="2"/>
      <scheme val="minor"/>
    </font>
    <font>
      <sz val="11"/>
      <color theme="0"/>
      <name val="Calibri"/>
      <family val="2"/>
      <scheme val="minor"/>
    </font>
    <font>
      <sz val="10"/>
      <color theme="1"/>
      <name val="Calibri"/>
      <family val="2"/>
      <scheme val="minor"/>
    </font>
    <font>
      <sz val="11"/>
      <color theme="0" tint="-4.9989318521683403E-2"/>
      <name val="Calibri"/>
      <family val="2"/>
      <scheme val="minor"/>
    </font>
    <font>
      <b/>
      <sz val="11"/>
      <color theme="0" tint="-4.9989318521683403E-2"/>
      <name val="Calibri"/>
      <family val="2"/>
      <scheme val="minor"/>
    </font>
    <font>
      <sz val="11"/>
      <color theme="1" tint="4.9989318521683403E-2"/>
      <name val="Calibri"/>
      <family val="2"/>
      <scheme val="minor"/>
    </font>
    <font>
      <sz val="8"/>
      <color theme="1"/>
      <name val="Calibri"/>
      <family val="2"/>
      <scheme val="minor"/>
    </font>
    <font>
      <sz val="10"/>
      <color theme="1" tint="0.249977111117893"/>
      <name val="Calibri"/>
      <family val="2"/>
      <scheme val="minor"/>
    </font>
    <font>
      <sz val="9"/>
      <color theme="1"/>
      <name val="Calibri"/>
      <family val="2"/>
      <scheme val="minor"/>
    </font>
  </fonts>
  <fills count="15">
    <fill>
      <patternFill patternType="none"/>
    </fill>
    <fill>
      <patternFill patternType="gray125"/>
    </fill>
    <fill>
      <patternFill patternType="solid">
        <fgColor rgb="FF990033"/>
        <bgColor indexed="64"/>
      </patternFill>
    </fill>
    <fill>
      <patternFill patternType="solid">
        <fgColor rgb="FFFF5050"/>
        <bgColor indexed="64"/>
      </patternFill>
    </fill>
    <fill>
      <patternFill patternType="solid">
        <fgColor rgb="FFCCFFFF"/>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A3B8BA"/>
        <bgColor indexed="64"/>
      </patternFill>
    </fill>
    <fill>
      <patternFill patternType="solid">
        <fgColor rgb="FF588001"/>
        <bgColor indexed="64"/>
      </patternFill>
    </fill>
    <fill>
      <patternFill patternType="solid">
        <fgColor rgb="FF9C0305"/>
        <bgColor indexed="64"/>
      </patternFill>
    </fill>
    <fill>
      <patternFill patternType="solid">
        <fgColor rgb="FFD2FF95"/>
        <bgColor indexed="64"/>
      </patternFill>
    </fill>
    <fill>
      <patternFill patternType="solid">
        <fgColor rgb="FFB3FF03"/>
        <bgColor indexed="64"/>
      </patternFill>
    </fill>
  </fills>
  <borders count="34">
    <border>
      <left/>
      <right/>
      <top/>
      <bottom/>
      <diagonal/>
    </border>
    <border>
      <left style="thin">
        <color theme="1"/>
      </left>
      <right/>
      <top/>
      <bottom/>
      <diagonal/>
    </border>
    <border>
      <left/>
      <right style="thin">
        <color theme="1"/>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top style="thin">
        <color theme="1"/>
      </top>
      <bottom/>
      <diagonal/>
    </border>
    <border>
      <left/>
      <right style="thin">
        <color theme="1"/>
      </right>
      <top style="thin">
        <color theme="1"/>
      </top>
      <bottom/>
      <diagonal/>
    </border>
    <border>
      <left/>
      <right style="hair">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dotted">
        <color theme="4" tint="0.59999389629810485"/>
      </left>
      <right style="dotted">
        <color theme="4" tint="0.59999389629810485"/>
      </right>
      <top style="dotted">
        <color theme="4" tint="0.59999389629810485"/>
      </top>
      <bottom style="dotted">
        <color theme="4" tint="0.59999389629810485"/>
      </bottom>
      <diagonal/>
    </border>
    <border>
      <left style="dotted">
        <color theme="4" tint="0.59999389629810485"/>
      </left>
      <right/>
      <top style="dotted">
        <color theme="4" tint="0.59999389629810485"/>
      </top>
      <bottom style="thin">
        <color indexed="64"/>
      </bottom>
      <diagonal/>
    </border>
    <border>
      <left style="dotted">
        <color theme="4" tint="0.59999389629810485"/>
      </left>
      <right/>
      <top style="thin">
        <color indexed="64"/>
      </top>
      <bottom/>
      <diagonal/>
    </border>
    <border>
      <left style="dotted">
        <color theme="4" tint="0.59999389629810485"/>
      </left>
      <right style="dotted">
        <color theme="4" tint="0.59999389629810485"/>
      </right>
      <top style="dotted">
        <color theme="4" tint="0.59999389629810485"/>
      </top>
      <bottom style="thin">
        <color indexed="64"/>
      </bottom>
      <diagonal/>
    </border>
    <border>
      <left/>
      <right style="dotted">
        <color theme="4" tint="0.59999389629810485"/>
      </right>
      <top/>
      <bottom/>
      <diagonal/>
    </border>
    <border>
      <left style="dotted">
        <color theme="4" tint="0.59999389629810485"/>
      </left>
      <right style="dotted">
        <color theme="4" tint="0.59999389629810485"/>
      </right>
      <top style="thin">
        <color indexed="64"/>
      </top>
      <bottom style="dotted">
        <color theme="4" tint="0.59999389629810485"/>
      </bottom>
      <diagonal/>
    </border>
    <border>
      <left style="dotted">
        <color theme="4" tint="0.59999389629810485"/>
      </left>
      <right/>
      <top/>
      <bottom/>
      <diagonal/>
    </border>
    <border>
      <left/>
      <right style="dotted">
        <color theme="4" tint="0.59999389629810485"/>
      </right>
      <top style="dotted">
        <color theme="4" tint="0.59999389629810485"/>
      </top>
      <bottom/>
      <diagonal/>
    </border>
    <border>
      <left/>
      <right style="dotted">
        <color theme="4" tint="0.59999389629810485"/>
      </right>
      <top/>
      <bottom style="dotted">
        <color theme="4" tint="0.59999389629810485"/>
      </bottom>
      <diagonal/>
    </border>
    <border>
      <left style="dotted">
        <color theme="4" tint="0.59999389629810485"/>
      </left>
      <right style="dotted">
        <color theme="4" tint="0.59999389629810485"/>
      </right>
      <top/>
      <bottom style="dotted">
        <color theme="4" tint="0.59999389629810485"/>
      </bottom>
      <diagonal/>
    </border>
    <border>
      <left/>
      <right style="dotted">
        <color theme="4" tint="0.59999389629810485"/>
      </right>
      <top style="dotted">
        <color theme="4" tint="0.59999389629810485"/>
      </top>
      <bottom style="dotted">
        <color theme="4" tint="0.59999389629810485"/>
      </bottom>
      <diagonal/>
    </border>
    <border>
      <left style="dotted">
        <color rgb="FFCCFFFF"/>
      </left>
      <right style="dotted">
        <color theme="4" tint="0.59999389629810485"/>
      </right>
      <top style="dotted">
        <color theme="4" tint="0.59999389629810485"/>
      </top>
      <bottom style="dotted">
        <color theme="4" tint="0.59999389629810485"/>
      </bottom>
      <diagonal/>
    </border>
    <border>
      <left/>
      <right/>
      <top/>
      <bottom style="dotted">
        <color theme="4" tint="0.59999389629810485"/>
      </bottom>
      <diagonal/>
    </border>
    <border>
      <left style="dotted">
        <color theme="4" tint="0.59999389629810485"/>
      </left>
      <right/>
      <top style="dotted">
        <color theme="4" tint="0.59999389629810485"/>
      </top>
      <bottom/>
      <diagonal/>
    </border>
    <border>
      <left style="dotted">
        <color theme="4" tint="0.59999389629810485"/>
      </left>
      <right/>
      <top/>
      <bottom style="dotted">
        <color theme="4" tint="0.59999389629810485"/>
      </bottom>
      <diagonal/>
    </border>
    <border>
      <left style="dotted">
        <color theme="4" tint="0.59999389629810485"/>
      </left>
      <right style="dotted">
        <color theme="4" tint="0.59999389629810485"/>
      </right>
      <top style="dotted">
        <color theme="4" tint="0.59999389629810485"/>
      </top>
      <bottom/>
      <diagonal/>
    </border>
    <border>
      <left style="thin">
        <color theme="1"/>
      </left>
      <right/>
      <top style="thin">
        <color theme="1"/>
      </top>
      <bottom/>
      <diagonal/>
    </border>
  </borders>
  <cellStyleXfs count="8">
    <xf numFmtId="0" fontId="0" fillId="0" borderId="0"/>
    <xf numFmtId="165" fontId="1" fillId="0" borderId="0" applyFont="0" applyFill="0" applyBorder="0" applyAlignment="0" applyProtection="0"/>
    <xf numFmtId="9" fontId="1"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1" fontId="12" fillId="0" borderId="0" applyFont="0" applyFill="0" applyBorder="0" applyAlignment="0" applyProtection="0"/>
    <xf numFmtId="164" fontId="1" fillId="0" borderId="0" applyFont="0" applyFill="0" applyBorder="0" applyAlignment="0" applyProtection="0"/>
  </cellStyleXfs>
  <cellXfs count="117">
    <xf numFmtId="0" fontId="0" fillId="0" borderId="0" xfId="0"/>
    <xf numFmtId="0" fontId="0" fillId="2" borderId="0" xfId="0" applyFill="1"/>
    <xf numFmtId="0" fontId="0" fillId="3" borderId="0" xfId="0" applyFill="1"/>
    <xf numFmtId="0" fontId="2" fillId="3" borderId="1" xfId="0" applyFont="1" applyFill="1" applyBorder="1"/>
    <xf numFmtId="0" fontId="2" fillId="3" borderId="0" xfId="0" applyFont="1" applyFill="1"/>
    <xf numFmtId="0" fontId="2" fillId="3" borderId="2" xfId="0" applyFont="1" applyFill="1" applyBorder="1"/>
    <xf numFmtId="0" fontId="4" fillId="0" borderId="0" xfId="0" applyFont="1" applyAlignment="1">
      <alignment horizontal="left" vertical="center"/>
    </xf>
    <xf numFmtId="39" fontId="5" fillId="4" borderId="3" xfId="1" applyNumberFormat="1" applyFont="1" applyFill="1" applyBorder="1" applyAlignment="1">
      <alignment horizontal="center"/>
    </xf>
    <xf numFmtId="39" fontId="6" fillId="5" borderId="3" xfId="1" applyNumberFormat="1" applyFont="1" applyFill="1" applyBorder="1" applyAlignment="1">
      <alignment horizontal="center"/>
    </xf>
    <xf numFmtId="0" fontId="3" fillId="0" borderId="0" xfId="0" applyFont="1"/>
    <xf numFmtId="0" fontId="0" fillId="0" borderId="0" xfId="0" applyAlignment="1">
      <alignment horizontal="right"/>
    </xf>
    <xf numFmtId="0" fontId="0" fillId="6" borderId="0" xfId="0" applyFill="1"/>
    <xf numFmtId="0" fontId="2" fillId="6" borderId="1" xfId="0" applyFont="1" applyFill="1" applyBorder="1"/>
    <xf numFmtId="0" fontId="2" fillId="6" borderId="0" xfId="0" applyFont="1" applyFill="1"/>
    <xf numFmtId="0" fontId="2" fillId="6" borderId="2" xfId="0" applyFont="1" applyFill="1" applyBorder="1"/>
    <xf numFmtId="0" fontId="0" fillId="7" borderId="4" xfId="0" applyFill="1" applyBorder="1" applyAlignment="1">
      <alignment horizontal="center" vertical="center" wrapText="1"/>
    </xf>
    <xf numFmtId="9" fontId="0" fillId="7" borderId="4" xfId="2" applyFont="1" applyFill="1" applyBorder="1" applyAlignment="1">
      <alignment horizontal="left" vertical="center" wrapText="1"/>
    </xf>
    <xf numFmtId="0" fontId="0" fillId="7" borderId="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horizontal="center" vertical="center"/>
    </xf>
    <xf numFmtId="0" fontId="0" fillId="0" borderId="4" xfId="0" applyBorder="1"/>
    <xf numFmtId="2" fontId="0" fillId="0" borderId="4" xfId="0" applyNumberFormat="1" applyBorder="1" applyAlignment="1">
      <alignment horizontal="center" vertical="center"/>
    </xf>
    <xf numFmtId="0" fontId="7" fillId="4" borderId="3" xfId="0" applyFont="1" applyFill="1" applyBorder="1" applyAlignment="1">
      <alignment horizontal="center"/>
    </xf>
    <xf numFmtId="14" fontId="7" fillId="4" borderId="3" xfId="0" applyNumberFormat="1" applyFont="1" applyFill="1" applyBorder="1" applyAlignment="1">
      <alignment horizontal="center"/>
    </xf>
    <xf numFmtId="0" fontId="3" fillId="0" borderId="0" xfId="0" applyFont="1" applyAlignment="1">
      <alignment vertical="center"/>
    </xf>
    <xf numFmtId="0" fontId="0" fillId="0" borderId="0" xfId="0" applyAlignment="1">
      <alignment horizontal="center" vertical="center"/>
    </xf>
    <xf numFmtId="9" fontId="7" fillId="4" borderId="3" xfId="0" applyNumberFormat="1" applyFont="1" applyFill="1" applyBorder="1" applyAlignment="1">
      <alignment horizontal="center"/>
    </xf>
    <xf numFmtId="0" fontId="2" fillId="2" borderId="10" xfId="0" applyFont="1" applyFill="1" applyBorder="1"/>
    <xf numFmtId="0" fontId="2" fillId="2" borderId="11" xfId="0" applyFont="1" applyFill="1" applyBorder="1"/>
    <xf numFmtId="9" fontId="7" fillId="4" borderId="3" xfId="2" applyFont="1" applyFill="1" applyBorder="1" applyAlignment="1">
      <alignment horizontal="center"/>
    </xf>
    <xf numFmtId="0" fontId="11" fillId="7" borderId="13" xfId="3" applyFont="1" applyFill="1" applyBorder="1" applyAlignment="1">
      <alignment horizontal="center" vertical="center"/>
    </xf>
    <xf numFmtId="0" fontId="11" fillId="7" borderId="13" xfId="3" applyFont="1" applyFill="1" applyBorder="1" applyAlignment="1">
      <alignment vertical="center"/>
    </xf>
    <xf numFmtId="43" fontId="11" fillId="7" borderId="13" xfId="4" applyFont="1" applyFill="1" applyBorder="1" applyAlignment="1">
      <alignment vertical="center"/>
    </xf>
    <xf numFmtId="0" fontId="11" fillId="7" borderId="13" xfId="3" applyFont="1" applyFill="1" applyBorder="1" applyAlignment="1">
      <alignment horizontal="left" vertical="center"/>
    </xf>
    <xf numFmtId="0" fontId="11" fillId="0" borderId="13" xfId="3" applyFont="1" applyBorder="1" applyAlignment="1">
      <alignment horizontal="left" vertical="center"/>
    </xf>
    <xf numFmtId="0" fontId="11" fillId="0" borderId="13" xfId="3" applyFont="1" applyBorder="1" applyAlignment="1">
      <alignment horizontal="center" vertical="center"/>
    </xf>
    <xf numFmtId="166" fontId="11" fillId="0" borderId="13" xfId="6" quotePrefix="1" applyNumberFormat="1" applyFont="1" applyFill="1" applyBorder="1" applyAlignment="1">
      <alignment horizontal="center" vertical="center"/>
    </xf>
    <xf numFmtId="0" fontId="11" fillId="0" borderId="13" xfId="3" applyFont="1" applyBorder="1" applyAlignment="1">
      <alignment vertical="center"/>
    </xf>
    <xf numFmtId="166" fontId="11" fillId="0" borderId="13" xfId="6" applyNumberFormat="1" applyFont="1" applyFill="1" applyBorder="1" applyAlignment="1">
      <alignment horizontal="center" vertical="center"/>
    </xf>
    <xf numFmtId="9" fontId="11" fillId="7" borderId="13" xfId="2" applyFont="1" applyFill="1" applyBorder="1" applyAlignment="1">
      <alignment vertical="center"/>
    </xf>
    <xf numFmtId="0" fontId="12" fillId="0" borderId="0" xfId="0" applyFont="1"/>
    <xf numFmtId="0" fontId="13" fillId="0" borderId="0" xfId="0" applyFont="1"/>
    <xf numFmtId="0" fontId="0" fillId="0" borderId="12" xfId="0" applyBorder="1" applyAlignment="1">
      <alignment vertical="center"/>
    </xf>
    <xf numFmtId="0" fontId="7" fillId="4" borderId="14" xfId="0" applyFont="1" applyFill="1" applyBorder="1" applyAlignment="1">
      <alignment vertical="center"/>
    </xf>
    <xf numFmtId="0" fontId="7" fillId="4" borderId="16" xfId="0" applyFont="1" applyFill="1" applyBorder="1" applyAlignment="1">
      <alignment vertical="center"/>
    </xf>
    <xf numFmtId="0" fontId="7" fillId="4" borderId="15" xfId="0" applyFont="1" applyFill="1" applyBorder="1" applyAlignment="1">
      <alignment horizontal="center" vertical="top"/>
    </xf>
    <xf numFmtId="0" fontId="7" fillId="4" borderId="17" xfId="0" applyFont="1" applyFill="1" applyBorder="1" applyAlignment="1">
      <alignment horizontal="center"/>
    </xf>
    <xf numFmtId="0" fontId="0" fillId="0" borderId="23" xfId="0" applyBorder="1"/>
    <xf numFmtId="0" fontId="7" fillId="4" borderId="24" xfId="0" applyFont="1" applyFill="1" applyBorder="1" applyAlignment="1">
      <alignment horizontal="center"/>
    </xf>
    <xf numFmtId="0" fontId="7" fillId="4" borderId="25" xfId="0" applyFont="1" applyFill="1" applyBorder="1" applyAlignment="1">
      <alignment horizontal="center"/>
    </xf>
    <xf numFmtId="0" fontId="7" fillId="4" borderId="26" xfId="0" applyFont="1" applyFill="1" applyBorder="1" applyAlignment="1">
      <alignment horizontal="center"/>
    </xf>
    <xf numFmtId="0" fontId="7" fillId="4" borderId="27" xfId="0" applyFont="1" applyFill="1" applyBorder="1" applyAlignment="1">
      <alignment horizontal="center"/>
    </xf>
    <xf numFmtId="0" fontId="0" fillId="0" borderId="21" xfId="0" applyBorder="1"/>
    <xf numFmtId="10" fontId="7" fillId="4" borderId="26" xfId="2" applyNumberFormat="1" applyFont="1" applyFill="1" applyBorder="1" applyAlignment="1">
      <alignment horizontal="center"/>
    </xf>
    <xf numFmtId="10" fontId="7" fillId="4" borderId="25" xfId="2" applyNumberFormat="1" applyFont="1" applyFill="1" applyBorder="1" applyAlignment="1">
      <alignment horizontal="center"/>
    </xf>
    <xf numFmtId="10" fontId="7" fillId="4" borderId="27" xfId="2" applyNumberFormat="1" applyFont="1" applyFill="1" applyBorder="1" applyAlignment="1">
      <alignment horizontal="center"/>
    </xf>
    <xf numFmtId="10" fontId="7" fillId="4" borderId="17" xfId="2" applyNumberFormat="1" applyFont="1" applyFill="1" applyBorder="1" applyAlignment="1">
      <alignment horizontal="center"/>
    </xf>
    <xf numFmtId="164" fontId="7" fillId="4" borderId="17" xfId="7" applyFont="1" applyFill="1" applyBorder="1" applyAlignment="1">
      <alignment horizontal="center"/>
    </xf>
    <xf numFmtId="0" fontId="7" fillId="4" borderId="29" xfId="0" applyFont="1" applyFill="1" applyBorder="1" applyAlignment="1">
      <alignment horizontal="center"/>
    </xf>
    <xf numFmtId="10" fontId="7" fillId="4" borderId="28" xfId="2" applyNumberFormat="1" applyFont="1" applyFill="1" applyBorder="1" applyAlignment="1">
      <alignment horizontal="center"/>
    </xf>
    <xf numFmtId="14" fontId="7" fillId="4" borderId="16" xfId="0" applyNumberFormat="1" applyFont="1" applyFill="1" applyBorder="1" applyAlignment="1">
      <alignment vertical="center"/>
    </xf>
    <xf numFmtId="1" fontId="7" fillId="4" borderId="15" xfId="0" applyNumberFormat="1" applyFont="1" applyFill="1" applyBorder="1" applyAlignment="1">
      <alignment vertical="center"/>
    </xf>
    <xf numFmtId="14" fontId="16" fillId="4" borderId="14" xfId="0" applyNumberFormat="1" applyFont="1" applyFill="1" applyBorder="1" applyAlignment="1">
      <alignment horizontal="center" vertical="center"/>
    </xf>
    <xf numFmtId="0" fontId="0" fillId="0" borderId="0" xfId="0" applyAlignment="1">
      <alignment horizontal="left"/>
    </xf>
    <xf numFmtId="0" fontId="18" fillId="4" borderId="3" xfId="0" applyFont="1" applyFill="1" applyBorder="1" applyAlignment="1">
      <alignment horizontal="center"/>
    </xf>
    <xf numFmtId="2" fontId="7" fillId="4" borderId="3" xfId="0" applyNumberFormat="1" applyFont="1" applyFill="1" applyBorder="1" applyAlignment="1">
      <alignment horizontal="center"/>
    </xf>
    <xf numFmtId="0" fontId="17" fillId="9" borderId="4" xfId="0" applyFont="1" applyFill="1" applyBorder="1" applyAlignment="1">
      <alignment horizontal="center"/>
    </xf>
    <xf numFmtId="0" fontId="19" fillId="11" borderId="0" xfId="0" applyFont="1" applyFill="1" applyAlignment="1">
      <alignment horizontal="center" vertical="center"/>
    </xf>
    <xf numFmtId="0" fontId="0" fillId="12" borderId="0" xfId="0" applyFill="1"/>
    <xf numFmtId="0" fontId="20" fillId="11" borderId="4" xfId="0" applyFont="1" applyFill="1" applyBorder="1" applyAlignment="1">
      <alignment horizontal="center" vertical="center"/>
    </xf>
    <xf numFmtId="0" fontId="2" fillId="12" borderId="33" xfId="0" applyFont="1" applyFill="1" applyBorder="1" applyAlignment="1">
      <alignment horizontal="center" vertical="center"/>
    </xf>
    <xf numFmtId="0" fontId="21" fillId="10" borderId="0" xfId="0" applyFont="1" applyFill="1" applyAlignment="1">
      <alignment horizontal="left" vertical="center"/>
    </xf>
    <xf numFmtId="0" fontId="0" fillId="0" borderId="0" xfId="0" applyAlignment="1">
      <alignment horizontal="center"/>
    </xf>
    <xf numFmtId="0" fontId="22" fillId="0" borderId="0" xfId="0" applyFont="1" applyAlignment="1">
      <alignment horizontal="center" vertical="center"/>
    </xf>
    <xf numFmtId="0" fontId="22" fillId="0" borderId="0" xfId="0" applyFont="1" applyAlignment="1">
      <alignment horizontal="center"/>
    </xf>
    <xf numFmtId="0" fontId="0" fillId="0" borderId="0" xfId="0" quotePrefix="1" applyAlignment="1">
      <alignment horizontal="center" vertical="center"/>
    </xf>
    <xf numFmtId="9" fontId="23" fillId="13" borderId="3" xfId="2" applyFont="1" applyFill="1" applyBorder="1" applyAlignment="1">
      <alignment horizontal="center"/>
    </xf>
    <xf numFmtId="10" fontId="0" fillId="0" borderId="0" xfId="0" applyNumberFormat="1" applyAlignment="1">
      <alignment horizontal="center"/>
    </xf>
    <xf numFmtId="2" fontId="7" fillId="4" borderId="3" xfId="2" applyNumberFormat="1" applyFont="1" applyFill="1" applyBorder="1" applyAlignment="1">
      <alignment horizontal="center"/>
    </xf>
    <xf numFmtId="1" fontId="7" fillId="4" borderId="3" xfId="2" applyNumberFormat="1" applyFont="1" applyFill="1" applyBorder="1" applyAlignment="1">
      <alignment horizontal="center"/>
    </xf>
    <xf numFmtId="9" fontId="23" fillId="13" borderId="0" xfId="2" applyFont="1" applyFill="1" applyBorder="1" applyAlignment="1">
      <alignment horizontal="center"/>
    </xf>
    <xf numFmtId="0" fontId="0" fillId="14" borderId="0" xfId="0" applyFill="1"/>
    <xf numFmtId="0" fontId="0" fillId="10" borderId="0" xfId="0" applyFill="1"/>
    <xf numFmtId="0" fontId="24" fillId="0" borderId="0" xfId="0" applyFont="1" applyAlignment="1">
      <alignment horizontal="center" vertical="center"/>
    </xf>
    <xf numFmtId="0" fontId="14" fillId="0" borderId="0" xfId="0" applyFont="1" applyAlignment="1">
      <alignment horizontal="center"/>
    </xf>
    <xf numFmtId="0" fontId="0" fillId="0" borderId="0" xfId="0" applyAlignment="1">
      <alignment horizontal="left" vertical="top" wrapText="1"/>
    </xf>
    <xf numFmtId="0" fontId="11" fillId="7" borderId="13" xfId="3" applyFont="1" applyFill="1" applyBorder="1" applyAlignment="1">
      <alignment horizontal="center" vertical="center"/>
    </xf>
    <xf numFmtId="0" fontId="10" fillId="8" borderId="13" xfId="3" applyFont="1" applyFill="1" applyBorder="1" applyAlignment="1">
      <alignment horizontal="center" vertical="center" wrapText="1"/>
    </xf>
    <xf numFmtId="0" fontId="7" fillId="4" borderId="14" xfId="0" applyFont="1" applyFill="1" applyBorder="1" applyAlignment="1">
      <alignment horizontal="center" vertical="center"/>
    </xf>
    <xf numFmtId="0" fontId="7" fillId="4" borderId="15" xfId="0" applyFont="1" applyFill="1" applyBorder="1" applyAlignment="1">
      <alignment horizontal="center" vertical="center"/>
    </xf>
    <xf numFmtId="0" fontId="7" fillId="4" borderId="16" xfId="0" applyFont="1" applyFill="1" applyBorder="1" applyAlignment="1">
      <alignment horizontal="center" vertical="center"/>
    </xf>
    <xf numFmtId="14" fontId="7" fillId="4" borderId="14" xfId="0" applyNumberFormat="1" applyFont="1" applyFill="1" applyBorder="1" applyAlignment="1">
      <alignment horizontal="center" vertical="center"/>
    </xf>
    <xf numFmtId="14" fontId="7" fillId="4" borderId="15" xfId="0" applyNumberFormat="1" applyFont="1" applyFill="1" applyBorder="1" applyAlignment="1">
      <alignment horizontal="center" vertical="center"/>
    </xf>
    <xf numFmtId="14" fontId="7" fillId="4" borderId="16" xfId="0" applyNumberFormat="1" applyFont="1" applyFill="1" applyBorder="1" applyAlignment="1">
      <alignment horizontal="center" vertical="center"/>
    </xf>
    <xf numFmtId="167" fontId="7" fillId="4" borderId="14" xfId="0" applyNumberFormat="1" applyFont="1" applyFill="1" applyBorder="1" applyAlignment="1">
      <alignment horizontal="center" vertical="center"/>
    </xf>
    <xf numFmtId="167" fontId="7" fillId="4" borderId="15" xfId="0" applyNumberFormat="1" applyFont="1" applyFill="1" applyBorder="1" applyAlignment="1">
      <alignment horizontal="center" vertical="center"/>
    </xf>
    <xf numFmtId="167" fontId="7" fillId="4" borderId="16" xfId="0" applyNumberFormat="1" applyFont="1" applyFill="1" applyBorder="1" applyAlignment="1">
      <alignment horizontal="center" vertical="center"/>
    </xf>
    <xf numFmtId="0" fontId="3" fillId="0" borderId="4" xfId="0" applyFont="1" applyBorder="1" applyAlignment="1">
      <alignment horizontal="center"/>
    </xf>
    <xf numFmtId="0" fontId="0" fillId="7" borderId="5" xfId="0" applyFill="1" applyBorder="1" applyAlignment="1">
      <alignment horizontal="center" vertical="center" wrapText="1"/>
    </xf>
    <xf numFmtId="0" fontId="0" fillId="7" borderId="6" xfId="0" applyFill="1" applyBorder="1" applyAlignment="1">
      <alignment horizontal="center" vertical="center" wrapText="1"/>
    </xf>
    <xf numFmtId="0" fontId="0" fillId="7" borderId="7" xfId="0" applyFill="1"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8" xfId="0"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164" fontId="15" fillId="0" borderId="32" xfId="7" applyFont="1" applyFill="1" applyBorder="1" applyAlignment="1">
      <alignment horizontal="center" wrapText="1"/>
    </xf>
    <xf numFmtId="164" fontId="15" fillId="0" borderId="26" xfId="7" applyFont="1" applyFill="1" applyBorder="1" applyAlignment="1">
      <alignment horizontal="center" wrapText="1"/>
    </xf>
    <xf numFmtId="0" fontId="15" fillId="0" borderId="30" xfId="0" applyFont="1" applyBorder="1" applyAlignment="1">
      <alignment horizontal="center" wrapText="1"/>
    </xf>
    <xf numFmtId="0" fontId="15" fillId="0" borderId="31" xfId="0" applyFont="1" applyBorder="1" applyAlignment="1">
      <alignment horizontal="center" wrapText="1"/>
    </xf>
    <xf numFmtId="0" fontId="15" fillId="0" borderId="32" xfId="0" applyFont="1" applyBorder="1" applyAlignment="1">
      <alignment horizontal="center" wrapText="1"/>
    </xf>
    <xf numFmtId="0" fontId="15" fillId="0" borderId="26" xfId="0" applyFont="1" applyBorder="1" applyAlignment="1">
      <alignment horizontal="center" wrapTex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cellXfs>
  <cellStyles count="8">
    <cellStyle name="Comma [0]" xfId="7" builtinId="6"/>
    <cellStyle name="Comma [0] 2" xfId="6" xr:uid="{C4FFBC08-0C7F-4FDA-A637-BF37C6503026}"/>
    <cellStyle name="Comma 2 2" xfId="4" xr:uid="{6606C467-0635-4A0B-8D43-D6AC87B21AA1}"/>
    <cellStyle name="Comma 3 2" xfId="1" xr:uid="{2FDC9FFE-C370-4726-8348-7E1AC54BF62C}"/>
    <cellStyle name="Normal" xfId="0" builtinId="0"/>
    <cellStyle name="Normal 2 3" xfId="3" xr:uid="{A7500433-E82E-4290-99D4-25338DABE28E}"/>
    <cellStyle name="Percent" xfId="2" builtinId="5"/>
    <cellStyle name="Percent 3" xfId="5" xr:uid="{F0BA3782-5C14-4DE8-881B-574343CC6AB8}"/>
  </cellStyles>
  <dxfs count="144">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s>
  <tableStyles count="0" defaultTableStyle="TableStyleMedium2" defaultPivotStyle="PivotStyleLight16"/>
  <colors>
    <mruColors>
      <color rgb="FF435259"/>
      <color rgb="FFA3B8BA"/>
      <color rgb="FFFC080F"/>
      <color rgb="FFB3FF03"/>
      <color rgb="FF436300"/>
      <color rgb="FF9C0305"/>
      <color rgb="FFD2FF95"/>
      <color rgb="FF588001"/>
      <color rgb="FFCAFF80"/>
      <color rgb="FF6E9E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6" fmlaLink="$D$10" max="10" min="1" page="10" val="2"/>
</file>

<file path=xl/ctrlProps/ctrlProp8.xml><?xml version="1.0" encoding="utf-8"?>
<formControlPr xmlns="http://schemas.microsoft.com/office/spreadsheetml/2009/9/main" objectType="Spin" dx="26" fmlaLink="$D$11" max="20" min="1" page="10"/>
</file>

<file path=xl/ctrlProps/ctrlProp9.xml><?xml version="1.0" encoding="utf-8"?>
<formControlPr xmlns="http://schemas.microsoft.com/office/spreadsheetml/2009/9/main" objectType="Spin" dx="26" fmlaLink="$D$12" max="10" min="1" page="10"/>
</file>

<file path=xl/ctrlProps/ctrlProp10.xml><?xml version="1.0" encoding="utf-8"?>
<formControlPr xmlns="http://schemas.microsoft.com/office/spreadsheetml/2009/9/main" objectType="Spin" dx="26" fmlaLink="$D$13" max="10" min="1" page="10"/>
</file>

<file path=xl/ctrlProps/ctrlProp11.xml><?xml version="1.0" encoding="utf-8"?>
<formControlPr xmlns="http://schemas.microsoft.com/office/spreadsheetml/2009/9/main" objectType="Spin" dx="26" fmlaLink="$D$14" max="10" min="1" page="10"/>
</file>

<file path=xl/ctrlProps/ctrlProp12.xml><?xml version="1.0" encoding="utf-8"?>
<formControlPr xmlns="http://schemas.microsoft.com/office/spreadsheetml/2009/9/main" objectType="Spin" dx="26" fmlaLink="$D$15" max="10" min="1" page="10"/>
</file>

<file path=xl/ctrlProps/ctrlProp13.xml><?xml version="1.0" encoding="utf-8"?>
<formControlPr xmlns="http://schemas.microsoft.com/office/spreadsheetml/2009/9/main" objectType="Spin" dx="26" fmlaLink="'General Config'!$C$2:$E$2" max="7" min="1" page="10" val="3"/>
</file>

<file path=xl/ctrlProps/ctrlProp14.xml><?xml version="1.0" encoding="utf-8"?>
<formControlPr xmlns="http://schemas.microsoft.com/office/spreadsheetml/2009/9/main" objectType="Spin" dx="26" fmlaLink="$H$11" max="20" min="1" page="10" val="4"/>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Spin" dx="26" fmlaLink="$D$16" max="10" min="1" page="10"/>
</file>

<file path=xl/ctrlProps/ctrlProp17.xml><?xml version="1.0" encoding="utf-8"?>
<formControlPr xmlns="http://schemas.microsoft.com/office/spreadsheetml/2009/9/main" objectType="Spin" dx="26" fmlaLink="'Fiscal Config'!$C$2" max="4" min="1" page="10" val="4"/>
</file>

<file path=xl/ctrlProps/ctrlProp18.xml><?xml version="1.0" encoding="utf-8"?>
<formControlPr xmlns="http://schemas.microsoft.com/office/spreadsheetml/2009/9/main" objectType="Spin" dx="26" fmlaLink="$C$7" max="3" min="1" page="10" val="3"/>
</file>

<file path=xl/ctrlProps/ctrlProp19.xml><?xml version="1.0" encoding="utf-8"?>
<formControlPr xmlns="http://schemas.microsoft.com/office/spreadsheetml/2009/9/main" objectType="Spin" dx="26" fmlaLink="$C$7" max="3" min="1" page="10" val="3"/>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245167</xdr:colOff>
      <xdr:row>1</xdr:row>
      <xdr:rowOff>39095</xdr:rowOff>
    </xdr:from>
    <xdr:to>
      <xdr:col>2</xdr:col>
      <xdr:colOff>211867</xdr:colOff>
      <xdr:row>4</xdr:row>
      <xdr:rowOff>68581</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167" y="221975"/>
          <a:ext cx="1185900" cy="578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9</xdr:row>
          <xdr:rowOff>28575</xdr:rowOff>
        </xdr:from>
        <xdr:to>
          <xdr:col>2</xdr:col>
          <xdr:colOff>523875</xdr:colOff>
          <xdr:row>10</xdr:row>
          <xdr:rowOff>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10</xdr:row>
          <xdr:rowOff>28575</xdr:rowOff>
        </xdr:from>
        <xdr:to>
          <xdr:col>2</xdr:col>
          <xdr:colOff>523875</xdr:colOff>
          <xdr:row>10</xdr:row>
          <xdr:rowOff>180975</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11</xdr:row>
          <xdr:rowOff>9525</xdr:rowOff>
        </xdr:from>
        <xdr:to>
          <xdr:col>3</xdr:col>
          <xdr:colOff>276225</xdr:colOff>
          <xdr:row>11</xdr:row>
          <xdr:rowOff>180975</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Propane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28575</xdr:rowOff>
        </xdr:from>
        <xdr:to>
          <xdr:col>3</xdr:col>
          <xdr:colOff>352425</xdr:colOff>
          <xdr:row>12</xdr:row>
          <xdr:rowOff>180975</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Butane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xdr:row>
          <xdr:rowOff>28575</xdr:rowOff>
        </xdr:from>
        <xdr:to>
          <xdr:col>2</xdr:col>
          <xdr:colOff>523875</xdr:colOff>
          <xdr:row>14</xdr:row>
          <xdr:rowOff>180975</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Sulfur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2</xdr:col>
          <xdr:colOff>523875</xdr:colOff>
          <xdr:row>13</xdr:row>
          <xdr:rowOff>180975</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CO2</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9</xdr:row>
          <xdr:rowOff>9525</xdr:rowOff>
        </xdr:from>
        <xdr:to>
          <xdr:col>4</xdr:col>
          <xdr:colOff>504825</xdr:colOff>
          <xdr:row>9</xdr:row>
          <xdr:rowOff>180975</xdr:rowOff>
        </xdr:to>
        <xdr:sp macro="" textlink="">
          <xdr:nvSpPr>
            <xdr:cNvPr id="2072" name="Spinner 24"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10</xdr:row>
          <xdr:rowOff>9525</xdr:rowOff>
        </xdr:from>
        <xdr:to>
          <xdr:col>4</xdr:col>
          <xdr:colOff>504825</xdr:colOff>
          <xdr:row>10</xdr:row>
          <xdr:rowOff>180975</xdr:rowOff>
        </xdr:to>
        <xdr:sp macro="" textlink="">
          <xdr:nvSpPr>
            <xdr:cNvPr id="2073" name="Spinner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11</xdr:row>
          <xdr:rowOff>9525</xdr:rowOff>
        </xdr:from>
        <xdr:to>
          <xdr:col>4</xdr:col>
          <xdr:colOff>504825</xdr:colOff>
          <xdr:row>11</xdr:row>
          <xdr:rowOff>180975</xdr:rowOff>
        </xdr:to>
        <xdr:sp macro="" textlink="">
          <xdr:nvSpPr>
            <xdr:cNvPr id="2074" name="Spinner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12</xdr:row>
          <xdr:rowOff>9525</xdr:rowOff>
        </xdr:from>
        <xdr:to>
          <xdr:col>4</xdr:col>
          <xdr:colOff>504825</xdr:colOff>
          <xdr:row>12</xdr:row>
          <xdr:rowOff>180975</xdr:rowOff>
        </xdr:to>
        <xdr:sp macro="" textlink="">
          <xdr:nvSpPr>
            <xdr:cNvPr id="2075" name="Spinner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13</xdr:row>
          <xdr:rowOff>9525</xdr:rowOff>
        </xdr:from>
        <xdr:to>
          <xdr:col>4</xdr:col>
          <xdr:colOff>504825</xdr:colOff>
          <xdr:row>13</xdr:row>
          <xdr:rowOff>180975</xdr:rowOff>
        </xdr:to>
        <xdr:sp macro="" textlink="">
          <xdr:nvSpPr>
            <xdr:cNvPr id="2076" name="Spinner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14</xdr:row>
          <xdr:rowOff>9525</xdr:rowOff>
        </xdr:from>
        <xdr:to>
          <xdr:col>4</xdr:col>
          <xdr:colOff>504825</xdr:colOff>
          <xdr:row>14</xdr:row>
          <xdr:rowOff>180975</xdr:rowOff>
        </xdr:to>
        <xdr:sp macro="" textlink="">
          <xdr:nvSpPr>
            <xdr:cNvPr id="2077" name="Spinner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xdr:row>
          <xdr:rowOff>9525</xdr:rowOff>
        </xdr:from>
        <xdr:to>
          <xdr:col>4</xdr:col>
          <xdr:colOff>504825</xdr:colOff>
          <xdr:row>1</xdr:row>
          <xdr:rowOff>180975</xdr:rowOff>
        </xdr:to>
        <xdr:sp macro="" textlink="">
          <xdr:nvSpPr>
            <xdr:cNvPr id="2079" name="Spinner 31"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10</xdr:row>
          <xdr:rowOff>9525</xdr:rowOff>
        </xdr:from>
        <xdr:to>
          <xdr:col>8</xdr:col>
          <xdr:colOff>352425</xdr:colOff>
          <xdr:row>10</xdr:row>
          <xdr:rowOff>180975</xdr:rowOff>
        </xdr:to>
        <xdr:sp macro="" textlink="">
          <xdr:nvSpPr>
            <xdr:cNvPr id="2086" name="Spinner 38"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15</xdr:row>
          <xdr:rowOff>28575</xdr:rowOff>
        </xdr:from>
        <xdr:to>
          <xdr:col>2</xdr:col>
          <xdr:colOff>523875</xdr:colOff>
          <xdr:row>15</xdr:row>
          <xdr:rowOff>180975</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3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Electricity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15</xdr:row>
          <xdr:rowOff>9525</xdr:rowOff>
        </xdr:from>
        <xdr:to>
          <xdr:col>4</xdr:col>
          <xdr:colOff>504825</xdr:colOff>
          <xdr:row>15</xdr:row>
          <xdr:rowOff>180975</xdr:rowOff>
        </xdr:to>
        <xdr:sp macro="" textlink="">
          <xdr:nvSpPr>
            <xdr:cNvPr id="2091" name="Spinner 43" hidden="1">
              <a:extLst>
                <a:ext uri="{63B3BB69-23CF-44E3-9099-C40C66FF867C}">
                  <a14:compatExt spid="_x0000_s2091"/>
                </a:ext>
                <a:ext uri="{FF2B5EF4-FFF2-40B4-BE49-F238E27FC236}">
                  <a16:creationId xmlns:a16="http://schemas.microsoft.com/office/drawing/2014/main" id="{00000000-0008-0000-0300-00002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1514475</xdr:colOff>
          <xdr:row>1</xdr:row>
          <xdr:rowOff>9525</xdr:rowOff>
        </xdr:from>
        <xdr:to>
          <xdr:col>2</xdr:col>
          <xdr:colOff>1685925</xdr:colOff>
          <xdr:row>1</xdr:row>
          <xdr:rowOff>180975</xdr:rowOff>
        </xdr:to>
        <xdr:sp macro="" textlink="">
          <xdr:nvSpPr>
            <xdr:cNvPr id="303107" name="Spinner 3" hidden="1">
              <a:extLst>
                <a:ext uri="{63B3BB69-23CF-44E3-9099-C40C66FF867C}">
                  <a14:compatExt spid="_x0000_s303107"/>
                </a:ext>
                <a:ext uri="{FF2B5EF4-FFF2-40B4-BE49-F238E27FC236}">
                  <a16:creationId xmlns:a16="http://schemas.microsoft.com/office/drawing/2014/main" id="{00000000-0008-0000-0600-000003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1133475</xdr:colOff>
          <xdr:row>6</xdr:row>
          <xdr:rowOff>9525</xdr:rowOff>
        </xdr:from>
        <xdr:to>
          <xdr:col>2</xdr:col>
          <xdr:colOff>1295400</xdr:colOff>
          <xdr:row>6</xdr:row>
          <xdr:rowOff>180975</xdr:rowOff>
        </xdr:to>
        <xdr:sp macro="" textlink="">
          <xdr:nvSpPr>
            <xdr:cNvPr id="3074" name="Spinner 2" hidden="1">
              <a:extLst>
                <a:ext uri="{63B3BB69-23CF-44E3-9099-C40C66FF867C}">
                  <a14:compatExt spid="_x0000_s3074"/>
                </a:ext>
                <a:ext uri="{FF2B5EF4-FFF2-40B4-BE49-F238E27FC236}">
                  <a16:creationId xmlns:a16="http://schemas.microsoft.com/office/drawing/2014/main" id="{00000000-0008-0000-0F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1133475</xdr:colOff>
          <xdr:row>6</xdr:row>
          <xdr:rowOff>9525</xdr:rowOff>
        </xdr:from>
        <xdr:to>
          <xdr:col>2</xdr:col>
          <xdr:colOff>1295400</xdr:colOff>
          <xdr:row>6</xdr:row>
          <xdr:rowOff>180975</xdr:rowOff>
        </xdr:to>
        <xdr:sp macro="" textlink="">
          <xdr:nvSpPr>
            <xdr:cNvPr id="301057" name="Spinner 1" hidden="1">
              <a:extLst>
                <a:ext uri="{63B3BB69-23CF-44E3-9099-C40C66FF867C}">
                  <a14:compatExt spid="_x0000_s301057"/>
                </a:ext>
                <a:ext uri="{FF2B5EF4-FFF2-40B4-BE49-F238E27FC236}">
                  <a16:creationId xmlns:a16="http://schemas.microsoft.com/office/drawing/2014/main" id="{00000000-0008-0000-1100-00000198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219075</xdr:colOff>
          <xdr:row>3</xdr:row>
          <xdr:rowOff>161925</xdr:rowOff>
        </xdr:from>
        <xdr:to>
          <xdr:col>3</xdr:col>
          <xdr:colOff>428625</xdr:colOff>
          <xdr:row>5</xdr:row>
          <xdr:rowOff>28575</xdr:rowOff>
        </xdr:to>
        <xdr:sp macro="" textlink="">
          <xdr:nvSpPr>
            <xdr:cNvPr id="306177" name="Check Box 1" hidden="1">
              <a:extLst>
                <a:ext uri="{63B3BB69-23CF-44E3-9099-C40C66FF867C}">
                  <a14:compatExt spid="_x0000_s306177"/>
                </a:ext>
                <a:ext uri="{FF2B5EF4-FFF2-40B4-BE49-F238E27FC236}">
                  <a16:creationId xmlns:a16="http://schemas.microsoft.com/office/drawing/2014/main" id="{00000000-0008-0000-1700-00000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4</xdr:row>
          <xdr:rowOff>161925</xdr:rowOff>
        </xdr:from>
        <xdr:to>
          <xdr:col>3</xdr:col>
          <xdr:colOff>428625</xdr:colOff>
          <xdr:row>6</xdr:row>
          <xdr:rowOff>9525</xdr:rowOff>
        </xdr:to>
        <xdr:sp macro="" textlink="">
          <xdr:nvSpPr>
            <xdr:cNvPr id="306178" name="Check Box 2" hidden="1">
              <a:extLst>
                <a:ext uri="{63B3BB69-23CF-44E3-9099-C40C66FF867C}">
                  <a14:compatExt spid="_x0000_s306178"/>
                </a:ext>
                <a:ext uri="{FF2B5EF4-FFF2-40B4-BE49-F238E27FC236}">
                  <a16:creationId xmlns:a16="http://schemas.microsoft.com/office/drawing/2014/main" id="{00000000-0008-0000-1700-000002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5</xdr:row>
          <xdr:rowOff>161925</xdr:rowOff>
        </xdr:from>
        <xdr:to>
          <xdr:col>3</xdr:col>
          <xdr:colOff>428625</xdr:colOff>
          <xdr:row>7</xdr:row>
          <xdr:rowOff>9525</xdr:rowOff>
        </xdr:to>
        <xdr:sp macro="" textlink="">
          <xdr:nvSpPr>
            <xdr:cNvPr id="306180" name="Check Box 4" hidden="1">
              <a:extLst>
                <a:ext uri="{63B3BB69-23CF-44E3-9099-C40C66FF867C}">
                  <a14:compatExt spid="_x0000_s306180"/>
                </a:ext>
                <a:ext uri="{FF2B5EF4-FFF2-40B4-BE49-F238E27FC236}">
                  <a16:creationId xmlns:a16="http://schemas.microsoft.com/office/drawing/2014/main" id="{00000000-0008-0000-1700-00000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6</xdr:row>
          <xdr:rowOff>161925</xdr:rowOff>
        </xdr:from>
        <xdr:to>
          <xdr:col>3</xdr:col>
          <xdr:colOff>428625</xdr:colOff>
          <xdr:row>8</xdr:row>
          <xdr:rowOff>9525</xdr:rowOff>
        </xdr:to>
        <xdr:sp macro="" textlink="">
          <xdr:nvSpPr>
            <xdr:cNvPr id="306181" name="Check Box 5" hidden="1">
              <a:extLst>
                <a:ext uri="{63B3BB69-23CF-44E3-9099-C40C66FF867C}">
                  <a14:compatExt spid="_x0000_s306181"/>
                </a:ext>
                <a:ext uri="{FF2B5EF4-FFF2-40B4-BE49-F238E27FC236}">
                  <a16:creationId xmlns:a16="http://schemas.microsoft.com/office/drawing/2014/main" id="{00000000-0008-0000-1700-00000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7</xdr:row>
          <xdr:rowOff>180975</xdr:rowOff>
        </xdr:from>
        <xdr:to>
          <xdr:col>3</xdr:col>
          <xdr:colOff>428625</xdr:colOff>
          <xdr:row>9</xdr:row>
          <xdr:rowOff>28575</xdr:rowOff>
        </xdr:to>
        <xdr:sp macro="" textlink="">
          <xdr:nvSpPr>
            <xdr:cNvPr id="306182" name="Check Box 6" hidden="1">
              <a:extLst>
                <a:ext uri="{63B3BB69-23CF-44E3-9099-C40C66FF867C}">
                  <a14:compatExt spid="_x0000_s306182"/>
                </a:ext>
                <a:ext uri="{FF2B5EF4-FFF2-40B4-BE49-F238E27FC236}">
                  <a16:creationId xmlns:a16="http://schemas.microsoft.com/office/drawing/2014/main" id="{00000000-0008-0000-1700-00000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8</xdr:row>
          <xdr:rowOff>180975</xdr:rowOff>
        </xdr:from>
        <xdr:to>
          <xdr:col>3</xdr:col>
          <xdr:colOff>428625</xdr:colOff>
          <xdr:row>10</xdr:row>
          <xdr:rowOff>28575</xdr:rowOff>
        </xdr:to>
        <xdr:sp macro="" textlink="">
          <xdr:nvSpPr>
            <xdr:cNvPr id="306183" name="Check Box 7" hidden="1">
              <a:extLst>
                <a:ext uri="{63B3BB69-23CF-44E3-9099-C40C66FF867C}">
                  <a14:compatExt spid="_x0000_s306183"/>
                </a:ext>
                <a:ext uri="{FF2B5EF4-FFF2-40B4-BE49-F238E27FC236}">
                  <a16:creationId xmlns:a16="http://schemas.microsoft.com/office/drawing/2014/main" id="{00000000-0008-0000-1700-000007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9</xdr:row>
          <xdr:rowOff>180975</xdr:rowOff>
        </xdr:from>
        <xdr:to>
          <xdr:col>3</xdr:col>
          <xdr:colOff>428625</xdr:colOff>
          <xdr:row>11</xdr:row>
          <xdr:rowOff>28575</xdr:rowOff>
        </xdr:to>
        <xdr:sp macro="" textlink="">
          <xdr:nvSpPr>
            <xdr:cNvPr id="306184" name="Check Box 8" hidden="1">
              <a:extLst>
                <a:ext uri="{63B3BB69-23CF-44E3-9099-C40C66FF867C}">
                  <a14:compatExt spid="_x0000_s306184"/>
                </a:ext>
                <a:ext uri="{FF2B5EF4-FFF2-40B4-BE49-F238E27FC236}">
                  <a16:creationId xmlns:a16="http://schemas.microsoft.com/office/drawing/2014/main" id="{00000000-0008-0000-1700-000008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10</xdr:row>
          <xdr:rowOff>180975</xdr:rowOff>
        </xdr:from>
        <xdr:to>
          <xdr:col>3</xdr:col>
          <xdr:colOff>428625</xdr:colOff>
          <xdr:row>12</xdr:row>
          <xdr:rowOff>28575</xdr:rowOff>
        </xdr:to>
        <xdr:sp macro="" textlink="">
          <xdr:nvSpPr>
            <xdr:cNvPr id="306185" name="Check Box 9" hidden="1">
              <a:extLst>
                <a:ext uri="{63B3BB69-23CF-44E3-9099-C40C66FF867C}">
                  <a14:compatExt spid="_x0000_s306185"/>
                </a:ext>
                <a:ext uri="{FF2B5EF4-FFF2-40B4-BE49-F238E27FC236}">
                  <a16:creationId xmlns:a16="http://schemas.microsoft.com/office/drawing/2014/main" id="{00000000-0008-0000-1700-000009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11</xdr:row>
          <xdr:rowOff>180975</xdr:rowOff>
        </xdr:from>
        <xdr:to>
          <xdr:col>3</xdr:col>
          <xdr:colOff>428625</xdr:colOff>
          <xdr:row>13</xdr:row>
          <xdr:rowOff>28575</xdr:rowOff>
        </xdr:to>
        <xdr:sp macro="" textlink="">
          <xdr:nvSpPr>
            <xdr:cNvPr id="306186" name="Check Box 10" hidden="1">
              <a:extLst>
                <a:ext uri="{63B3BB69-23CF-44E3-9099-C40C66FF867C}">
                  <a14:compatExt spid="_x0000_s306186"/>
                </a:ext>
                <a:ext uri="{FF2B5EF4-FFF2-40B4-BE49-F238E27FC236}">
                  <a16:creationId xmlns:a16="http://schemas.microsoft.com/office/drawing/2014/main" id="{00000000-0008-0000-1700-00000A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428625</xdr:colOff>
          <xdr:row>14</xdr:row>
          <xdr:rowOff>0</xdr:rowOff>
        </xdr:to>
        <xdr:sp macro="" textlink="">
          <xdr:nvSpPr>
            <xdr:cNvPr id="306191" name="Check Box 15" hidden="1">
              <a:extLst>
                <a:ext uri="{63B3BB69-23CF-44E3-9099-C40C66FF867C}">
                  <a14:compatExt spid="_x0000_s306191"/>
                </a:ext>
                <a:ext uri="{FF2B5EF4-FFF2-40B4-BE49-F238E27FC236}">
                  <a16:creationId xmlns:a16="http://schemas.microsoft.com/office/drawing/2014/main" id="{00000000-0008-0000-1700-00000F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428625</xdr:colOff>
          <xdr:row>14</xdr:row>
          <xdr:rowOff>0</xdr:rowOff>
        </xdr:to>
        <xdr:sp macro="" textlink="">
          <xdr:nvSpPr>
            <xdr:cNvPr id="306192" name="Check Box 16" hidden="1">
              <a:extLst>
                <a:ext uri="{63B3BB69-23CF-44E3-9099-C40C66FF867C}">
                  <a14:compatExt spid="_x0000_s306192"/>
                </a:ext>
                <a:ext uri="{FF2B5EF4-FFF2-40B4-BE49-F238E27FC236}">
                  <a16:creationId xmlns:a16="http://schemas.microsoft.com/office/drawing/2014/main" id="{00000000-0008-0000-1700-000010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428625</xdr:colOff>
          <xdr:row>14</xdr:row>
          <xdr:rowOff>0</xdr:rowOff>
        </xdr:to>
        <xdr:sp macro="" textlink="">
          <xdr:nvSpPr>
            <xdr:cNvPr id="306193" name="Check Box 17" hidden="1">
              <a:extLst>
                <a:ext uri="{63B3BB69-23CF-44E3-9099-C40C66FF867C}">
                  <a14:compatExt spid="_x0000_s306193"/>
                </a:ext>
                <a:ext uri="{FF2B5EF4-FFF2-40B4-BE49-F238E27FC236}">
                  <a16:creationId xmlns:a16="http://schemas.microsoft.com/office/drawing/2014/main" id="{00000000-0008-0000-1700-00001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15</xdr:row>
          <xdr:rowOff>9525</xdr:rowOff>
        </xdr:from>
        <xdr:to>
          <xdr:col>3</xdr:col>
          <xdr:colOff>428625</xdr:colOff>
          <xdr:row>15</xdr:row>
          <xdr:rowOff>171450</xdr:rowOff>
        </xdr:to>
        <xdr:sp macro="" textlink="">
          <xdr:nvSpPr>
            <xdr:cNvPr id="306196" name="Check Box 20" hidden="1">
              <a:extLst>
                <a:ext uri="{63B3BB69-23CF-44E3-9099-C40C66FF867C}">
                  <a14:compatExt spid="_x0000_s306196"/>
                </a:ext>
                <a:ext uri="{FF2B5EF4-FFF2-40B4-BE49-F238E27FC236}">
                  <a16:creationId xmlns:a16="http://schemas.microsoft.com/office/drawing/2014/main" id="{00000000-0008-0000-1700-00001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16</xdr:row>
          <xdr:rowOff>9525</xdr:rowOff>
        </xdr:from>
        <xdr:to>
          <xdr:col>3</xdr:col>
          <xdr:colOff>428625</xdr:colOff>
          <xdr:row>16</xdr:row>
          <xdr:rowOff>171450</xdr:rowOff>
        </xdr:to>
        <xdr:sp macro="" textlink="">
          <xdr:nvSpPr>
            <xdr:cNvPr id="306197" name="Check Box 21" hidden="1">
              <a:extLst>
                <a:ext uri="{63B3BB69-23CF-44E3-9099-C40C66FF867C}">
                  <a14:compatExt spid="_x0000_s306197"/>
                </a:ext>
                <a:ext uri="{FF2B5EF4-FFF2-40B4-BE49-F238E27FC236}">
                  <a16:creationId xmlns:a16="http://schemas.microsoft.com/office/drawing/2014/main" id="{00000000-0008-0000-1700-00001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17</xdr:row>
          <xdr:rowOff>9525</xdr:rowOff>
        </xdr:from>
        <xdr:to>
          <xdr:col>3</xdr:col>
          <xdr:colOff>428625</xdr:colOff>
          <xdr:row>17</xdr:row>
          <xdr:rowOff>171450</xdr:rowOff>
        </xdr:to>
        <xdr:sp macro="" textlink="">
          <xdr:nvSpPr>
            <xdr:cNvPr id="306198" name="Check Box 22" hidden="1">
              <a:extLst>
                <a:ext uri="{63B3BB69-23CF-44E3-9099-C40C66FF867C}">
                  <a14:compatExt spid="_x0000_s306198"/>
                </a:ext>
                <a:ext uri="{FF2B5EF4-FFF2-40B4-BE49-F238E27FC236}">
                  <a16:creationId xmlns:a16="http://schemas.microsoft.com/office/drawing/2014/main" id="{00000000-0008-0000-1700-00001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bdan\Documents\Reference\S&amp;PGlobal_Vantage_Kemuning_EconomicModel_2023-08-07_Base%20(Brent%20$77bbl,%20WTI%20$72bbl,%20HenryHub%20$3.2Mcf,%20NBP%20$15.8Mcf).xlsx" TargetMode="External"/><Relationship Id="rId1" Type="http://schemas.openxmlformats.org/officeDocument/2006/relationships/externalLinkPath" Target="file:///C:\Users\Abdan\Documents\Reference\S&amp;PGlobal_Vantage_Kemuning_EconomicModel_2023-08-07_Base%20(Brent%20$77bbl,%20WTI%20$72bbl,%20HenryHub%20$3.2Mcf,%20NBP%20$15.8Mcf).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ADITYA\Downloads\Workbook2.xlsm" TargetMode="External"/><Relationship Id="rId1" Type="http://schemas.openxmlformats.org/officeDocument/2006/relationships/externalLinkPath" Target="file:///C:\Users\ADITYA\Downloads\Workbook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UserGuide"/>
      <sheetName val="InputData"/>
      <sheetName val="Calculations"/>
      <sheetName val="Depreciation"/>
      <sheetName val="Cashflow"/>
      <sheetName val="Summary"/>
    </sheetNames>
    <sheetDataSet>
      <sheetData sheetId="0" refreshError="1"/>
      <sheetData sheetId="1" refreshError="1"/>
      <sheetData sheetId="2">
        <row r="2">
          <cell r="C2" t="str">
            <v>Kemuning</v>
          </cell>
        </row>
        <row r="4">
          <cell r="L4">
            <v>1</v>
          </cell>
          <cell r="M4">
            <v>2</v>
          </cell>
          <cell r="N4">
            <v>3</v>
          </cell>
          <cell r="O4">
            <v>4</v>
          </cell>
          <cell r="P4">
            <v>5</v>
          </cell>
          <cell r="Q4">
            <v>6</v>
          </cell>
          <cell r="R4">
            <v>7</v>
          </cell>
          <cell r="S4">
            <v>8</v>
          </cell>
          <cell r="T4">
            <v>9</v>
          </cell>
          <cell r="U4">
            <v>10</v>
          </cell>
          <cell r="V4">
            <v>11</v>
          </cell>
          <cell r="W4">
            <v>12</v>
          </cell>
          <cell r="X4">
            <v>13</v>
          </cell>
          <cell r="Y4">
            <v>14</v>
          </cell>
          <cell r="Z4">
            <v>15</v>
          </cell>
          <cell r="AA4">
            <v>16</v>
          </cell>
          <cell r="AB4">
            <v>17</v>
          </cell>
          <cell r="AC4">
            <v>18</v>
          </cell>
          <cell r="AD4">
            <v>19</v>
          </cell>
          <cell r="AE4">
            <v>20</v>
          </cell>
          <cell r="AF4">
            <v>21</v>
          </cell>
          <cell r="AG4">
            <v>22</v>
          </cell>
          <cell r="AH4">
            <v>23</v>
          </cell>
          <cell r="AI4">
            <v>24</v>
          </cell>
          <cell r="AJ4">
            <v>25</v>
          </cell>
          <cell r="AK4">
            <v>26</v>
          </cell>
          <cell r="AL4">
            <v>27</v>
          </cell>
          <cell r="AM4">
            <v>28</v>
          </cell>
          <cell r="AN4">
            <v>29</v>
          </cell>
          <cell r="AO4">
            <v>30</v>
          </cell>
          <cell r="AP4">
            <v>31</v>
          </cell>
          <cell r="AQ4">
            <v>32</v>
          </cell>
          <cell r="AR4">
            <v>33</v>
          </cell>
          <cell r="AS4">
            <v>34</v>
          </cell>
          <cell r="AT4">
            <v>35</v>
          </cell>
          <cell r="AU4">
            <v>36</v>
          </cell>
          <cell r="AV4">
            <v>37</v>
          </cell>
          <cell r="AW4">
            <v>38</v>
          </cell>
          <cell r="AX4">
            <v>39</v>
          </cell>
          <cell r="AY4">
            <v>40</v>
          </cell>
          <cell r="AZ4">
            <v>41</v>
          </cell>
          <cell r="BA4">
            <v>42</v>
          </cell>
          <cell r="BB4">
            <v>43</v>
          </cell>
          <cell r="BC4">
            <v>44</v>
          </cell>
          <cell r="BD4">
            <v>45</v>
          </cell>
          <cell r="BE4">
            <v>46</v>
          </cell>
          <cell r="BF4">
            <v>47</v>
          </cell>
          <cell r="BG4">
            <v>48</v>
          </cell>
          <cell r="BH4">
            <v>49</v>
          </cell>
          <cell r="BI4">
            <v>50</v>
          </cell>
          <cell r="BJ4">
            <v>51</v>
          </cell>
          <cell r="BK4">
            <v>52</v>
          </cell>
          <cell r="BL4">
            <v>53</v>
          </cell>
          <cell r="BM4">
            <v>54</v>
          </cell>
          <cell r="BN4">
            <v>55</v>
          </cell>
          <cell r="BO4">
            <v>56</v>
          </cell>
          <cell r="BP4">
            <v>57</v>
          </cell>
          <cell r="BQ4">
            <v>58</v>
          </cell>
          <cell r="BR4">
            <v>59</v>
          </cell>
          <cell r="BS4">
            <v>60</v>
          </cell>
          <cell r="BT4">
            <v>61</v>
          </cell>
          <cell r="BU4">
            <v>62</v>
          </cell>
          <cell r="BV4">
            <v>63</v>
          </cell>
          <cell r="BW4">
            <v>64</v>
          </cell>
          <cell r="BX4">
            <v>65</v>
          </cell>
          <cell r="BY4">
            <v>66</v>
          </cell>
          <cell r="BZ4">
            <v>67</v>
          </cell>
          <cell r="CA4">
            <v>68</v>
          </cell>
          <cell r="CB4">
            <v>69</v>
          </cell>
          <cell r="CC4">
            <v>70</v>
          </cell>
          <cell r="CD4">
            <v>71</v>
          </cell>
          <cell r="CE4">
            <v>72</v>
          </cell>
          <cell r="CF4">
            <v>73</v>
          </cell>
          <cell r="CG4">
            <v>74</v>
          </cell>
          <cell r="CH4">
            <v>75</v>
          </cell>
          <cell r="CI4">
            <v>76</v>
          </cell>
          <cell r="CJ4">
            <v>77</v>
          </cell>
          <cell r="CK4">
            <v>78</v>
          </cell>
          <cell r="CL4">
            <v>79</v>
          </cell>
          <cell r="CM4">
            <v>80</v>
          </cell>
          <cell r="CN4">
            <v>81</v>
          </cell>
          <cell r="CO4">
            <v>82</v>
          </cell>
          <cell r="CP4">
            <v>83</v>
          </cell>
          <cell r="CQ4">
            <v>84</v>
          </cell>
          <cell r="CR4">
            <v>85</v>
          </cell>
          <cell r="CS4">
            <v>86</v>
          </cell>
          <cell r="CT4">
            <v>87</v>
          </cell>
          <cell r="CU4">
            <v>88</v>
          </cell>
          <cell r="CV4">
            <v>89</v>
          </cell>
          <cell r="CW4">
            <v>90</v>
          </cell>
          <cell r="CX4">
            <v>91</v>
          </cell>
          <cell r="CY4">
            <v>92</v>
          </cell>
          <cell r="CZ4">
            <v>93</v>
          </cell>
          <cell r="DA4">
            <v>94</v>
          </cell>
          <cell r="DB4">
            <v>95</v>
          </cell>
          <cell r="DC4">
            <v>96</v>
          </cell>
          <cell r="DD4">
            <v>97</v>
          </cell>
          <cell r="DE4">
            <v>98</v>
          </cell>
          <cell r="DF4">
            <v>99</v>
          </cell>
          <cell r="DG4">
            <v>100</v>
          </cell>
          <cell r="DH4">
            <v>101</v>
          </cell>
          <cell r="DI4">
            <v>102</v>
          </cell>
          <cell r="DJ4">
            <v>103</v>
          </cell>
          <cell r="DK4">
            <v>104</v>
          </cell>
          <cell r="DL4">
            <v>105</v>
          </cell>
          <cell r="DM4">
            <v>106</v>
          </cell>
          <cell r="DN4">
            <v>107</v>
          </cell>
          <cell r="DO4">
            <v>108</v>
          </cell>
          <cell r="DP4">
            <v>109</v>
          </cell>
          <cell r="DQ4">
            <v>110</v>
          </cell>
          <cell r="DR4">
            <v>111</v>
          </cell>
          <cell r="DS4">
            <v>112</v>
          </cell>
          <cell r="DT4">
            <v>113</v>
          </cell>
          <cell r="DU4">
            <v>114</v>
          </cell>
          <cell r="DV4">
            <v>115</v>
          </cell>
          <cell r="DW4">
            <v>116</v>
          </cell>
          <cell r="DX4">
            <v>117</v>
          </cell>
          <cell r="DY4">
            <v>118</v>
          </cell>
          <cell r="DZ4">
            <v>119</v>
          </cell>
          <cell r="EA4">
            <v>120</v>
          </cell>
          <cell r="EB4">
            <v>121</v>
          </cell>
          <cell r="EC4">
            <v>122</v>
          </cell>
          <cell r="ED4">
            <v>123</v>
          </cell>
          <cell r="EE4">
            <v>124</v>
          </cell>
          <cell r="EF4">
            <v>125</v>
          </cell>
          <cell r="EG4">
            <v>126</v>
          </cell>
          <cell r="EH4">
            <v>127</v>
          </cell>
          <cell r="EI4">
            <v>128</v>
          </cell>
          <cell r="EJ4">
            <v>129</v>
          </cell>
          <cell r="EK4">
            <v>130</v>
          </cell>
          <cell r="EL4">
            <v>131</v>
          </cell>
          <cell r="EM4">
            <v>132</v>
          </cell>
          <cell r="EN4">
            <v>133</v>
          </cell>
          <cell r="EO4">
            <v>134</v>
          </cell>
          <cell r="EP4">
            <v>135</v>
          </cell>
          <cell r="EQ4">
            <v>136</v>
          </cell>
          <cell r="ER4">
            <v>137</v>
          </cell>
          <cell r="ES4">
            <v>138</v>
          </cell>
          <cell r="ET4">
            <v>139</v>
          </cell>
          <cell r="EU4">
            <v>140</v>
          </cell>
          <cell r="EV4">
            <v>141</v>
          </cell>
          <cell r="EW4">
            <v>142</v>
          </cell>
          <cell r="EX4">
            <v>143</v>
          </cell>
          <cell r="EY4">
            <v>144</v>
          </cell>
          <cell r="EZ4">
            <v>145</v>
          </cell>
          <cell r="FA4">
            <v>146</v>
          </cell>
          <cell r="FB4">
            <v>147</v>
          </cell>
          <cell r="FC4">
            <v>148</v>
          </cell>
          <cell r="FD4">
            <v>149</v>
          </cell>
          <cell r="FE4">
            <v>150</v>
          </cell>
          <cell r="FF4">
            <v>151</v>
          </cell>
          <cell r="FG4">
            <v>152</v>
          </cell>
          <cell r="FH4">
            <v>153</v>
          </cell>
          <cell r="FI4">
            <v>154</v>
          </cell>
          <cell r="FJ4">
            <v>155</v>
          </cell>
          <cell r="FK4">
            <v>156</v>
          </cell>
          <cell r="FL4">
            <v>157</v>
          </cell>
          <cell r="FM4">
            <v>158</v>
          </cell>
          <cell r="FN4">
            <v>159</v>
          </cell>
          <cell r="FO4">
            <v>160</v>
          </cell>
          <cell r="FP4">
            <v>161</v>
          </cell>
          <cell r="FQ4">
            <v>162</v>
          </cell>
          <cell r="FR4">
            <v>163</v>
          </cell>
          <cell r="FS4">
            <v>164</v>
          </cell>
          <cell r="FT4">
            <v>165</v>
          </cell>
          <cell r="FU4">
            <v>166</v>
          </cell>
          <cell r="FV4">
            <v>167</v>
          </cell>
          <cell r="FW4">
            <v>168</v>
          </cell>
          <cell r="FX4">
            <v>169</v>
          </cell>
          <cell r="FY4">
            <v>170</v>
          </cell>
          <cell r="FZ4">
            <v>171</v>
          </cell>
          <cell r="GA4">
            <v>172</v>
          </cell>
          <cell r="GB4">
            <v>173</v>
          </cell>
          <cell r="GC4">
            <v>174</v>
          </cell>
          <cell r="GD4">
            <v>175</v>
          </cell>
          <cell r="GE4">
            <v>176</v>
          </cell>
          <cell r="GF4">
            <v>177</v>
          </cell>
          <cell r="GG4">
            <v>178</v>
          </cell>
          <cell r="GH4">
            <v>179</v>
          </cell>
          <cell r="GI4">
            <v>180</v>
          </cell>
          <cell r="GJ4">
            <v>181</v>
          </cell>
          <cell r="GK4">
            <v>182</v>
          </cell>
          <cell r="GL4">
            <v>183</v>
          </cell>
          <cell r="GM4">
            <v>184</v>
          </cell>
          <cell r="GN4">
            <v>185</v>
          </cell>
          <cell r="GO4">
            <v>186</v>
          </cell>
          <cell r="GP4">
            <v>187</v>
          </cell>
          <cell r="GQ4">
            <v>188</v>
          </cell>
          <cell r="GR4">
            <v>189</v>
          </cell>
          <cell r="GS4">
            <v>190</v>
          </cell>
          <cell r="GT4">
            <v>191</v>
          </cell>
          <cell r="GU4">
            <v>192</v>
          </cell>
          <cell r="GV4">
            <v>193</v>
          </cell>
          <cell r="GW4">
            <v>194</v>
          </cell>
          <cell r="GX4">
            <v>195</v>
          </cell>
          <cell r="GY4">
            <v>196</v>
          </cell>
          <cell r="GZ4">
            <v>197</v>
          </cell>
          <cell r="HA4">
            <v>198</v>
          </cell>
          <cell r="HB4">
            <v>199</v>
          </cell>
          <cell r="HC4">
            <v>200</v>
          </cell>
          <cell r="HD4">
            <v>201</v>
          </cell>
          <cell r="HE4">
            <v>202</v>
          </cell>
          <cell r="HF4">
            <v>203</v>
          </cell>
          <cell r="HG4">
            <v>204</v>
          </cell>
          <cell r="HH4">
            <v>205</v>
          </cell>
          <cell r="HI4">
            <v>206</v>
          </cell>
          <cell r="HJ4">
            <v>207</v>
          </cell>
          <cell r="HK4">
            <v>208</v>
          </cell>
          <cell r="HL4">
            <v>209</v>
          </cell>
          <cell r="HM4">
            <v>210</v>
          </cell>
          <cell r="HN4">
            <v>211</v>
          </cell>
          <cell r="HO4">
            <v>212</v>
          </cell>
          <cell r="HP4">
            <v>213</v>
          </cell>
          <cell r="HQ4">
            <v>214</v>
          </cell>
          <cell r="HR4">
            <v>215</v>
          </cell>
          <cell r="HS4">
            <v>216</v>
          </cell>
          <cell r="HT4">
            <v>217</v>
          </cell>
          <cell r="HU4">
            <v>218</v>
          </cell>
          <cell r="HV4">
            <v>219</v>
          </cell>
          <cell r="HW4">
            <v>220</v>
          </cell>
          <cell r="HX4">
            <v>221</v>
          </cell>
          <cell r="HY4">
            <v>222</v>
          </cell>
          <cell r="HZ4">
            <v>223</v>
          </cell>
          <cell r="IA4">
            <v>224</v>
          </cell>
          <cell r="IB4">
            <v>225</v>
          </cell>
          <cell r="IC4">
            <v>226</v>
          </cell>
          <cell r="ID4">
            <v>227</v>
          </cell>
          <cell r="IE4">
            <v>228</v>
          </cell>
          <cell r="IF4">
            <v>229</v>
          </cell>
          <cell r="IG4">
            <v>230</v>
          </cell>
          <cell r="IH4">
            <v>231</v>
          </cell>
          <cell r="II4">
            <v>232</v>
          </cell>
          <cell r="IJ4">
            <v>233</v>
          </cell>
          <cell r="IK4">
            <v>234</v>
          </cell>
          <cell r="IL4">
            <v>235</v>
          </cell>
          <cell r="IM4">
            <v>236</v>
          </cell>
          <cell r="IN4">
            <v>237</v>
          </cell>
          <cell r="IO4">
            <v>238</v>
          </cell>
          <cell r="IP4">
            <v>239</v>
          </cell>
          <cell r="IQ4">
            <v>240</v>
          </cell>
          <cell r="IR4">
            <v>241</v>
          </cell>
          <cell r="IS4">
            <v>242</v>
          </cell>
          <cell r="IT4">
            <v>243</v>
          </cell>
          <cell r="IU4">
            <v>244</v>
          </cell>
          <cell r="IV4">
            <v>245</v>
          </cell>
          <cell r="IW4">
            <v>246</v>
          </cell>
          <cell r="IX4">
            <v>247</v>
          </cell>
          <cell r="IY4">
            <v>248</v>
          </cell>
          <cell r="IZ4">
            <v>249</v>
          </cell>
          <cell r="JA4">
            <v>250</v>
          </cell>
        </row>
        <row r="5">
          <cell r="L5">
            <v>2018</v>
          </cell>
          <cell r="M5">
            <v>2019</v>
          </cell>
          <cell r="N5">
            <v>2020</v>
          </cell>
          <cell r="O5">
            <v>2021</v>
          </cell>
          <cell r="P5">
            <v>2022</v>
          </cell>
          <cell r="Q5">
            <v>2023</v>
          </cell>
          <cell r="R5">
            <v>2024</v>
          </cell>
          <cell r="S5">
            <v>2025</v>
          </cell>
          <cell r="T5">
            <v>2026</v>
          </cell>
          <cell r="U5">
            <v>2027</v>
          </cell>
          <cell r="V5">
            <v>2028</v>
          </cell>
          <cell r="W5">
            <v>2029</v>
          </cell>
          <cell r="X5">
            <v>2030</v>
          </cell>
          <cell r="Y5">
            <v>2031</v>
          </cell>
          <cell r="Z5">
            <v>2032</v>
          </cell>
          <cell r="AA5">
            <v>2033</v>
          </cell>
          <cell r="AB5">
            <v>2034</v>
          </cell>
          <cell r="AC5">
            <v>2035</v>
          </cell>
          <cell r="AD5">
            <v>2036</v>
          </cell>
          <cell r="AE5">
            <v>2037</v>
          </cell>
          <cell r="AF5">
            <v>2038</v>
          </cell>
          <cell r="AG5">
            <v>2039</v>
          </cell>
          <cell r="AH5">
            <v>2040</v>
          </cell>
          <cell r="AI5">
            <v>2041</v>
          </cell>
          <cell r="AJ5">
            <v>2042</v>
          </cell>
          <cell r="AK5">
            <v>2043</v>
          </cell>
          <cell r="AL5">
            <v>2044</v>
          </cell>
          <cell r="AM5">
            <v>2045</v>
          </cell>
          <cell r="AN5">
            <v>2046</v>
          </cell>
          <cell r="AO5">
            <v>2047</v>
          </cell>
          <cell r="AP5">
            <v>2048</v>
          </cell>
          <cell r="AQ5">
            <v>2049</v>
          </cell>
          <cell r="AR5">
            <v>2050</v>
          </cell>
          <cell r="AS5">
            <v>2051</v>
          </cell>
          <cell r="AT5">
            <v>2052</v>
          </cell>
          <cell r="AU5">
            <v>2053</v>
          </cell>
          <cell r="AV5">
            <v>2054</v>
          </cell>
          <cell r="AW5">
            <v>2055</v>
          </cell>
          <cell r="AX5">
            <v>2056</v>
          </cell>
          <cell r="AY5">
            <v>2057</v>
          </cell>
          <cell r="AZ5">
            <v>2058</v>
          </cell>
          <cell r="BA5">
            <v>2059</v>
          </cell>
          <cell r="BB5">
            <v>2060</v>
          </cell>
          <cell r="BC5">
            <v>2061</v>
          </cell>
          <cell r="BD5">
            <v>2062</v>
          </cell>
          <cell r="BE5">
            <v>2063</v>
          </cell>
          <cell r="BF5">
            <v>2064</v>
          </cell>
          <cell r="BG5">
            <v>2065</v>
          </cell>
          <cell r="BH5">
            <v>2066</v>
          </cell>
          <cell r="BI5">
            <v>2067</v>
          </cell>
          <cell r="BJ5">
            <v>2068</v>
          </cell>
          <cell r="BK5">
            <v>2069</v>
          </cell>
          <cell r="BL5">
            <v>2070</v>
          </cell>
          <cell r="BM5">
            <v>2071</v>
          </cell>
          <cell r="BN5">
            <v>2072</v>
          </cell>
          <cell r="BO5">
            <v>2073</v>
          </cell>
          <cell r="BP5">
            <v>2074</v>
          </cell>
          <cell r="BQ5">
            <v>2075</v>
          </cell>
          <cell r="BR5">
            <v>2076</v>
          </cell>
          <cell r="BS5">
            <v>2077</v>
          </cell>
          <cell r="BT5">
            <v>2078</v>
          </cell>
          <cell r="BU5">
            <v>2079</v>
          </cell>
          <cell r="BV5">
            <v>2080</v>
          </cell>
          <cell r="BW5">
            <v>2081</v>
          </cell>
          <cell r="BX5">
            <v>2082</v>
          </cell>
          <cell r="BY5">
            <v>2083</v>
          </cell>
          <cell r="BZ5">
            <v>2084</v>
          </cell>
          <cell r="CA5">
            <v>2085</v>
          </cell>
          <cell r="CB5">
            <v>2086</v>
          </cell>
          <cell r="CC5">
            <v>2087</v>
          </cell>
          <cell r="CD5">
            <v>2088</v>
          </cell>
          <cell r="CE5">
            <v>2089</v>
          </cell>
          <cell r="CF5">
            <v>2090</v>
          </cell>
          <cell r="CG5">
            <v>2091</v>
          </cell>
          <cell r="CH5">
            <v>2092</v>
          </cell>
          <cell r="CI5">
            <v>2093</v>
          </cell>
          <cell r="CJ5">
            <v>2094</v>
          </cell>
          <cell r="CK5">
            <v>2095</v>
          </cell>
          <cell r="CL5">
            <v>2096</v>
          </cell>
          <cell r="CM5">
            <v>2097</v>
          </cell>
          <cell r="CN5">
            <v>2098</v>
          </cell>
          <cell r="CO5">
            <v>2099</v>
          </cell>
          <cell r="CP5">
            <v>2100</v>
          </cell>
          <cell r="CQ5">
            <v>2101</v>
          </cell>
          <cell r="CR5">
            <v>2102</v>
          </cell>
          <cell r="CS5">
            <v>2103</v>
          </cell>
          <cell r="CT5">
            <v>2104</v>
          </cell>
          <cell r="CU5">
            <v>2105</v>
          </cell>
          <cell r="CV5">
            <v>2106</v>
          </cell>
          <cell r="CW5">
            <v>2107</v>
          </cell>
          <cell r="CX5">
            <v>2108</v>
          </cell>
          <cell r="CY5">
            <v>2109</v>
          </cell>
          <cell r="CZ5">
            <v>2110</v>
          </cell>
          <cell r="DA5">
            <v>2111</v>
          </cell>
          <cell r="DB5">
            <v>2112</v>
          </cell>
          <cell r="DC5">
            <v>2113</v>
          </cell>
          <cell r="DD5">
            <v>2114</v>
          </cell>
          <cell r="DE5">
            <v>2115</v>
          </cell>
          <cell r="DF5">
            <v>2116</v>
          </cell>
          <cell r="DG5">
            <v>2117</v>
          </cell>
          <cell r="DH5">
            <v>2118</v>
          </cell>
          <cell r="DI5">
            <v>2119</v>
          </cell>
          <cell r="DJ5">
            <v>2120</v>
          </cell>
          <cell r="DK5">
            <v>2121</v>
          </cell>
          <cell r="DL5">
            <v>2122</v>
          </cell>
          <cell r="DM5">
            <v>2123</v>
          </cell>
          <cell r="DN5">
            <v>2124</v>
          </cell>
          <cell r="DO5">
            <v>2125</v>
          </cell>
          <cell r="DP5">
            <v>2126</v>
          </cell>
          <cell r="DQ5">
            <v>2127</v>
          </cell>
          <cell r="DR5">
            <v>2128</v>
          </cell>
          <cell r="DS5">
            <v>2129</v>
          </cell>
          <cell r="DT5">
            <v>2130</v>
          </cell>
          <cell r="DU5">
            <v>2131</v>
          </cell>
          <cell r="DV5">
            <v>2132</v>
          </cell>
          <cell r="DW5">
            <v>2133</v>
          </cell>
          <cell r="DX5">
            <v>2134</v>
          </cell>
          <cell r="DY5">
            <v>2135</v>
          </cell>
          <cell r="DZ5">
            <v>2136</v>
          </cell>
          <cell r="EA5">
            <v>2137</v>
          </cell>
          <cell r="EB5">
            <v>2138</v>
          </cell>
          <cell r="EC5">
            <v>2139</v>
          </cell>
          <cell r="ED5">
            <v>2140</v>
          </cell>
          <cell r="EE5">
            <v>2141</v>
          </cell>
          <cell r="EF5">
            <v>2142</v>
          </cell>
          <cell r="EG5">
            <v>2143</v>
          </cell>
          <cell r="EH5">
            <v>2144</v>
          </cell>
          <cell r="EI5">
            <v>2145</v>
          </cell>
          <cell r="EJ5">
            <v>2146</v>
          </cell>
          <cell r="EK5">
            <v>2147</v>
          </cell>
          <cell r="EL5">
            <v>2148</v>
          </cell>
          <cell r="EM5">
            <v>2149</v>
          </cell>
          <cell r="EN5">
            <v>2150</v>
          </cell>
          <cell r="EO5">
            <v>2151</v>
          </cell>
          <cell r="EP5">
            <v>2152</v>
          </cell>
          <cell r="EQ5">
            <v>2153</v>
          </cell>
          <cell r="ER5">
            <v>2154</v>
          </cell>
          <cell r="ES5">
            <v>2155</v>
          </cell>
          <cell r="ET5">
            <v>2156</v>
          </cell>
          <cell r="EU5">
            <v>2157</v>
          </cell>
          <cell r="EV5">
            <v>2158</v>
          </cell>
          <cell r="EW5">
            <v>2159</v>
          </cell>
          <cell r="EX5">
            <v>2160</v>
          </cell>
          <cell r="EY5">
            <v>2161</v>
          </cell>
          <cell r="EZ5">
            <v>2162</v>
          </cell>
          <cell r="FA5">
            <v>2163</v>
          </cell>
          <cell r="FB5">
            <v>2164</v>
          </cell>
          <cell r="FC5">
            <v>2165</v>
          </cell>
          <cell r="FD5">
            <v>2166</v>
          </cell>
          <cell r="FE5">
            <v>2167</v>
          </cell>
          <cell r="FF5">
            <v>2168</v>
          </cell>
          <cell r="FG5">
            <v>2169</v>
          </cell>
          <cell r="FH5">
            <v>2170</v>
          </cell>
          <cell r="FI5">
            <v>2171</v>
          </cell>
          <cell r="FJ5">
            <v>2172</v>
          </cell>
          <cell r="FK5">
            <v>2173</v>
          </cell>
          <cell r="FL5">
            <v>2174</v>
          </cell>
          <cell r="FM5">
            <v>2175</v>
          </cell>
          <cell r="FN5">
            <v>2176</v>
          </cell>
          <cell r="FO5">
            <v>2177</v>
          </cell>
          <cell r="FP5">
            <v>2178</v>
          </cell>
          <cell r="FQ5">
            <v>2179</v>
          </cell>
          <cell r="FR5">
            <v>2180</v>
          </cell>
          <cell r="FS5">
            <v>2181</v>
          </cell>
          <cell r="FT5">
            <v>2182</v>
          </cell>
          <cell r="FU5">
            <v>2183</v>
          </cell>
          <cell r="FV5">
            <v>2184</v>
          </cell>
          <cell r="FW5">
            <v>2185</v>
          </cell>
          <cell r="FX5">
            <v>2186</v>
          </cell>
          <cell r="FY5">
            <v>2187</v>
          </cell>
          <cell r="FZ5">
            <v>2188</v>
          </cell>
          <cell r="GA5">
            <v>2189</v>
          </cell>
          <cell r="GB5">
            <v>2190</v>
          </cell>
          <cell r="GC5">
            <v>2191</v>
          </cell>
          <cell r="GD5">
            <v>2192</v>
          </cell>
          <cell r="GE5">
            <v>2193</v>
          </cell>
          <cell r="GF5">
            <v>2194</v>
          </cell>
          <cell r="GG5">
            <v>2195</v>
          </cell>
          <cell r="GH5">
            <v>2196</v>
          </cell>
          <cell r="GI5">
            <v>2197</v>
          </cell>
          <cell r="GJ5">
            <v>2198</v>
          </cell>
          <cell r="GK5">
            <v>2199</v>
          </cell>
          <cell r="GL5">
            <v>2200</v>
          </cell>
          <cell r="GM5">
            <v>2201</v>
          </cell>
          <cell r="GN5">
            <v>2202</v>
          </cell>
          <cell r="GO5">
            <v>2203</v>
          </cell>
          <cell r="GP5">
            <v>2204</v>
          </cell>
          <cell r="GQ5">
            <v>2205</v>
          </cell>
          <cell r="GR5">
            <v>2206</v>
          </cell>
          <cell r="GS5">
            <v>2207</v>
          </cell>
          <cell r="GT5">
            <v>2208</v>
          </cell>
          <cell r="GU5">
            <v>2209</v>
          </cell>
          <cell r="GV5">
            <v>2210</v>
          </cell>
          <cell r="GW5">
            <v>2211</v>
          </cell>
          <cell r="GX5">
            <v>2212</v>
          </cell>
          <cell r="GY5">
            <v>2213</v>
          </cell>
          <cell r="GZ5">
            <v>2214</v>
          </cell>
          <cell r="HA5">
            <v>2215</v>
          </cell>
          <cell r="HB5">
            <v>2216</v>
          </cell>
          <cell r="HC5">
            <v>2217</v>
          </cell>
          <cell r="HD5">
            <v>2218</v>
          </cell>
          <cell r="HE5">
            <v>2219</v>
          </cell>
          <cell r="HF5">
            <v>2220</v>
          </cell>
          <cell r="HG5">
            <v>2221</v>
          </cell>
          <cell r="HH5">
            <v>2222</v>
          </cell>
          <cell r="HI5">
            <v>2223</v>
          </cell>
          <cell r="HJ5">
            <v>2224</v>
          </cell>
          <cell r="HK5">
            <v>2225</v>
          </cell>
          <cell r="HL5">
            <v>2226</v>
          </cell>
          <cell r="HM5">
            <v>2227</v>
          </cell>
          <cell r="HN5">
            <v>2228</v>
          </cell>
          <cell r="HO5">
            <v>2229</v>
          </cell>
          <cell r="HP5">
            <v>2230</v>
          </cell>
          <cell r="HQ5">
            <v>2231</v>
          </cell>
          <cell r="HR5">
            <v>2232</v>
          </cell>
          <cell r="HS5">
            <v>2233</v>
          </cell>
          <cell r="HT5">
            <v>2234</v>
          </cell>
          <cell r="HU5">
            <v>2235</v>
          </cell>
          <cell r="HV5">
            <v>2236</v>
          </cell>
          <cell r="HW5">
            <v>2237</v>
          </cell>
          <cell r="HX5">
            <v>2238</v>
          </cell>
          <cell r="HY5">
            <v>2239</v>
          </cell>
          <cell r="HZ5">
            <v>2240</v>
          </cell>
          <cell r="IA5">
            <v>2241</v>
          </cell>
          <cell r="IB5">
            <v>2242</v>
          </cell>
          <cell r="IC5">
            <v>2243</v>
          </cell>
          <cell r="ID5">
            <v>2244</v>
          </cell>
          <cell r="IE5">
            <v>2245</v>
          </cell>
          <cell r="IF5">
            <v>2246</v>
          </cell>
          <cell r="IG5">
            <v>2247</v>
          </cell>
          <cell r="IH5">
            <v>2248</v>
          </cell>
          <cell r="II5">
            <v>2249</v>
          </cell>
          <cell r="IJ5">
            <v>2250</v>
          </cell>
          <cell r="IK5">
            <v>2251</v>
          </cell>
          <cell r="IL5">
            <v>2252</v>
          </cell>
          <cell r="IM5">
            <v>2253</v>
          </cell>
          <cell r="IN5">
            <v>2254</v>
          </cell>
          <cell r="IO5">
            <v>2255</v>
          </cell>
          <cell r="IP5">
            <v>2256</v>
          </cell>
          <cell r="IQ5">
            <v>2257</v>
          </cell>
          <cell r="IR5">
            <v>2258</v>
          </cell>
          <cell r="IS5">
            <v>2259</v>
          </cell>
          <cell r="IT5">
            <v>2260</v>
          </cell>
          <cell r="IU5">
            <v>2261</v>
          </cell>
          <cell r="IV5">
            <v>2262</v>
          </cell>
          <cell r="IW5">
            <v>2263</v>
          </cell>
          <cell r="IX5">
            <v>2264</v>
          </cell>
          <cell r="IY5">
            <v>2265</v>
          </cell>
          <cell r="IZ5">
            <v>2266</v>
          </cell>
          <cell r="JA5">
            <v>2267</v>
          </cell>
        </row>
        <row r="6">
          <cell r="L6">
            <v>365</v>
          </cell>
          <cell r="M6">
            <v>365</v>
          </cell>
          <cell r="N6">
            <v>366</v>
          </cell>
          <cell r="O6">
            <v>365</v>
          </cell>
          <cell r="P6">
            <v>365</v>
          </cell>
          <cell r="Q6">
            <v>365</v>
          </cell>
          <cell r="R6">
            <v>366</v>
          </cell>
          <cell r="S6">
            <v>365</v>
          </cell>
          <cell r="T6">
            <v>365</v>
          </cell>
          <cell r="U6">
            <v>365</v>
          </cell>
          <cell r="V6">
            <v>366</v>
          </cell>
          <cell r="W6">
            <v>365</v>
          </cell>
          <cell r="X6">
            <v>365</v>
          </cell>
          <cell r="Y6">
            <v>365</v>
          </cell>
          <cell r="Z6">
            <v>366</v>
          </cell>
          <cell r="AA6">
            <v>365</v>
          </cell>
          <cell r="AB6">
            <v>365</v>
          </cell>
          <cell r="AC6">
            <v>365</v>
          </cell>
          <cell r="AD6">
            <v>366</v>
          </cell>
          <cell r="AE6">
            <v>365</v>
          </cell>
          <cell r="AF6">
            <v>365</v>
          </cell>
          <cell r="AG6">
            <v>365</v>
          </cell>
          <cell r="AH6">
            <v>366</v>
          </cell>
          <cell r="AI6">
            <v>365</v>
          </cell>
          <cell r="AJ6">
            <v>365</v>
          </cell>
          <cell r="AK6">
            <v>365</v>
          </cell>
          <cell r="AL6">
            <v>366</v>
          </cell>
          <cell r="AM6">
            <v>365</v>
          </cell>
          <cell r="AN6">
            <v>365</v>
          </cell>
          <cell r="AO6">
            <v>365</v>
          </cell>
          <cell r="AP6">
            <v>366</v>
          </cell>
          <cell r="AQ6">
            <v>365</v>
          </cell>
          <cell r="AR6">
            <v>365</v>
          </cell>
          <cell r="AS6">
            <v>365</v>
          </cell>
          <cell r="AT6">
            <v>366</v>
          </cell>
          <cell r="AU6">
            <v>365</v>
          </cell>
          <cell r="AV6">
            <v>365</v>
          </cell>
          <cell r="AW6">
            <v>365</v>
          </cell>
          <cell r="AX6">
            <v>366</v>
          </cell>
          <cell r="AY6">
            <v>365</v>
          </cell>
          <cell r="AZ6">
            <v>365</v>
          </cell>
          <cell r="BA6">
            <v>365</v>
          </cell>
          <cell r="BB6">
            <v>366</v>
          </cell>
          <cell r="BC6">
            <v>365</v>
          </cell>
          <cell r="BD6">
            <v>365</v>
          </cell>
          <cell r="BE6">
            <v>365</v>
          </cell>
          <cell r="BF6">
            <v>366</v>
          </cell>
          <cell r="BG6">
            <v>365</v>
          </cell>
          <cell r="BH6">
            <v>365</v>
          </cell>
          <cell r="BI6">
            <v>365</v>
          </cell>
          <cell r="BJ6">
            <v>366</v>
          </cell>
          <cell r="BK6">
            <v>365</v>
          </cell>
          <cell r="BL6">
            <v>365</v>
          </cell>
          <cell r="BM6">
            <v>365</v>
          </cell>
          <cell r="BN6">
            <v>366</v>
          </cell>
          <cell r="BO6">
            <v>365</v>
          </cell>
          <cell r="BP6">
            <v>365</v>
          </cell>
          <cell r="BQ6">
            <v>365</v>
          </cell>
          <cell r="BR6">
            <v>366</v>
          </cell>
          <cell r="BS6">
            <v>365</v>
          </cell>
          <cell r="BT6">
            <v>365</v>
          </cell>
          <cell r="BU6">
            <v>365</v>
          </cell>
          <cell r="BV6">
            <v>366</v>
          </cell>
          <cell r="BW6">
            <v>365</v>
          </cell>
          <cell r="BX6">
            <v>365</v>
          </cell>
          <cell r="BY6">
            <v>365</v>
          </cell>
          <cell r="BZ6">
            <v>366</v>
          </cell>
          <cell r="CA6">
            <v>365</v>
          </cell>
          <cell r="CB6">
            <v>365</v>
          </cell>
          <cell r="CC6">
            <v>365</v>
          </cell>
          <cell r="CD6">
            <v>366</v>
          </cell>
          <cell r="CE6">
            <v>365</v>
          </cell>
          <cell r="CF6">
            <v>365</v>
          </cell>
          <cell r="CG6">
            <v>365</v>
          </cell>
          <cell r="CH6">
            <v>366</v>
          </cell>
          <cell r="CI6">
            <v>365</v>
          </cell>
          <cell r="CJ6">
            <v>365</v>
          </cell>
          <cell r="CK6">
            <v>365</v>
          </cell>
          <cell r="CL6">
            <v>366</v>
          </cell>
          <cell r="CM6">
            <v>365</v>
          </cell>
          <cell r="CN6">
            <v>365</v>
          </cell>
          <cell r="CO6">
            <v>365</v>
          </cell>
          <cell r="CP6">
            <v>365</v>
          </cell>
          <cell r="CQ6">
            <v>365</v>
          </cell>
          <cell r="CR6">
            <v>365</v>
          </cell>
          <cell r="CS6">
            <v>365</v>
          </cell>
          <cell r="CT6">
            <v>366</v>
          </cell>
          <cell r="CU6">
            <v>365</v>
          </cell>
          <cell r="CV6">
            <v>365</v>
          </cell>
          <cell r="CW6">
            <v>365</v>
          </cell>
          <cell r="CX6">
            <v>366</v>
          </cell>
          <cell r="CY6">
            <v>365</v>
          </cell>
          <cell r="CZ6">
            <v>365</v>
          </cell>
          <cell r="DA6">
            <v>365</v>
          </cell>
          <cell r="DB6">
            <v>366</v>
          </cell>
          <cell r="DC6">
            <v>365</v>
          </cell>
          <cell r="DD6">
            <v>365</v>
          </cell>
          <cell r="DE6">
            <v>365</v>
          </cell>
          <cell r="DF6">
            <v>366</v>
          </cell>
          <cell r="DG6">
            <v>365</v>
          </cell>
          <cell r="DH6">
            <v>365</v>
          </cell>
          <cell r="DI6">
            <v>365</v>
          </cell>
          <cell r="DJ6">
            <v>366</v>
          </cell>
          <cell r="DK6">
            <v>365</v>
          </cell>
          <cell r="DL6">
            <v>365</v>
          </cell>
          <cell r="DM6">
            <v>365</v>
          </cell>
          <cell r="DN6">
            <v>366</v>
          </cell>
          <cell r="DO6">
            <v>365</v>
          </cell>
          <cell r="DP6">
            <v>365</v>
          </cell>
          <cell r="DQ6">
            <v>365</v>
          </cell>
          <cell r="DR6">
            <v>366</v>
          </cell>
          <cell r="DS6">
            <v>365</v>
          </cell>
          <cell r="DT6">
            <v>365</v>
          </cell>
          <cell r="DU6">
            <v>365</v>
          </cell>
          <cell r="DV6">
            <v>366</v>
          </cell>
          <cell r="DW6">
            <v>365</v>
          </cell>
          <cell r="DX6">
            <v>365</v>
          </cell>
          <cell r="DY6">
            <v>365</v>
          </cell>
          <cell r="DZ6">
            <v>366</v>
          </cell>
          <cell r="EA6">
            <v>365</v>
          </cell>
          <cell r="EB6">
            <v>365</v>
          </cell>
          <cell r="EC6">
            <v>365</v>
          </cell>
          <cell r="ED6">
            <v>366</v>
          </cell>
          <cell r="EE6">
            <v>365</v>
          </cell>
          <cell r="EF6">
            <v>365</v>
          </cell>
          <cell r="EG6">
            <v>365</v>
          </cell>
          <cell r="EH6">
            <v>366</v>
          </cell>
          <cell r="EI6">
            <v>365</v>
          </cell>
          <cell r="EJ6">
            <v>365</v>
          </cell>
          <cell r="EK6">
            <v>365</v>
          </cell>
          <cell r="EL6">
            <v>366</v>
          </cell>
          <cell r="EM6">
            <v>365</v>
          </cell>
          <cell r="EN6">
            <v>365</v>
          </cell>
          <cell r="EO6">
            <v>365</v>
          </cell>
          <cell r="EP6">
            <v>366</v>
          </cell>
          <cell r="EQ6">
            <v>365</v>
          </cell>
          <cell r="ER6">
            <v>365</v>
          </cell>
          <cell r="ES6">
            <v>365</v>
          </cell>
          <cell r="ET6">
            <v>366</v>
          </cell>
          <cell r="EU6">
            <v>365</v>
          </cell>
          <cell r="EV6">
            <v>365</v>
          </cell>
          <cell r="EW6">
            <v>365</v>
          </cell>
          <cell r="EX6">
            <v>366</v>
          </cell>
          <cell r="EY6">
            <v>365</v>
          </cell>
          <cell r="EZ6">
            <v>365</v>
          </cell>
          <cell r="FA6">
            <v>365</v>
          </cell>
          <cell r="FB6">
            <v>366</v>
          </cell>
          <cell r="FC6">
            <v>365</v>
          </cell>
          <cell r="FD6">
            <v>365</v>
          </cell>
          <cell r="FE6">
            <v>365</v>
          </cell>
          <cell r="FF6">
            <v>366</v>
          </cell>
          <cell r="FG6">
            <v>365</v>
          </cell>
          <cell r="FH6">
            <v>365</v>
          </cell>
          <cell r="FI6">
            <v>365</v>
          </cell>
          <cell r="FJ6">
            <v>366</v>
          </cell>
          <cell r="FK6">
            <v>365</v>
          </cell>
          <cell r="FL6">
            <v>365</v>
          </cell>
          <cell r="FM6">
            <v>365</v>
          </cell>
          <cell r="FN6">
            <v>366</v>
          </cell>
          <cell r="FO6">
            <v>365</v>
          </cell>
          <cell r="FP6">
            <v>365</v>
          </cell>
          <cell r="FQ6">
            <v>365</v>
          </cell>
          <cell r="FR6">
            <v>366</v>
          </cell>
          <cell r="FS6">
            <v>365</v>
          </cell>
          <cell r="FT6">
            <v>365</v>
          </cell>
          <cell r="FU6">
            <v>365</v>
          </cell>
          <cell r="FV6">
            <v>366</v>
          </cell>
          <cell r="FW6">
            <v>365</v>
          </cell>
          <cell r="FX6">
            <v>365</v>
          </cell>
          <cell r="FY6">
            <v>365</v>
          </cell>
          <cell r="FZ6">
            <v>366</v>
          </cell>
          <cell r="GA6">
            <v>365</v>
          </cell>
          <cell r="GB6">
            <v>365</v>
          </cell>
          <cell r="GC6">
            <v>365</v>
          </cell>
          <cell r="GD6">
            <v>366</v>
          </cell>
          <cell r="GE6">
            <v>365</v>
          </cell>
          <cell r="GF6">
            <v>365</v>
          </cell>
          <cell r="GG6">
            <v>365</v>
          </cell>
          <cell r="GH6">
            <v>366</v>
          </cell>
          <cell r="GI6">
            <v>365</v>
          </cell>
          <cell r="GJ6">
            <v>365</v>
          </cell>
          <cell r="GK6">
            <v>365</v>
          </cell>
          <cell r="GL6">
            <v>365</v>
          </cell>
          <cell r="GM6">
            <v>365</v>
          </cell>
          <cell r="GN6">
            <v>365</v>
          </cell>
          <cell r="GO6">
            <v>365</v>
          </cell>
          <cell r="GP6">
            <v>366</v>
          </cell>
          <cell r="GQ6">
            <v>365</v>
          </cell>
          <cell r="GR6">
            <v>365</v>
          </cell>
          <cell r="GS6">
            <v>365</v>
          </cell>
          <cell r="GT6">
            <v>366</v>
          </cell>
          <cell r="GU6">
            <v>365</v>
          </cell>
          <cell r="GV6">
            <v>365</v>
          </cell>
          <cell r="GW6">
            <v>365</v>
          </cell>
          <cell r="GX6">
            <v>366</v>
          </cell>
          <cell r="GY6">
            <v>365</v>
          </cell>
          <cell r="GZ6">
            <v>365</v>
          </cell>
          <cell r="HA6">
            <v>365</v>
          </cell>
          <cell r="HB6">
            <v>366</v>
          </cell>
          <cell r="HC6">
            <v>365</v>
          </cell>
          <cell r="HD6">
            <v>365</v>
          </cell>
          <cell r="HE6">
            <v>365</v>
          </cell>
          <cell r="HF6">
            <v>366</v>
          </cell>
          <cell r="HG6">
            <v>365</v>
          </cell>
          <cell r="HH6">
            <v>365</v>
          </cell>
          <cell r="HI6">
            <v>365</v>
          </cell>
          <cell r="HJ6">
            <v>366</v>
          </cell>
          <cell r="HK6">
            <v>365</v>
          </cell>
          <cell r="HL6">
            <v>365</v>
          </cell>
          <cell r="HM6">
            <v>365</v>
          </cell>
          <cell r="HN6">
            <v>366</v>
          </cell>
          <cell r="HO6">
            <v>365</v>
          </cell>
          <cell r="HP6">
            <v>365</v>
          </cell>
          <cell r="HQ6">
            <v>365</v>
          </cell>
          <cell r="HR6">
            <v>366</v>
          </cell>
          <cell r="HS6">
            <v>365</v>
          </cell>
          <cell r="HT6">
            <v>365</v>
          </cell>
          <cell r="HU6">
            <v>365</v>
          </cell>
          <cell r="HV6">
            <v>366</v>
          </cell>
          <cell r="HW6">
            <v>365</v>
          </cell>
          <cell r="HX6">
            <v>365</v>
          </cell>
          <cell r="HY6">
            <v>365</v>
          </cell>
          <cell r="HZ6">
            <v>366</v>
          </cell>
          <cell r="IA6">
            <v>365</v>
          </cell>
          <cell r="IB6">
            <v>365</v>
          </cell>
          <cell r="IC6">
            <v>365</v>
          </cell>
          <cell r="ID6">
            <v>366</v>
          </cell>
          <cell r="IE6">
            <v>365</v>
          </cell>
          <cell r="IF6">
            <v>365</v>
          </cell>
          <cell r="IG6">
            <v>365</v>
          </cell>
          <cell r="IH6">
            <v>366</v>
          </cell>
          <cell r="II6">
            <v>365</v>
          </cell>
          <cell r="IJ6">
            <v>365</v>
          </cell>
          <cell r="IK6">
            <v>365</v>
          </cell>
          <cell r="IL6">
            <v>366</v>
          </cell>
          <cell r="IM6">
            <v>365</v>
          </cell>
          <cell r="IN6">
            <v>365</v>
          </cell>
          <cell r="IO6">
            <v>365</v>
          </cell>
          <cell r="IP6">
            <v>366</v>
          </cell>
          <cell r="IQ6">
            <v>365</v>
          </cell>
          <cell r="IR6">
            <v>365</v>
          </cell>
          <cell r="IS6">
            <v>365</v>
          </cell>
          <cell r="IT6">
            <v>366</v>
          </cell>
          <cell r="IU6">
            <v>365</v>
          </cell>
          <cell r="IV6">
            <v>365</v>
          </cell>
          <cell r="IW6">
            <v>365</v>
          </cell>
          <cell r="IX6">
            <v>366</v>
          </cell>
          <cell r="IY6">
            <v>365</v>
          </cell>
          <cell r="IZ6">
            <v>365</v>
          </cell>
          <cell r="JA6">
            <v>365</v>
          </cell>
        </row>
        <row r="10">
          <cell r="G10" t="str">
            <v>Gas</v>
          </cell>
        </row>
        <row r="13">
          <cell r="G13">
            <v>2023</v>
          </cell>
        </row>
        <row r="14">
          <cell r="G14">
            <v>2018</v>
          </cell>
        </row>
        <row r="16">
          <cell r="G16">
            <v>2018</v>
          </cell>
        </row>
        <row r="17">
          <cell r="G17">
            <v>2023</v>
          </cell>
        </row>
        <row r="18">
          <cell r="G18">
            <v>2023</v>
          </cell>
        </row>
        <row r="19">
          <cell r="G19">
            <v>2021</v>
          </cell>
        </row>
        <row r="20">
          <cell r="G20">
            <v>2036</v>
          </cell>
        </row>
        <row r="21">
          <cell r="G21">
            <v>0</v>
          </cell>
        </row>
        <row r="22">
          <cell r="G22">
            <v>1</v>
          </cell>
        </row>
        <row r="23">
          <cell r="G23">
            <v>0</v>
          </cell>
        </row>
        <row r="26">
          <cell r="G26">
            <v>1</v>
          </cell>
        </row>
        <row r="27">
          <cell r="G27">
            <v>2023</v>
          </cell>
        </row>
        <row r="30">
          <cell r="G30">
            <v>2018</v>
          </cell>
        </row>
        <row r="31">
          <cell r="G31">
            <v>2018</v>
          </cell>
        </row>
        <row r="34">
          <cell r="G34">
            <v>250</v>
          </cell>
        </row>
        <row r="39">
          <cell r="G39">
            <v>43</v>
          </cell>
        </row>
        <row r="41">
          <cell r="G41" t="str">
            <v>Alas Dara Kemuning PSC</v>
          </cell>
        </row>
        <row r="44">
          <cell r="G44">
            <v>0.1</v>
          </cell>
        </row>
        <row r="47">
          <cell r="G47">
            <v>6</v>
          </cell>
        </row>
        <row r="52">
          <cell r="G52">
            <v>0.91743119266055051</v>
          </cell>
        </row>
        <row r="53">
          <cell r="G53">
            <v>0.91743119266055051</v>
          </cell>
        </row>
        <row r="56">
          <cell r="G56" t="str">
            <v>Nominal</v>
          </cell>
        </row>
        <row r="57">
          <cell r="G57" t="str">
            <v>Nominal</v>
          </cell>
        </row>
        <row r="58">
          <cell r="G58">
            <v>2.0000000000000018E-2</v>
          </cell>
          <cell r="I58">
            <v>0.90573080982991594</v>
          </cell>
          <cell r="L58">
            <v>0.02</v>
          </cell>
          <cell r="M58">
            <v>0.02</v>
          </cell>
          <cell r="N58">
            <v>0.02</v>
          </cell>
          <cell r="O58">
            <v>0.02</v>
          </cell>
          <cell r="P58">
            <v>0.02</v>
          </cell>
          <cell r="Q58">
            <v>0.02</v>
          </cell>
          <cell r="R58">
            <v>0.02</v>
          </cell>
          <cell r="S58">
            <v>0.02</v>
          </cell>
          <cell r="T58">
            <v>0.02</v>
          </cell>
          <cell r="U58">
            <v>0.02</v>
          </cell>
          <cell r="V58">
            <v>0.02</v>
          </cell>
          <cell r="W58">
            <v>0.02</v>
          </cell>
          <cell r="X58">
            <v>0.02</v>
          </cell>
          <cell r="Y58">
            <v>0.02</v>
          </cell>
          <cell r="Z58">
            <v>0.02</v>
          </cell>
          <cell r="AA58">
            <v>0.02</v>
          </cell>
          <cell r="AB58">
            <v>0.02</v>
          </cell>
          <cell r="AC58">
            <v>0.02</v>
          </cell>
          <cell r="AD58">
            <v>0.02</v>
          </cell>
          <cell r="AE58">
            <v>0.02</v>
          </cell>
          <cell r="AF58">
            <v>0.02</v>
          </cell>
          <cell r="AG58">
            <v>0.02</v>
          </cell>
          <cell r="AH58">
            <v>0.02</v>
          </cell>
          <cell r="AI58">
            <v>0.02</v>
          </cell>
          <cell r="AJ58">
            <v>0.02</v>
          </cell>
          <cell r="AK58">
            <v>0.02</v>
          </cell>
          <cell r="AL58">
            <v>0.02</v>
          </cell>
          <cell r="AM58">
            <v>0.02</v>
          </cell>
          <cell r="AN58">
            <v>0.02</v>
          </cell>
          <cell r="AO58">
            <v>0.02</v>
          </cell>
          <cell r="AP58">
            <v>0.02</v>
          </cell>
          <cell r="AQ58">
            <v>0.02</v>
          </cell>
          <cell r="AR58">
            <v>0.02</v>
          </cell>
          <cell r="AS58">
            <v>0.02</v>
          </cell>
          <cell r="AT58">
            <v>0.02</v>
          </cell>
          <cell r="AU58">
            <v>0.02</v>
          </cell>
          <cell r="AV58">
            <v>0.02</v>
          </cell>
          <cell r="AW58">
            <v>0.02</v>
          </cell>
          <cell r="AX58">
            <v>0.02</v>
          </cell>
          <cell r="AY58">
            <v>0.02</v>
          </cell>
          <cell r="AZ58">
            <v>0.02</v>
          </cell>
          <cell r="BA58">
            <v>0.02</v>
          </cell>
          <cell r="BB58">
            <v>0.02</v>
          </cell>
          <cell r="BC58">
            <v>0.02</v>
          </cell>
          <cell r="BD58">
            <v>0.02</v>
          </cell>
          <cell r="BE58">
            <v>0.02</v>
          </cell>
          <cell r="BF58">
            <v>0.02</v>
          </cell>
          <cell r="BG58">
            <v>0.02</v>
          </cell>
          <cell r="BH58">
            <v>0.02</v>
          </cell>
          <cell r="BI58">
            <v>0.02</v>
          </cell>
          <cell r="BJ58">
            <v>0.02</v>
          </cell>
          <cell r="BK58">
            <v>0.02</v>
          </cell>
          <cell r="BL58">
            <v>0.02</v>
          </cell>
          <cell r="BM58">
            <v>0.02</v>
          </cell>
          <cell r="BN58">
            <v>0.02</v>
          </cell>
          <cell r="BO58">
            <v>0.02</v>
          </cell>
          <cell r="BP58">
            <v>0.02</v>
          </cell>
          <cell r="BQ58">
            <v>0.02</v>
          </cell>
          <cell r="BR58">
            <v>0.02</v>
          </cell>
          <cell r="BS58">
            <v>0.02</v>
          </cell>
          <cell r="BT58">
            <v>0.02</v>
          </cell>
          <cell r="BU58">
            <v>0.02</v>
          </cell>
          <cell r="BV58">
            <v>0.02</v>
          </cell>
          <cell r="BW58">
            <v>0.02</v>
          </cell>
          <cell r="BX58">
            <v>0.02</v>
          </cell>
          <cell r="BY58">
            <v>0.02</v>
          </cell>
          <cell r="BZ58">
            <v>0.02</v>
          </cell>
          <cell r="CA58">
            <v>0.02</v>
          </cell>
          <cell r="CB58">
            <v>0.02</v>
          </cell>
          <cell r="CC58">
            <v>0.02</v>
          </cell>
          <cell r="CD58">
            <v>0.02</v>
          </cell>
          <cell r="CE58">
            <v>0.02</v>
          </cell>
          <cell r="CF58">
            <v>0.02</v>
          </cell>
          <cell r="CG58">
            <v>0.02</v>
          </cell>
          <cell r="CH58">
            <v>0.02</v>
          </cell>
          <cell r="CI58">
            <v>0.02</v>
          </cell>
          <cell r="CJ58">
            <v>0.02</v>
          </cell>
          <cell r="CK58">
            <v>0.02</v>
          </cell>
          <cell r="CL58">
            <v>0.02</v>
          </cell>
          <cell r="CM58">
            <v>0.02</v>
          </cell>
          <cell r="CN58">
            <v>0.02</v>
          </cell>
          <cell r="CO58">
            <v>0.02</v>
          </cell>
          <cell r="CP58">
            <v>0.02</v>
          </cell>
          <cell r="CQ58">
            <v>0.02</v>
          </cell>
          <cell r="CR58">
            <v>0.02</v>
          </cell>
          <cell r="CS58">
            <v>0.02</v>
          </cell>
          <cell r="CT58">
            <v>0.02</v>
          </cell>
          <cell r="CU58">
            <v>0.02</v>
          </cell>
          <cell r="CV58">
            <v>0.02</v>
          </cell>
          <cell r="CW58">
            <v>0.02</v>
          </cell>
          <cell r="CX58">
            <v>0.02</v>
          </cell>
          <cell r="CY58">
            <v>0.02</v>
          </cell>
          <cell r="CZ58">
            <v>0.02</v>
          </cell>
          <cell r="DA58">
            <v>0.02</v>
          </cell>
          <cell r="DB58">
            <v>0.02</v>
          </cell>
          <cell r="DC58">
            <v>0.02</v>
          </cell>
          <cell r="DD58">
            <v>0.02</v>
          </cell>
          <cell r="DE58">
            <v>0.02</v>
          </cell>
          <cell r="DF58">
            <v>0.02</v>
          </cell>
          <cell r="DG58">
            <v>0.02</v>
          </cell>
          <cell r="DH58">
            <v>0.02</v>
          </cell>
          <cell r="DI58">
            <v>0.02</v>
          </cell>
          <cell r="DJ58">
            <v>0.02</v>
          </cell>
          <cell r="DK58">
            <v>0.02</v>
          </cell>
          <cell r="DL58">
            <v>0.02</v>
          </cell>
          <cell r="DM58">
            <v>0.02</v>
          </cell>
          <cell r="DN58">
            <v>0.02</v>
          </cell>
          <cell r="DO58">
            <v>0.02</v>
          </cell>
          <cell r="DP58">
            <v>0.02</v>
          </cell>
          <cell r="DQ58">
            <v>0.02</v>
          </cell>
          <cell r="DR58">
            <v>0.02</v>
          </cell>
          <cell r="DS58">
            <v>0.02</v>
          </cell>
          <cell r="DT58">
            <v>0.02</v>
          </cell>
          <cell r="DU58">
            <v>0.02</v>
          </cell>
          <cell r="DV58">
            <v>0.02</v>
          </cell>
          <cell r="DW58">
            <v>0.02</v>
          </cell>
          <cell r="DX58">
            <v>0.02</v>
          </cell>
          <cell r="DY58">
            <v>0.02</v>
          </cell>
          <cell r="DZ58">
            <v>0.02</v>
          </cell>
          <cell r="EA58">
            <v>0.02</v>
          </cell>
          <cell r="EB58">
            <v>0.02</v>
          </cell>
          <cell r="EC58">
            <v>0.02</v>
          </cell>
          <cell r="ED58">
            <v>0.02</v>
          </cell>
          <cell r="EE58">
            <v>0.02</v>
          </cell>
          <cell r="EF58">
            <v>0.02</v>
          </cell>
          <cell r="EG58">
            <v>0.02</v>
          </cell>
          <cell r="EH58">
            <v>0.02</v>
          </cell>
          <cell r="EI58">
            <v>0.02</v>
          </cell>
          <cell r="EJ58">
            <v>0.02</v>
          </cell>
          <cell r="EK58">
            <v>0.02</v>
          </cell>
          <cell r="EL58">
            <v>0.02</v>
          </cell>
          <cell r="EM58">
            <v>0.02</v>
          </cell>
          <cell r="EN58">
            <v>0.02</v>
          </cell>
          <cell r="EO58">
            <v>0.02</v>
          </cell>
          <cell r="EP58">
            <v>0.02</v>
          </cell>
          <cell r="EQ58">
            <v>0.02</v>
          </cell>
          <cell r="ER58">
            <v>0.02</v>
          </cell>
          <cell r="ES58">
            <v>0.02</v>
          </cell>
          <cell r="ET58">
            <v>0.02</v>
          </cell>
          <cell r="EU58">
            <v>0.02</v>
          </cell>
          <cell r="EV58">
            <v>0.02</v>
          </cell>
          <cell r="EW58">
            <v>0.02</v>
          </cell>
          <cell r="EX58">
            <v>0.02</v>
          </cell>
          <cell r="EY58">
            <v>0.02</v>
          </cell>
          <cell r="EZ58">
            <v>0.02</v>
          </cell>
          <cell r="FA58">
            <v>0.02</v>
          </cell>
          <cell r="FB58">
            <v>0.02</v>
          </cell>
          <cell r="FC58">
            <v>0.02</v>
          </cell>
          <cell r="FD58">
            <v>0.02</v>
          </cell>
          <cell r="FE58">
            <v>0.02</v>
          </cell>
          <cell r="FF58">
            <v>0.02</v>
          </cell>
          <cell r="FG58">
            <v>0.02</v>
          </cell>
          <cell r="FH58">
            <v>0.02</v>
          </cell>
          <cell r="FI58">
            <v>0.02</v>
          </cell>
          <cell r="FJ58">
            <v>0.02</v>
          </cell>
          <cell r="FK58">
            <v>0.02</v>
          </cell>
          <cell r="FL58">
            <v>0.02</v>
          </cell>
          <cell r="FM58">
            <v>0.02</v>
          </cell>
          <cell r="FN58">
            <v>0.02</v>
          </cell>
          <cell r="FO58">
            <v>0.02</v>
          </cell>
          <cell r="FP58">
            <v>0.02</v>
          </cell>
          <cell r="FQ58">
            <v>0.02</v>
          </cell>
          <cell r="FR58">
            <v>0.02</v>
          </cell>
          <cell r="FS58">
            <v>0.02</v>
          </cell>
          <cell r="FT58">
            <v>0.02</v>
          </cell>
          <cell r="FU58">
            <v>0.02</v>
          </cell>
          <cell r="FV58">
            <v>0.02</v>
          </cell>
          <cell r="FW58">
            <v>0.02</v>
          </cell>
          <cell r="FX58">
            <v>0.02</v>
          </cell>
          <cell r="FY58">
            <v>0.02</v>
          </cell>
          <cell r="FZ58">
            <v>0.02</v>
          </cell>
          <cell r="GA58">
            <v>0.02</v>
          </cell>
          <cell r="GB58">
            <v>0.02</v>
          </cell>
          <cell r="GC58">
            <v>0.02</v>
          </cell>
          <cell r="GD58">
            <v>0.02</v>
          </cell>
          <cell r="GE58">
            <v>0.02</v>
          </cell>
          <cell r="GF58">
            <v>0.02</v>
          </cell>
          <cell r="GG58">
            <v>0.02</v>
          </cell>
          <cell r="GH58">
            <v>0.02</v>
          </cell>
          <cell r="GI58">
            <v>0.02</v>
          </cell>
          <cell r="GJ58">
            <v>0.02</v>
          </cell>
          <cell r="GK58">
            <v>0.02</v>
          </cell>
          <cell r="GL58">
            <v>0.02</v>
          </cell>
          <cell r="GM58">
            <v>0.02</v>
          </cell>
          <cell r="GN58">
            <v>0.02</v>
          </cell>
          <cell r="GO58">
            <v>0.02</v>
          </cell>
          <cell r="GP58">
            <v>0.02</v>
          </cell>
          <cell r="GQ58">
            <v>0.02</v>
          </cell>
          <cell r="GR58">
            <v>0.02</v>
          </cell>
          <cell r="GS58">
            <v>0.02</v>
          </cell>
          <cell r="GT58">
            <v>0.02</v>
          </cell>
          <cell r="GU58">
            <v>0.02</v>
          </cell>
          <cell r="GV58">
            <v>0.02</v>
          </cell>
          <cell r="GW58">
            <v>0.02</v>
          </cell>
          <cell r="GX58">
            <v>0.02</v>
          </cell>
          <cell r="GY58">
            <v>0.02</v>
          </cell>
          <cell r="GZ58">
            <v>0.02</v>
          </cell>
          <cell r="HA58">
            <v>0.02</v>
          </cell>
          <cell r="HB58">
            <v>0.02</v>
          </cell>
          <cell r="HC58">
            <v>0.02</v>
          </cell>
          <cell r="HD58">
            <v>0.02</v>
          </cell>
          <cell r="HE58">
            <v>0.02</v>
          </cell>
          <cell r="HF58">
            <v>0.02</v>
          </cell>
          <cell r="HG58">
            <v>0.02</v>
          </cell>
          <cell r="HH58">
            <v>0.02</v>
          </cell>
          <cell r="HI58">
            <v>0.02</v>
          </cell>
          <cell r="HJ58">
            <v>0.02</v>
          </cell>
          <cell r="HK58">
            <v>0.02</v>
          </cell>
          <cell r="HL58">
            <v>0.02</v>
          </cell>
          <cell r="HM58">
            <v>0.02</v>
          </cell>
          <cell r="HN58">
            <v>0.02</v>
          </cell>
          <cell r="HO58">
            <v>0.02</v>
          </cell>
          <cell r="HP58">
            <v>0.02</v>
          </cell>
          <cell r="HQ58">
            <v>0.02</v>
          </cell>
          <cell r="HR58">
            <v>0.02</v>
          </cell>
          <cell r="HS58">
            <v>0.02</v>
          </cell>
          <cell r="HT58">
            <v>0.02</v>
          </cell>
          <cell r="HU58">
            <v>0.02</v>
          </cell>
          <cell r="HV58">
            <v>0.02</v>
          </cell>
          <cell r="HW58">
            <v>0.02</v>
          </cell>
          <cell r="HX58">
            <v>0.02</v>
          </cell>
          <cell r="HY58">
            <v>0.02</v>
          </cell>
          <cell r="HZ58">
            <v>0.02</v>
          </cell>
          <cell r="IA58">
            <v>0.02</v>
          </cell>
          <cell r="IB58">
            <v>0.02</v>
          </cell>
          <cell r="IC58">
            <v>0.02</v>
          </cell>
          <cell r="ID58">
            <v>0.02</v>
          </cell>
          <cell r="IE58">
            <v>0.02</v>
          </cell>
          <cell r="IF58">
            <v>0.02</v>
          </cell>
          <cell r="IG58">
            <v>0.02</v>
          </cell>
          <cell r="IH58">
            <v>0.02</v>
          </cell>
          <cell r="II58">
            <v>0.02</v>
          </cell>
          <cell r="IJ58">
            <v>0.02</v>
          </cell>
          <cell r="IK58">
            <v>0.02</v>
          </cell>
          <cell r="IL58">
            <v>0.02</v>
          </cell>
          <cell r="IM58">
            <v>0.02</v>
          </cell>
          <cell r="IN58">
            <v>0.02</v>
          </cell>
          <cell r="IO58">
            <v>0.02</v>
          </cell>
          <cell r="IP58">
            <v>0.02</v>
          </cell>
          <cell r="IQ58">
            <v>0.02</v>
          </cell>
          <cell r="IR58">
            <v>0.02</v>
          </cell>
          <cell r="IS58">
            <v>0.02</v>
          </cell>
          <cell r="IT58">
            <v>0.02</v>
          </cell>
          <cell r="IU58">
            <v>0.02</v>
          </cell>
          <cell r="IV58">
            <v>0.02</v>
          </cell>
          <cell r="IW58">
            <v>0.02</v>
          </cell>
          <cell r="IX58">
            <v>0.02</v>
          </cell>
          <cell r="IY58">
            <v>0.02</v>
          </cell>
          <cell r="IZ58">
            <v>0.02</v>
          </cell>
          <cell r="JA58">
            <v>0.02</v>
          </cell>
        </row>
        <row r="59">
          <cell r="I59">
            <v>1</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I60">
            <v>1</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G61">
            <v>1</v>
          </cell>
        </row>
        <row r="62">
          <cell r="G62">
            <v>1</v>
          </cell>
        </row>
        <row r="67">
          <cell r="L67">
            <v>0</v>
          </cell>
          <cell r="M67">
            <v>0</v>
          </cell>
          <cell r="N67">
            <v>0</v>
          </cell>
          <cell r="O67">
            <v>18.654696000000001</v>
          </cell>
          <cell r="P67">
            <v>56.413195999999999</v>
          </cell>
          <cell r="Q67">
            <v>56.849201999999998</v>
          </cell>
          <cell r="R67">
            <v>56.849201999999998</v>
          </cell>
          <cell r="S67">
            <v>49.269452000000001</v>
          </cell>
          <cell r="T67">
            <v>40.985101</v>
          </cell>
          <cell r="U67">
            <v>34.442295999999999</v>
          </cell>
          <cell r="V67">
            <v>29.262654999999999</v>
          </cell>
          <cell r="W67">
            <v>25.158049999999999</v>
          </cell>
          <cell r="X67">
            <v>21.912334000000001</v>
          </cell>
          <cell r="Y67">
            <v>19.309775999999999</v>
          </cell>
          <cell r="Z67">
            <v>16.162119000000001</v>
          </cell>
          <cell r="AA67">
            <v>7.6213829999999998</v>
          </cell>
          <cell r="AB67">
            <v>7.5790389999999999</v>
          </cell>
          <cell r="AC67">
            <v>7.5370010000000001</v>
          </cell>
          <cell r="AD67">
            <v>6.8100949999999996</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9">
          <cell r="L69">
            <v>37.285522999999998</v>
          </cell>
          <cell r="M69">
            <v>37.946824999999997</v>
          </cell>
          <cell r="N69">
            <v>38.404159999999997</v>
          </cell>
          <cell r="O69">
            <v>40</v>
          </cell>
          <cell r="P69">
            <v>40.799999</v>
          </cell>
          <cell r="Q69">
            <v>41.616</v>
          </cell>
          <cell r="R69">
            <v>42.448318</v>
          </cell>
          <cell r="S69">
            <v>43.297283999999998</v>
          </cell>
          <cell r="T69">
            <v>44.163232000000001</v>
          </cell>
          <cell r="U69">
            <v>45.046497000000002</v>
          </cell>
          <cell r="V69">
            <v>45.947426</v>
          </cell>
          <cell r="W69">
            <v>46.866374999999998</v>
          </cell>
          <cell r="X69">
            <v>47.803699999999999</v>
          </cell>
          <cell r="Y69">
            <v>48.759777</v>
          </cell>
          <cell r="Z69">
            <v>49.734971999999999</v>
          </cell>
          <cell r="AA69">
            <v>50.729672000000001</v>
          </cell>
          <cell r="AB69">
            <v>51.744264999999999</v>
          </cell>
          <cell r="AC69">
            <v>52.779150000000001</v>
          </cell>
          <cell r="AD69">
            <v>53.834733</v>
          </cell>
          <cell r="AE69">
            <v>54.911428000000001</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6.1469999999999997E-3</v>
          </cell>
          <cell r="P76">
            <v>0.35455300000000001</v>
          </cell>
          <cell r="Q76">
            <v>0.37568499999999999</v>
          </cell>
          <cell r="R76">
            <v>0.37568499999999999</v>
          </cell>
          <cell r="S76">
            <v>0.37568499999999999</v>
          </cell>
          <cell r="T76">
            <v>0.37568499999999999</v>
          </cell>
          <cell r="U76">
            <v>0.37568499999999999</v>
          </cell>
          <cell r="V76">
            <v>0.37568499999999999</v>
          </cell>
          <cell r="W76">
            <v>0.37568499999999999</v>
          </cell>
          <cell r="X76">
            <v>0.375475</v>
          </cell>
          <cell r="Y76">
            <v>0.37337799999999999</v>
          </cell>
          <cell r="Z76">
            <v>0.37129299999999998</v>
          </cell>
          <cell r="AA76">
            <v>0.36925400000000003</v>
          </cell>
          <cell r="AB76">
            <v>0.36720199999999997</v>
          </cell>
          <cell r="AC76">
            <v>0.36516500000000002</v>
          </cell>
          <cell r="AD76">
            <v>0.32994000000000001</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6">
          <cell r="L86">
            <v>1</v>
          </cell>
          <cell r="M86">
            <v>1</v>
          </cell>
          <cell r="N86">
            <v>1</v>
          </cell>
          <cell r="O86">
            <v>1</v>
          </cell>
          <cell r="P86">
            <v>1</v>
          </cell>
          <cell r="Q86">
            <v>1</v>
          </cell>
          <cell r="R86">
            <v>1</v>
          </cell>
          <cell r="S86">
            <v>1</v>
          </cell>
          <cell r="T86">
            <v>1</v>
          </cell>
          <cell r="U86">
            <v>1</v>
          </cell>
          <cell r="V86">
            <v>1</v>
          </cell>
          <cell r="W86">
            <v>1</v>
          </cell>
          <cell r="X86">
            <v>1</v>
          </cell>
          <cell r="Y86">
            <v>1</v>
          </cell>
          <cell r="Z86">
            <v>1</v>
          </cell>
          <cell r="AA86">
            <v>1</v>
          </cell>
          <cell r="AB86">
            <v>1</v>
          </cell>
          <cell r="AC86">
            <v>1</v>
          </cell>
          <cell r="AD86">
            <v>1</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92">
          <cell r="L92">
            <v>0</v>
          </cell>
          <cell r="M92">
            <v>0</v>
          </cell>
          <cell r="N92">
            <v>0</v>
          </cell>
          <cell r="O92">
            <v>1.2959999999999999E-2</v>
          </cell>
          <cell r="P92">
            <v>0.74749900000000002</v>
          </cell>
          <cell r="Q92">
            <v>0.792049</v>
          </cell>
          <cell r="R92">
            <v>0.792049</v>
          </cell>
          <cell r="S92">
            <v>0.792049</v>
          </cell>
          <cell r="T92">
            <v>0.792049</v>
          </cell>
          <cell r="U92">
            <v>0.792049</v>
          </cell>
          <cell r="V92">
            <v>0.792049</v>
          </cell>
          <cell r="W92">
            <v>0.792049</v>
          </cell>
          <cell r="X92">
            <v>0.79160699999999995</v>
          </cell>
          <cell r="Y92">
            <v>0.78718600000000005</v>
          </cell>
          <cell r="Z92">
            <v>0.78278999999999999</v>
          </cell>
          <cell r="AA92">
            <v>0.77849100000000004</v>
          </cell>
          <cell r="AB92">
            <v>0.77416499999999999</v>
          </cell>
          <cell r="AC92">
            <v>0.76987000000000005</v>
          </cell>
          <cell r="AD92">
            <v>0.69560699999999998</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107">
          <cell r="L107">
            <v>71.27</v>
          </cell>
          <cell r="M107">
            <v>64.12</v>
          </cell>
          <cell r="N107">
            <v>41.76</v>
          </cell>
          <cell r="O107">
            <v>71.23</v>
          </cell>
          <cell r="P107">
            <v>103.65</v>
          </cell>
          <cell r="Q107">
            <v>77</v>
          </cell>
          <cell r="R107">
            <v>78.539996000000002</v>
          </cell>
          <cell r="S107">
            <v>80.110795999999993</v>
          </cell>
          <cell r="T107">
            <v>81.713016999999994</v>
          </cell>
          <cell r="U107">
            <v>83.347277000000005</v>
          </cell>
          <cell r="V107">
            <v>85.014221000000006</v>
          </cell>
          <cell r="W107">
            <v>86.714506999999998</v>
          </cell>
          <cell r="X107">
            <v>88.448791</v>
          </cell>
          <cell r="Y107">
            <v>90.217771999999997</v>
          </cell>
          <cell r="Z107">
            <v>92.022127999999995</v>
          </cell>
          <cell r="AA107">
            <v>93.862570000000005</v>
          </cell>
          <cell r="AB107">
            <v>95.739822000000004</v>
          </cell>
          <cell r="AC107">
            <v>97.654617999999999</v>
          </cell>
          <cell r="AD107">
            <v>99.607710999999995</v>
          </cell>
          <cell r="AE107">
            <v>101.59986499999999</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C108">
            <v>1</v>
          </cell>
          <cell r="L108">
            <v>0.72973067919998869</v>
          </cell>
          <cell r="M108">
            <v>0.65652211519999071</v>
          </cell>
          <cell r="N108">
            <v>0.42757896959999897</v>
          </cell>
          <cell r="O108">
            <v>0.72932112079999456</v>
          </cell>
          <cell r="P108">
            <v>1.0612682039999868</v>
          </cell>
          <cell r="Q108">
            <v>0.78839991999998915</v>
          </cell>
          <cell r="R108">
            <v>0.80416787744415785</v>
          </cell>
          <cell r="S108">
            <v>0.82025123581215098</v>
          </cell>
          <cell r="T108">
            <v>0.83665631254231698</v>
          </cell>
          <cell r="U108">
            <v>0.85338943531191092</v>
          </cell>
          <cell r="V108">
            <v>0.87045720825015849</v>
          </cell>
          <cell r="W108">
            <v>0.88786636859271084</v>
          </cell>
          <cell r="X108">
            <v>0.90562363309734906</v>
          </cell>
          <cell r="Y108">
            <v>0.92373615879711224</v>
          </cell>
          <cell r="Z108">
            <v>0.942210887706878</v>
          </cell>
          <cell r="AA108">
            <v>0.96105509972719005</v>
          </cell>
          <cell r="AB108">
            <v>0.98027620786511704</v>
          </cell>
          <cell r="AC108">
            <v>0.99988172751727689</v>
          </cell>
          <cell r="AD108">
            <v>1.0198793686205505</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C109">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7">
          <cell r="I117">
            <v>0.05</v>
          </cell>
          <cell r="L117">
            <v>67.706499999999991</v>
          </cell>
          <cell r="M117">
            <v>60.914000000000001</v>
          </cell>
          <cell r="N117">
            <v>39.671999999999997</v>
          </cell>
          <cell r="O117">
            <v>67.668499999999995</v>
          </cell>
          <cell r="P117">
            <v>98.467500000000001</v>
          </cell>
          <cell r="Q117">
            <v>73.149999999999991</v>
          </cell>
          <cell r="R117">
            <v>74.612996199999998</v>
          </cell>
          <cell r="S117">
            <v>76.105256199999985</v>
          </cell>
          <cell r="T117">
            <v>77.627366149999986</v>
          </cell>
          <cell r="U117">
            <v>79.179913150000004</v>
          </cell>
          <cell r="V117">
            <v>80.76350995</v>
          </cell>
          <cell r="W117">
            <v>82.378781649999993</v>
          </cell>
          <cell r="X117">
            <v>84.026351449999993</v>
          </cell>
          <cell r="Y117">
            <v>85.706883399999995</v>
          </cell>
          <cell r="Z117">
            <v>87.421021599999989</v>
          </cell>
          <cell r="AA117">
            <v>89.169441500000005</v>
          </cell>
          <cell r="AB117">
            <v>90.952830899999995</v>
          </cell>
          <cell r="AC117">
            <v>92.771887100000001</v>
          </cell>
          <cell r="AD117">
            <v>94.627325449999987</v>
          </cell>
          <cell r="AE117">
            <v>96.519871749999993</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0</v>
          </cell>
          <cell r="DE117">
            <v>0</v>
          </cell>
          <cell r="DF117">
            <v>0</v>
          </cell>
          <cell r="DG117">
            <v>0</v>
          </cell>
          <cell r="DH117">
            <v>0</v>
          </cell>
          <cell r="DI117">
            <v>0</v>
          </cell>
          <cell r="DJ117">
            <v>0</v>
          </cell>
          <cell r="DK117">
            <v>0</v>
          </cell>
          <cell r="DL117">
            <v>0</v>
          </cell>
          <cell r="DM117">
            <v>0</v>
          </cell>
          <cell r="DN117">
            <v>0</v>
          </cell>
          <cell r="DO117">
            <v>0</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cell r="EQ117">
            <v>0</v>
          </cell>
          <cell r="ER117">
            <v>0</v>
          </cell>
          <cell r="ES117">
            <v>0</v>
          </cell>
          <cell r="ET117">
            <v>0</v>
          </cell>
          <cell r="EU117">
            <v>0</v>
          </cell>
          <cell r="EV117">
            <v>0</v>
          </cell>
          <cell r="EW117">
            <v>0</v>
          </cell>
          <cell r="EX117">
            <v>0</v>
          </cell>
          <cell r="EY117">
            <v>0</v>
          </cell>
          <cell r="EZ117">
            <v>0</v>
          </cell>
          <cell r="FA117">
            <v>0</v>
          </cell>
          <cell r="FB117">
            <v>0</v>
          </cell>
          <cell r="FC117">
            <v>0</v>
          </cell>
          <cell r="FD117">
            <v>0</v>
          </cell>
          <cell r="FE117">
            <v>0</v>
          </cell>
          <cell r="FF117">
            <v>0</v>
          </cell>
          <cell r="FG117">
            <v>0</v>
          </cell>
          <cell r="FH117">
            <v>0</v>
          </cell>
          <cell r="FI117">
            <v>0</v>
          </cell>
          <cell r="FJ117">
            <v>0</v>
          </cell>
          <cell r="FK117">
            <v>0</v>
          </cell>
          <cell r="FL117">
            <v>0</v>
          </cell>
          <cell r="FM117">
            <v>0</v>
          </cell>
          <cell r="FN117">
            <v>0</v>
          </cell>
          <cell r="FO117">
            <v>0</v>
          </cell>
          <cell r="FP117">
            <v>0</v>
          </cell>
          <cell r="FQ117">
            <v>0</v>
          </cell>
          <cell r="FR117">
            <v>0</v>
          </cell>
          <cell r="FS117">
            <v>0</v>
          </cell>
          <cell r="FT117">
            <v>0</v>
          </cell>
          <cell r="FU117">
            <v>0</v>
          </cell>
          <cell r="FV117">
            <v>0</v>
          </cell>
          <cell r="FW117">
            <v>0</v>
          </cell>
          <cell r="FX117">
            <v>0</v>
          </cell>
          <cell r="FY117">
            <v>0</v>
          </cell>
          <cell r="FZ117">
            <v>0</v>
          </cell>
          <cell r="GA117">
            <v>0</v>
          </cell>
          <cell r="GB117">
            <v>0</v>
          </cell>
          <cell r="GC117">
            <v>0</v>
          </cell>
          <cell r="GD117">
            <v>0</v>
          </cell>
          <cell r="GE117">
            <v>0</v>
          </cell>
          <cell r="GF117">
            <v>0</v>
          </cell>
          <cell r="GG117">
            <v>0</v>
          </cell>
          <cell r="GH117">
            <v>0</v>
          </cell>
          <cell r="GI117">
            <v>0</v>
          </cell>
          <cell r="GJ117">
            <v>0</v>
          </cell>
          <cell r="GK117">
            <v>0</v>
          </cell>
          <cell r="GL117">
            <v>0</v>
          </cell>
          <cell r="GM117">
            <v>0</v>
          </cell>
          <cell r="GN117">
            <v>0</v>
          </cell>
          <cell r="GO117">
            <v>0</v>
          </cell>
          <cell r="GP117">
            <v>0</v>
          </cell>
          <cell r="GQ117">
            <v>0</v>
          </cell>
          <cell r="GR117">
            <v>0</v>
          </cell>
          <cell r="GS117">
            <v>0</v>
          </cell>
          <cell r="GT117">
            <v>0</v>
          </cell>
          <cell r="GU117">
            <v>0</v>
          </cell>
          <cell r="GV117">
            <v>0</v>
          </cell>
          <cell r="GW117">
            <v>0</v>
          </cell>
          <cell r="GX117">
            <v>0</v>
          </cell>
          <cell r="GY117">
            <v>0</v>
          </cell>
          <cell r="GZ117">
            <v>0</v>
          </cell>
          <cell r="HA117">
            <v>0</v>
          </cell>
          <cell r="HB117">
            <v>0</v>
          </cell>
          <cell r="HC117">
            <v>0</v>
          </cell>
          <cell r="HD117">
            <v>0</v>
          </cell>
          <cell r="HE117">
            <v>0</v>
          </cell>
          <cell r="HF117">
            <v>0</v>
          </cell>
          <cell r="HG117">
            <v>0</v>
          </cell>
          <cell r="HH117">
            <v>0</v>
          </cell>
          <cell r="HI117">
            <v>0</v>
          </cell>
          <cell r="HJ117">
            <v>0</v>
          </cell>
          <cell r="HK117">
            <v>0</v>
          </cell>
          <cell r="HL117">
            <v>0</v>
          </cell>
          <cell r="HM117">
            <v>0</v>
          </cell>
          <cell r="HN117">
            <v>0</v>
          </cell>
          <cell r="HO117">
            <v>0</v>
          </cell>
          <cell r="HP117">
            <v>0</v>
          </cell>
          <cell r="HQ117">
            <v>0</v>
          </cell>
          <cell r="HR117">
            <v>0</v>
          </cell>
          <cell r="HS117">
            <v>0</v>
          </cell>
          <cell r="HT117">
            <v>0</v>
          </cell>
          <cell r="HU117">
            <v>0</v>
          </cell>
          <cell r="HV117">
            <v>0</v>
          </cell>
          <cell r="HW117">
            <v>0</v>
          </cell>
          <cell r="HX117">
            <v>0</v>
          </cell>
          <cell r="HY117">
            <v>0</v>
          </cell>
          <cell r="HZ117">
            <v>0</v>
          </cell>
          <cell r="IA117">
            <v>0</v>
          </cell>
          <cell r="IB117">
            <v>0</v>
          </cell>
          <cell r="IC117">
            <v>0</v>
          </cell>
          <cell r="ID117">
            <v>0</v>
          </cell>
          <cell r="IE117">
            <v>0</v>
          </cell>
          <cell r="IF117">
            <v>0</v>
          </cell>
          <cell r="IG117">
            <v>0</v>
          </cell>
          <cell r="IH117">
            <v>0</v>
          </cell>
          <cell r="II117">
            <v>0</v>
          </cell>
          <cell r="IJ117">
            <v>0</v>
          </cell>
          <cell r="IK117">
            <v>0</v>
          </cell>
          <cell r="IL117">
            <v>0</v>
          </cell>
          <cell r="IM117">
            <v>0</v>
          </cell>
          <cell r="IN117">
            <v>0</v>
          </cell>
          <cell r="IO117">
            <v>0</v>
          </cell>
          <cell r="IP117">
            <v>0</v>
          </cell>
          <cell r="IQ117">
            <v>0</v>
          </cell>
          <cell r="IR117">
            <v>0</v>
          </cell>
          <cell r="IS117">
            <v>0</v>
          </cell>
          <cell r="IT117">
            <v>0</v>
          </cell>
          <cell r="IU117">
            <v>0</v>
          </cell>
          <cell r="IV117">
            <v>0</v>
          </cell>
          <cell r="IW117">
            <v>0</v>
          </cell>
          <cell r="IX117">
            <v>0</v>
          </cell>
          <cell r="IY117">
            <v>0</v>
          </cell>
          <cell r="IZ117">
            <v>0</v>
          </cell>
          <cell r="JA117">
            <v>0</v>
          </cell>
        </row>
        <row r="118">
          <cell r="C118">
            <v>1</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cell r="EQ118">
            <v>0</v>
          </cell>
          <cell r="ER118">
            <v>0</v>
          </cell>
          <cell r="ES118">
            <v>0</v>
          </cell>
          <cell r="ET118">
            <v>0</v>
          </cell>
          <cell r="EU118">
            <v>0</v>
          </cell>
          <cell r="EV118">
            <v>0</v>
          </cell>
          <cell r="EW118">
            <v>0</v>
          </cell>
          <cell r="EX118">
            <v>0</v>
          </cell>
          <cell r="EY118">
            <v>0</v>
          </cell>
          <cell r="EZ118">
            <v>0</v>
          </cell>
          <cell r="FA118">
            <v>0</v>
          </cell>
          <cell r="FB118">
            <v>0</v>
          </cell>
          <cell r="FC118">
            <v>0</v>
          </cell>
          <cell r="FD118">
            <v>0</v>
          </cell>
          <cell r="FE118">
            <v>0</v>
          </cell>
          <cell r="FF118">
            <v>0</v>
          </cell>
          <cell r="FG118">
            <v>0</v>
          </cell>
          <cell r="FH118">
            <v>0</v>
          </cell>
          <cell r="FI118">
            <v>0</v>
          </cell>
          <cell r="FJ118">
            <v>0</v>
          </cell>
          <cell r="FK118">
            <v>0</v>
          </cell>
          <cell r="FL118">
            <v>0</v>
          </cell>
          <cell r="FM118">
            <v>0</v>
          </cell>
          <cell r="FN118">
            <v>0</v>
          </cell>
          <cell r="FO118">
            <v>0</v>
          </cell>
          <cell r="FP118">
            <v>0</v>
          </cell>
          <cell r="FQ118">
            <v>0</v>
          </cell>
          <cell r="FR118">
            <v>0</v>
          </cell>
          <cell r="FS118">
            <v>0</v>
          </cell>
          <cell r="FT118">
            <v>0</v>
          </cell>
          <cell r="FU118">
            <v>0</v>
          </cell>
          <cell r="FV118">
            <v>0</v>
          </cell>
          <cell r="FW118">
            <v>0</v>
          </cell>
          <cell r="FX118">
            <v>0</v>
          </cell>
          <cell r="FY118">
            <v>0</v>
          </cell>
          <cell r="FZ118">
            <v>0</v>
          </cell>
          <cell r="GA118">
            <v>0</v>
          </cell>
          <cell r="GB118">
            <v>0</v>
          </cell>
          <cell r="GC118">
            <v>0</v>
          </cell>
          <cell r="GD118">
            <v>0</v>
          </cell>
          <cell r="GE118">
            <v>0</v>
          </cell>
          <cell r="GF118">
            <v>0</v>
          </cell>
          <cell r="GG118">
            <v>0</v>
          </cell>
          <cell r="GH118">
            <v>0</v>
          </cell>
          <cell r="GI118">
            <v>0</v>
          </cell>
          <cell r="GJ118">
            <v>0</v>
          </cell>
          <cell r="GK118">
            <v>0</v>
          </cell>
          <cell r="GL118">
            <v>0</v>
          </cell>
          <cell r="GM118">
            <v>0</v>
          </cell>
          <cell r="GN118">
            <v>0</v>
          </cell>
          <cell r="GO118">
            <v>0</v>
          </cell>
          <cell r="GP118">
            <v>0</v>
          </cell>
          <cell r="GQ118">
            <v>0</v>
          </cell>
          <cell r="GR118">
            <v>0</v>
          </cell>
          <cell r="GS118">
            <v>0</v>
          </cell>
          <cell r="GT118">
            <v>0</v>
          </cell>
          <cell r="GU118">
            <v>0</v>
          </cell>
          <cell r="GV118">
            <v>0</v>
          </cell>
          <cell r="GW118">
            <v>0</v>
          </cell>
          <cell r="GX118">
            <v>0</v>
          </cell>
          <cell r="GY118">
            <v>0</v>
          </cell>
          <cell r="GZ118">
            <v>0</v>
          </cell>
          <cell r="HA118">
            <v>0</v>
          </cell>
          <cell r="HB118">
            <v>0</v>
          </cell>
          <cell r="HC118">
            <v>0</v>
          </cell>
          <cell r="HD118">
            <v>0</v>
          </cell>
          <cell r="HE118">
            <v>0</v>
          </cell>
          <cell r="HF118">
            <v>0</v>
          </cell>
          <cell r="HG118">
            <v>0</v>
          </cell>
          <cell r="HH118">
            <v>0</v>
          </cell>
          <cell r="HI118">
            <v>0</v>
          </cell>
          <cell r="HJ118">
            <v>0</v>
          </cell>
          <cell r="HK118">
            <v>0</v>
          </cell>
          <cell r="HL118">
            <v>0</v>
          </cell>
          <cell r="HM118">
            <v>0</v>
          </cell>
          <cell r="HN118">
            <v>0</v>
          </cell>
          <cell r="HO118">
            <v>0</v>
          </cell>
          <cell r="HP118">
            <v>0</v>
          </cell>
          <cell r="HQ118">
            <v>0</v>
          </cell>
          <cell r="HR118">
            <v>0</v>
          </cell>
          <cell r="HS118">
            <v>0</v>
          </cell>
          <cell r="HT118">
            <v>0</v>
          </cell>
          <cell r="HU118">
            <v>0</v>
          </cell>
          <cell r="HV118">
            <v>0</v>
          </cell>
          <cell r="HW118">
            <v>0</v>
          </cell>
          <cell r="HX118">
            <v>0</v>
          </cell>
          <cell r="HY118">
            <v>0</v>
          </cell>
          <cell r="HZ118">
            <v>0</v>
          </cell>
          <cell r="IA118">
            <v>0</v>
          </cell>
          <cell r="IB118">
            <v>0</v>
          </cell>
          <cell r="IC118">
            <v>0</v>
          </cell>
          <cell r="ID118">
            <v>0</v>
          </cell>
          <cell r="IE118">
            <v>0</v>
          </cell>
          <cell r="IF118">
            <v>0</v>
          </cell>
          <cell r="IG118">
            <v>0</v>
          </cell>
          <cell r="IH118">
            <v>0</v>
          </cell>
          <cell r="II118">
            <v>0</v>
          </cell>
          <cell r="IJ118">
            <v>0</v>
          </cell>
          <cell r="IK118">
            <v>0</v>
          </cell>
          <cell r="IL118">
            <v>0</v>
          </cell>
          <cell r="IM118">
            <v>0</v>
          </cell>
          <cell r="IN118">
            <v>0</v>
          </cell>
          <cell r="IO118">
            <v>0</v>
          </cell>
          <cell r="IP118">
            <v>0</v>
          </cell>
          <cell r="IQ118">
            <v>0</v>
          </cell>
          <cell r="IR118">
            <v>0</v>
          </cell>
          <cell r="IS118">
            <v>0</v>
          </cell>
          <cell r="IT118">
            <v>0</v>
          </cell>
          <cell r="IU118">
            <v>0</v>
          </cell>
          <cell r="IV118">
            <v>0</v>
          </cell>
          <cell r="IW118">
            <v>0</v>
          </cell>
          <cell r="IX118">
            <v>0</v>
          </cell>
          <cell r="IY118">
            <v>0</v>
          </cell>
          <cell r="IZ118">
            <v>0</v>
          </cell>
          <cell r="JA118">
            <v>0</v>
          </cell>
        </row>
        <row r="119">
          <cell r="C119">
            <v>0</v>
          </cell>
        </row>
        <row r="122">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6">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cell r="EQ126">
            <v>0</v>
          </cell>
          <cell r="ER126">
            <v>0</v>
          </cell>
          <cell r="ES126">
            <v>0</v>
          </cell>
          <cell r="ET126">
            <v>0</v>
          </cell>
          <cell r="EU126">
            <v>0</v>
          </cell>
          <cell r="EV126">
            <v>0</v>
          </cell>
          <cell r="EW126">
            <v>0</v>
          </cell>
          <cell r="EX126">
            <v>0</v>
          </cell>
          <cell r="EY126">
            <v>0</v>
          </cell>
          <cell r="EZ126">
            <v>0</v>
          </cell>
          <cell r="FA126">
            <v>0</v>
          </cell>
          <cell r="FB126">
            <v>0</v>
          </cell>
          <cell r="FC126">
            <v>0</v>
          </cell>
          <cell r="FD126">
            <v>0</v>
          </cell>
          <cell r="FE126">
            <v>0</v>
          </cell>
          <cell r="FF126">
            <v>0</v>
          </cell>
          <cell r="FG126">
            <v>0</v>
          </cell>
          <cell r="FH126">
            <v>0</v>
          </cell>
          <cell r="FI126">
            <v>0</v>
          </cell>
          <cell r="FJ126">
            <v>0</v>
          </cell>
          <cell r="FK126">
            <v>0</v>
          </cell>
          <cell r="FL126">
            <v>0</v>
          </cell>
          <cell r="FM126">
            <v>0</v>
          </cell>
          <cell r="FN126">
            <v>0</v>
          </cell>
          <cell r="FO126">
            <v>0</v>
          </cell>
          <cell r="FP126">
            <v>0</v>
          </cell>
          <cell r="FQ126">
            <v>0</v>
          </cell>
          <cell r="FR126">
            <v>0</v>
          </cell>
          <cell r="FS126">
            <v>0</v>
          </cell>
          <cell r="FT126">
            <v>0</v>
          </cell>
          <cell r="FU126">
            <v>0</v>
          </cell>
          <cell r="FV126">
            <v>0</v>
          </cell>
          <cell r="FW126">
            <v>0</v>
          </cell>
          <cell r="FX126">
            <v>0</v>
          </cell>
          <cell r="FY126">
            <v>0</v>
          </cell>
          <cell r="FZ126">
            <v>0</v>
          </cell>
          <cell r="GA126">
            <v>0</v>
          </cell>
          <cell r="GB126">
            <v>0</v>
          </cell>
          <cell r="GC126">
            <v>0</v>
          </cell>
          <cell r="GD126">
            <v>0</v>
          </cell>
          <cell r="GE126">
            <v>0</v>
          </cell>
          <cell r="GF126">
            <v>0</v>
          </cell>
          <cell r="GG126">
            <v>0</v>
          </cell>
          <cell r="GH126">
            <v>0</v>
          </cell>
          <cell r="GI126">
            <v>0</v>
          </cell>
          <cell r="GJ126">
            <v>0</v>
          </cell>
          <cell r="GK126">
            <v>0</v>
          </cell>
          <cell r="GL126">
            <v>0</v>
          </cell>
          <cell r="GM126">
            <v>0</v>
          </cell>
          <cell r="GN126">
            <v>0</v>
          </cell>
          <cell r="GO126">
            <v>0</v>
          </cell>
          <cell r="GP126">
            <v>0</v>
          </cell>
          <cell r="GQ126">
            <v>0</v>
          </cell>
          <cell r="GR126">
            <v>0</v>
          </cell>
          <cell r="GS126">
            <v>0</v>
          </cell>
          <cell r="GT126">
            <v>0</v>
          </cell>
          <cell r="GU126">
            <v>0</v>
          </cell>
          <cell r="GV126">
            <v>0</v>
          </cell>
          <cell r="GW126">
            <v>0</v>
          </cell>
          <cell r="GX126">
            <v>0</v>
          </cell>
          <cell r="GY126">
            <v>0</v>
          </cell>
          <cell r="GZ126">
            <v>0</v>
          </cell>
          <cell r="HA126">
            <v>0</v>
          </cell>
          <cell r="HB126">
            <v>0</v>
          </cell>
          <cell r="HC126">
            <v>0</v>
          </cell>
          <cell r="HD126">
            <v>0</v>
          </cell>
          <cell r="HE126">
            <v>0</v>
          </cell>
          <cell r="HF126">
            <v>0</v>
          </cell>
          <cell r="HG126">
            <v>0</v>
          </cell>
          <cell r="HH126">
            <v>0</v>
          </cell>
          <cell r="HI126">
            <v>0</v>
          </cell>
          <cell r="HJ126">
            <v>0</v>
          </cell>
          <cell r="HK126">
            <v>0</v>
          </cell>
          <cell r="HL126">
            <v>0</v>
          </cell>
          <cell r="HM126">
            <v>0</v>
          </cell>
          <cell r="HN126">
            <v>0</v>
          </cell>
          <cell r="HO126">
            <v>0</v>
          </cell>
          <cell r="HP126">
            <v>0</v>
          </cell>
          <cell r="HQ126">
            <v>0</v>
          </cell>
          <cell r="HR126">
            <v>0</v>
          </cell>
          <cell r="HS126">
            <v>0</v>
          </cell>
          <cell r="HT126">
            <v>0</v>
          </cell>
          <cell r="HU126">
            <v>0</v>
          </cell>
          <cell r="HV126">
            <v>0</v>
          </cell>
          <cell r="HW126">
            <v>0</v>
          </cell>
          <cell r="HX126">
            <v>0</v>
          </cell>
          <cell r="HY126">
            <v>0</v>
          </cell>
          <cell r="HZ126">
            <v>0</v>
          </cell>
          <cell r="IA126">
            <v>0</v>
          </cell>
          <cell r="IB126">
            <v>0</v>
          </cell>
          <cell r="IC126">
            <v>0</v>
          </cell>
          <cell r="ID126">
            <v>0</v>
          </cell>
          <cell r="IE126">
            <v>0</v>
          </cell>
          <cell r="IF126">
            <v>0</v>
          </cell>
          <cell r="IG126">
            <v>0</v>
          </cell>
          <cell r="IH126">
            <v>0</v>
          </cell>
          <cell r="II126">
            <v>0</v>
          </cell>
          <cell r="IJ126">
            <v>0</v>
          </cell>
          <cell r="IK126">
            <v>0</v>
          </cell>
          <cell r="IL126">
            <v>0</v>
          </cell>
          <cell r="IM126">
            <v>0</v>
          </cell>
          <cell r="IN126">
            <v>0</v>
          </cell>
          <cell r="IO126">
            <v>0</v>
          </cell>
          <cell r="IP126">
            <v>0</v>
          </cell>
          <cell r="IQ126">
            <v>0</v>
          </cell>
          <cell r="IR126">
            <v>0</v>
          </cell>
          <cell r="IS126">
            <v>0</v>
          </cell>
          <cell r="IT126">
            <v>0</v>
          </cell>
          <cell r="IU126">
            <v>0</v>
          </cell>
          <cell r="IV126">
            <v>0</v>
          </cell>
          <cell r="IW126">
            <v>0</v>
          </cell>
          <cell r="IX126">
            <v>0</v>
          </cell>
          <cell r="IY126">
            <v>0</v>
          </cell>
          <cell r="IZ126">
            <v>0</v>
          </cell>
          <cell r="JA126">
            <v>0</v>
          </cell>
        </row>
        <row r="130">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61">
          <cell r="C161">
            <v>1</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cell r="BM161">
            <v>0</v>
          </cell>
          <cell r="BN161">
            <v>0</v>
          </cell>
          <cell r="BO161">
            <v>0</v>
          </cell>
          <cell r="BP161">
            <v>0</v>
          </cell>
          <cell r="BQ161">
            <v>0</v>
          </cell>
          <cell r="BR161">
            <v>0</v>
          </cell>
          <cell r="BS161">
            <v>0</v>
          </cell>
          <cell r="BT161">
            <v>0</v>
          </cell>
          <cell r="BU161">
            <v>0</v>
          </cell>
          <cell r="BV161">
            <v>0</v>
          </cell>
          <cell r="BW161">
            <v>0</v>
          </cell>
          <cell r="BX161">
            <v>0</v>
          </cell>
          <cell r="BY161">
            <v>0</v>
          </cell>
          <cell r="BZ161">
            <v>0</v>
          </cell>
          <cell r="CA161">
            <v>0</v>
          </cell>
          <cell r="CB161">
            <v>0</v>
          </cell>
          <cell r="CC161">
            <v>0</v>
          </cell>
          <cell r="CD161">
            <v>0</v>
          </cell>
          <cell r="CE161">
            <v>0</v>
          </cell>
          <cell r="CF161">
            <v>0</v>
          </cell>
          <cell r="CG161">
            <v>0</v>
          </cell>
          <cell r="CH161">
            <v>0</v>
          </cell>
          <cell r="CI161">
            <v>0</v>
          </cell>
          <cell r="CJ161">
            <v>0</v>
          </cell>
          <cell r="CK161">
            <v>0</v>
          </cell>
          <cell r="CL161">
            <v>0</v>
          </cell>
          <cell r="CM161">
            <v>0</v>
          </cell>
          <cell r="CN161">
            <v>0</v>
          </cell>
          <cell r="CO161">
            <v>0</v>
          </cell>
          <cell r="CP161">
            <v>0</v>
          </cell>
          <cell r="CQ161">
            <v>0</v>
          </cell>
          <cell r="CR161">
            <v>0</v>
          </cell>
          <cell r="CS161">
            <v>0</v>
          </cell>
          <cell r="CT161">
            <v>0</v>
          </cell>
          <cell r="CU161">
            <v>0</v>
          </cell>
          <cell r="CV161">
            <v>0</v>
          </cell>
          <cell r="CW161">
            <v>0</v>
          </cell>
          <cell r="CX161">
            <v>0</v>
          </cell>
          <cell r="CY161">
            <v>0</v>
          </cell>
          <cell r="CZ161">
            <v>0</v>
          </cell>
          <cell r="DA161">
            <v>0</v>
          </cell>
          <cell r="DB161">
            <v>0</v>
          </cell>
          <cell r="DC161">
            <v>0</v>
          </cell>
          <cell r="DD161">
            <v>0</v>
          </cell>
          <cell r="DE161">
            <v>0</v>
          </cell>
          <cell r="DF161">
            <v>0</v>
          </cell>
          <cell r="DG161">
            <v>0</v>
          </cell>
          <cell r="DH161">
            <v>0</v>
          </cell>
          <cell r="DI161">
            <v>0</v>
          </cell>
          <cell r="DJ161">
            <v>0</v>
          </cell>
          <cell r="DK161">
            <v>0</v>
          </cell>
          <cell r="DL161">
            <v>0</v>
          </cell>
          <cell r="DM161">
            <v>0</v>
          </cell>
          <cell r="DN161">
            <v>0</v>
          </cell>
          <cell r="DO161">
            <v>0</v>
          </cell>
          <cell r="DP161">
            <v>0</v>
          </cell>
          <cell r="DQ161">
            <v>0</v>
          </cell>
          <cell r="DR161">
            <v>0</v>
          </cell>
          <cell r="DS161">
            <v>0</v>
          </cell>
          <cell r="DT161">
            <v>0</v>
          </cell>
          <cell r="DU161">
            <v>0</v>
          </cell>
          <cell r="DV161">
            <v>0</v>
          </cell>
          <cell r="DW161">
            <v>0</v>
          </cell>
          <cell r="DX161">
            <v>0</v>
          </cell>
          <cell r="DY161">
            <v>0</v>
          </cell>
          <cell r="DZ161">
            <v>0</v>
          </cell>
          <cell r="EA161">
            <v>0</v>
          </cell>
          <cell r="EB161">
            <v>0</v>
          </cell>
          <cell r="EC161">
            <v>0</v>
          </cell>
          <cell r="ED161">
            <v>0</v>
          </cell>
          <cell r="EE161">
            <v>0</v>
          </cell>
          <cell r="EF161">
            <v>0</v>
          </cell>
          <cell r="EG161">
            <v>0</v>
          </cell>
          <cell r="EH161">
            <v>0</v>
          </cell>
          <cell r="EI161">
            <v>0</v>
          </cell>
          <cell r="EJ161">
            <v>0</v>
          </cell>
          <cell r="EK161">
            <v>0</v>
          </cell>
          <cell r="EL161">
            <v>0</v>
          </cell>
          <cell r="EM161">
            <v>0</v>
          </cell>
          <cell r="EN161">
            <v>0</v>
          </cell>
          <cell r="EO161">
            <v>0</v>
          </cell>
          <cell r="EP161">
            <v>0</v>
          </cell>
          <cell r="EQ161">
            <v>0</v>
          </cell>
          <cell r="ER161">
            <v>0</v>
          </cell>
          <cell r="ES161">
            <v>0</v>
          </cell>
          <cell r="ET161">
            <v>0</v>
          </cell>
          <cell r="EU161">
            <v>0</v>
          </cell>
          <cell r="EV161">
            <v>0</v>
          </cell>
          <cell r="EW161">
            <v>0</v>
          </cell>
          <cell r="EX161">
            <v>0</v>
          </cell>
          <cell r="EY161">
            <v>0</v>
          </cell>
          <cell r="EZ161">
            <v>0</v>
          </cell>
          <cell r="FA161">
            <v>0</v>
          </cell>
          <cell r="FB161">
            <v>0</v>
          </cell>
          <cell r="FC161">
            <v>0</v>
          </cell>
          <cell r="FD161">
            <v>0</v>
          </cell>
          <cell r="FE161">
            <v>0</v>
          </cell>
          <cell r="FF161">
            <v>0</v>
          </cell>
          <cell r="FG161">
            <v>0</v>
          </cell>
          <cell r="FH161">
            <v>0</v>
          </cell>
          <cell r="FI161">
            <v>0</v>
          </cell>
          <cell r="FJ161">
            <v>0</v>
          </cell>
          <cell r="FK161">
            <v>0</v>
          </cell>
          <cell r="FL161">
            <v>0</v>
          </cell>
          <cell r="FM161">
            <v>0</v>
          </cell>
          <cell r="FN161">
            <v>0</v>
          </cell>
          <cell r="FO161">
            <v>0</v>
          </cell>
          <cell r="FP161">
            <v>0</v>
          </cell>
          <cell r="FQ161">
            <v>0</v>
          </cell>
          <cell r="FR161">
            <v>0</v>
          </cell>
          <cell r="FS161">
            <v>0</v>
          </cell>
          <cell r="FT161">
            <v>0</v>
          </cell>
          <cell r="FU161">
            <v>0</v>
          </cell>
          <cell r="FV161">
            <v>0</v>
          </cell>
          <cell r="FW161">
            <v>0</v>
          </cell>
          <cell r="FX161">
            <v>0</v>
          </cell>
          <cell r="FY161">
            <v>0</v>
          </cell>
          <cell r="FZ161">
            <v>0</v>
          </cell>
          <cell r="GA161">
            <v>0</v>
          </cell>
          <cell r="GB161">
            <v>0</v>
          </cell>
          <cell r="GC161">
            <v>0</v>
          </cell>
          <cell r="GD161">
            <v>0</v>
          </cell>
          <cell r="GE161">
            <v>0</v>
          </cell>
          <cell r="GF161">
            <v>0</v>
          </cell>
          <cell r="GG161">
            <v>0</v>
          </cell>
          <cell r="GH161">
            <v>0</v>
          </cell>
          <cell r="GI161">
            <v>0</v>
          </cell>
          <cell r="GJ161">
            <v>0</v>
          </cell>
          <cell r="GK161">
            <v>0</v>
          </cell>
          <cell r="GL161">
            <v>0</v>
          </cell>
          <cell r="GM161">
            <v>0</v>
          </cell>
          <cell r="GN161">
            <v>0</v>
          </cell>
          <cell r="GO161">
            <v>0</v>
          </cell>
          <cell r="GP161">
            <v>0</v>
          </cell>
          <cell r="GQ161">
            <v>0</v>
          </cell>
          <cell r="GR161">
            <v>0</v>
          </cell>
          <cell r="GS161">
            <v>0</v>
          </cell>
          <cell r="GT161">
            <v>0</v>
          </cell>
          <cell r="GU161">
            <v>0</v>
          </cell>
          <cell r="GV161">
            <v>0</v>
          </cell>
          <cell r="GW161">
            <v>0</v>
          </cell>
          <cell r="GX161">
            <v>0</v>
          </cell>
          <cell r="GY161">
            <v>0</v>
          </cell>
          <cell r="GZ161">
            <v>0</v>
          </cell>
          <cell r="HA161">
            <v>0</v>
          </cell>
          <cell r="HB161">
            <v>0</v>
          </cell>
          <cell r="HC161">
            <v>0</v>
          </cell>
          <cell r="HD161">
            <v>0</v>
          </cell>
          <cell r="HE161">
            <v>0</v>
          </cell>
          <cell r="HF161">
            <v>0</v>
          </cell>
          <cell r="HG161">
            <v>0</v>
          </cell>
          <cell r="HH161">
            <v>0</v>
          </cell>
          <cell r="HI161">
            <v>0</v>
          </cell>
          <cell r="HJ161">
            <v>0</v>
          </cell>
          <cell r="HK161">
            <v>0</v>
          </cell>
          <cell r="HL161">
            <v>0</v>
          </cell>
          <cell r="HM161">
            <v>0</v>
          </cell>
          <cell r="HN161">
            <v>0</v>
          </cell>
          <cell r="HO161">
            <v>0</v>
          </cell>
          <cell r="HP161">
            <v>0</v>
          </cell>
          <cell r="HQ161">
            <v>0</v>
          </cell>
          <cell r="HR161">
            <v>0</v>
          </cell>
          <cell r="HS161">
            <v>0</v>
          </cell>
          <cell r="HT161">
            <v>0</v>
          </cell>
          <cell r="HU161">
            <v>0</v>
          </cell>
          <cell r="HV161">
            <v>0</v>
          </cell>
          <cell r="HW161">
            <v>0</v>
          </cell>
          <cell r="HX161">
            <v>0</v>
          </cell>
          <cell r="HY161">
            <v>0</v>
          </cell>
          <cell r="HZ161">
            <v>0</v>
          </cell>
          <cell r="IA161">
            <v>0</v>
          </cell>
          <cell r="IB161">
            <v>0</v>
          </cell>
          <cell r="IC161">
            <v>0</v>
          </cell>
          <cell r="ID161">
            <v>0</v>
          </cell>
          <cell r="IE161">
            <v>0</v>
          </cell>
          <cell r="IF161">
            <v>0</v>
          </cell>
          <cell r="IG161">
            <v>0</v>
          </cell>
          <cell r="IH161">
            <v>0</v>
          </cell>
          <cell r="II161">
            <v>0</v>
          </cell>
          <cell r="IJ161">
            <v>0</v>
          </cell>
          <cell r="IK161">
            <v>0</v>
          </cell>
          <cell r="IL161">
            <v>0</v>
          </cell>
          <cell r="IM161">
            <v>0</v>
          </cell>
          <cell r="IN161">
            <v>0</v>
          </cell>
          <cell r="IO161">
            <v>0</v>
          </cell>
          <cell r="IP161">
            <v>0</v>
          </cell>
          <cell r="IQ161">
            <v>0</v>
          </cell>
          <cell r="IR161">
            <v>0</v>
          </cell>
          <cell r="IS161">
            <v>0</v>
          </cell>
          <cell r="IT161">
            <v>0</v>
          </cell>
          <cell r="IU161">
            <v>0</v>
          </cell>
          <cell r="IV161">
            <v>0</v>
          </cell>
          <cell r="IW161">
            <v>0</v>
          </cell>
          <cell r="IX161">
            <v>0</v>
          </cell>
          <cell r="IY161">
            <v>0</v>
          </cell>
          <cell r="IZ161">
            <v>0</v>
          </cell>
          <cell r="JA161">
            <v>0</v>
          </cell>
        </row>
        <row r="162">
          <cell r="C162">
            <v>0</v>
          </cell>
        </row>
        <row r="165">
          <cell r="L165">
            <v>6.53</v>
          </cell>
          <cell r="M165">
            <v>6.66</v>
          </cell>
          <cell r="N165">
            <v>6.8</v>
          </cell>
          <cell r="O165">
            <v>5</v>
          </cell>
          <cell r="P165">
            <v>5.0999999999999996</v>
          </cell>
          <cell r="Q165">
            <v>5.202</v>
          </cell>
          <cell r="R165">
            <v>5.3060400000000003</v>
          </cell>
          <cell r="S165">
            <v>5.4121610000000002</v>
          </cell>
          <cell r="T165">
            <v>5.5204040000000001</v>
          </cell>
          <cell r="U165">
            <v>5.6308119999999997</v>
          </cell>
          <cell r="V165">
            <v>5.7434279999999998</v>
          </cell>
          <cell r="W165">
            <v>5.8582970000000003</v>
          </cell>
          <cell r="X165">
            <v>5.9754620000000003</v>
          </cell>
          <cell r="Y165">
            <v>6.0949720000000003</v>
          </cell>
          <cell r="Z165">
            <v>6.2168720000000004</v>
          </cell>
          <cell r="AA165">
            <v>6.3412090000000001</v>
          </cell>
          <cell r="AB165">
            <v>6.4680330000000001</v>
          </cell>
          <cell r="AC165">
            <v>6.5973940000000004</v>
          </cell>
          <cell r="AD165">
            <v>6.7293419999999999</v>
          </cell>
          <cell r="AE165">
            <v>6.8639289999999997</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70">
          <cell r="I170">
            <v>0.05</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C171">
            <v>1</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C172">
            <v>0</v>
          </cell>
        </row>
        <row r="212">
          <cell r="C212">
            <v>1</v>
          </cell>
          <cell r="L212">
            <v>0</v>
          </cell>
          <cell r="M212">
            <v>0</v>
          </cell>
          <cell r="N212">
            <v>0</v>
          </cell>
          <cell r="O212">
            <v>11.964463</v>
          </cell>
          <cell r="P212">
            <v>14.114901</v>
          </cell>
          <cell r="Q212">
            <v>14.397199000000001</v>
          </cell>
          <cell r="R212">
            <v>14.685142000000001</v>
          </cell>
          <cell r="S212">
            <v>14.978845</v>
          </cell>
          <cell r="T212">
            <v>15.278423</v>
          </cell>
          <cell r="U212">
            <v>15.583990999999999</v>
          </cell>
          <cell r="V212">
            <v>15.895671</v>
          </cell>
          <cell r="W212">
            <v>16.213584999999998</v>
          </cell>
          <cell r="X212">
            <v>16.537855</v>
          </cell>
          <cell r="Y212">
            <v>16.868613</v>
          </cell>
          <cell r="Z212">
            <v>16.542335999999999</v>
          </cell>
          <cell r="AA212">
            <v>15.791589999999999</v>
          </cell>
          <cell r="AB212">
            <v>15.010325999999999</v>
          </cell>
          <cell r="AC212">
            <v>14.197702</v>
          </cell>
          <cell r="AD212">
            <v>13.456065000000001</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0</v>
          </cell>
          <cell r="BU212">
            <v>0</v>
          </cell>
          <cell r="BV212">
            <v>0</v>
          </cell>
          <cell r="BW212">
            <v>0</v>
          </cell>
          <cell r="BX212">
            <v>0</v>
          </cell>
          <cell r="BY212">
            <v>0</v>
          </cell>
          <cell r="BZ212">
            <v>0</v>
          </cell>
          <cell r="CA212">
            <v>0</v>
          </cell>
          <cell r="CB212">
            <v>0</v>
          </cell>
          <cell r="CC212">
            <v>0</v>
          </cell>
          <cell r="CD212">
            <v>0</v>
          </cell>
          <cell r="CE212">
            <v>0</v>
          </cell>
          <cell r="CF212">
            <v>0</v>
          </cell>
          <cell r="CG212">
            <v>0</v>
          </cell>
          <cell r="CH212">
            <v>0</v>
          </cell>
          <cell r="CI212">
            <v>0</v>
          </cell>
          <cell r="CJ212">
            <v>0</v>
          </cell>
          <cell r="CK212">
            <v>0</v>
          </cell>
          <cell r="CL212">
            <v>0</v>
          </cell>
          <cell r="CM212">
            <v>0</v>
          </cell>
          <cell r="CN212">
            <v>0</v>
          </cell>
          <cell r="CO212">
            <v>0</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cell r="DJ212">
            <v>0</v>
          </cell>
          <cell r="DK212">
            <v>0</v>
          </cell>
          <cell r="DL212">
            <v>0</v>
          </cell>
          <cell r="DM212">
            <v>0</v>
          </cell>
          <cell r="DN212">
            <v>0</v>
          </cell>
          <cell r="DO212">
            <v>0</v>
          </cell>
          <cell r="DP212">
            <v>0</v>
          </cell>
          <cell r="DQ212">
            <v>0</v>
          </cell>
          <cell r="DR212">
            <v>0</v>
          </cell>
          <cell r="DS212">
            <v>0</v>
          </cell>
          <cell r="DT212">
            <v>0</v>
          </cell>
          <cell r="DU212">
            <v>0</v>
          </cell>
          <cell r="DV212">
            <v>0</v>
          </cell>
          <cell r="DW212">
            <v>0</v>
          </cell>
          <cell r="DX212">
            <v>0</v>
          </cell>
          <cell r="DY212">
            <v>0</v>
          </cell>
          <cell r="DZ212">
            <v>0</v>
          </cell>
          <cell r="EA212">
            <v>0</v>
          </cell>
          <cell r="EB212">
            <v>0</v>
          </cell>
          <cell r="EC212">
            <v>0</v>
          </cell>
          <cell r="ED212">
            <v>0</v>
          </cell>
          <cell r="EE212">
            <v>0</v>
          </cell>
          <cell r="EF212">
            <v>0</v>
          </cell>
          <cell r="EG212">
            <v>0</v>
          </cell>
          <cell r="EH212">
            <v>0</v>
          </cell>
          <cell r="EI212">
            <v>0</v>
          </cell>
          <cell r="EJ212">
            <v>0</v>
          </cell>
          <cell r="EK212">
            <v>0</v>
          </cell>
          <cell r="EL212">
            <v>0</v>
          </cell>
          <cell r="EM212">
            <v>0</v>
          </cell>
          <cell r="EN212">
            <v>0</v>
          </cell>
          <cell r="EO212">
            <v>0</v>
          </cell>
          <cell r="EP212">
            <v>0</v>
          </cell>
          <cell r="EQ212">
            <v>0</v>
          </cell>
          <cell r="ER212">
            <v>0</v>
          </cell>
          <cell r="ES212">
            <v>0</v>
          </cell>
          <cell r="ET212">
            <v>0</v>
          </cell>
          <cell r="EU212">
            <v>0</v>
          </cell>
          <cell r="EV212">
            <v>0</v>
          </cell>
          <cell r="EW212">
            <v>0</v>
          </cell>
          <cell r="EX212">
            <v>0</v>
          </cell>
          <cell r="EY212">
            <v>0</v>
          </cell>
          <cell r="EZ212">
            <v>0</v>
          </cell>
          <cell r="FA212">
            <v>0</v>
          </cell>
          <cell r="FB212">
            <v>0</v>
          </cell>
          <cell r="FC212">
            <v>0</v>
          </cell>
          <cell r="FD212">
            <v>0</v>
          </cell>
          <cell r="FE212">
            <v>0</v>
          </cell>
          <cell r="FF212">
            <v>0</v>
          </cell>
          <cell r="FG212">
            <v>0</v>
          </cell>
          <cell r="FH212">
            <v>0</v>
          </cell>
          <cell r="FI212">
            <v>0</v>
          </cell>
          <cell r="FJ212">
            <v>0</v>
          </cell>
          <cell r="FK212">
            <v>0</v>
          </cell>
          <cell r="FL212">
            <v>0</v>
          </cell>
          <cell r="FM212">
            <v>0</v>
          </cell>
          <cell r="FN212">
            <v>0</v>
          </cell>
          <cell r="FO212">
            <v>0</v>
          </cell>
          <cell r="FP212">
            <v>0</v>
          </cell>
          <cell r="FQ212">
            <v>0</v>
          </cell>
          <cell r="FR212">
            <v>0</v>
          </cell>
          <cell r="FS212">
            <v>0</v>
          </cell>
          <cell r="FT212">
            <v>0</v>
          </cell>
          <cell r="FU212">
            <v>0</v>
          </cell>
          <cell r="FV212">
            <v>0</v>
          </cell>
          <cell r="FW212">
            <v>0</v>
          </cell>
          <cell r="FX212">
            <v>0</v>
          </cell>
          <cell r="FY212">
            <v>0</v>
          </cell>
          <cell r="FZ212">
            <v>0</v>
          </cell>
          <cell r="GA212">
            <v>0</v>
          </cell>
          <cell r="GB212">
            <v>0</v>
          </cell>
          <cell r="GC212">
            <v>0</v>
          </cell>
          <cell r="GD212">
            <v>0</v>
          </cell>
          <cell r="GE212">
            <v>0</v>
          </cell>
          <cell r="GF212">
            <v>0</v>
          </cell>
          <cell r="GG212">
            <v>0</v>
          </cell>
          <cell r="GH212">
            <v>0</v>
          </cell>
          <cell r="GI212">
            <v>0</v>
          </cell>
          <cell r="GJ212">
            <v>0</v>
          </cell>
          <cell r="GK212">
            <v>0</v>
          </cell>
          <cell r="GL212">
            <v>0</v>
          </cell>
          <cell r="GM212">
            <v>0</v>
          </cell>
          <cell r="GN212">
            <v>0</v>
          </cell>
          <cell r="GO212">
            <v>0</v>
          </cell>
          <cell r="GP212">
            <v>0</v>
          </cell>
          <cell r="GQ212">
            <v>0</v>
          </cell>
          <cell r="GR212">
            <v>0</v>
          </cell>
          <cell r="GS212">
            <v>0</v>
          </cell>
          <cell r="GT212">
            <v>0</v>
          </cell>
          <cell r="GU212">
            <v>0</v>
          </cell>
          <cell r="GV212">
            <v>0</v>
          </cell>
          <cell r="GW212">
            <v>0</v>
          </cell>
          <cell r="GX212">
            <v>0</v>
          </cell>
          <cell r="GY212">
            <v>0</v>
          </cell>
          <cell r="GZ212">
            <v>0</v>
          </cell>
          <cell r="HA212">
            <v>0</v>
          </cell>
          <cell r="HB212">
            <v>0</v>
          </cell>
          <cell r="HC212">
            <v>0</v>
          </cell>
          <cell r="HD212">
            <v>0</v>
          </cell>
          <cell r="HE212">
            <v>0</v>
          </cell>
          <cell r="HF212">
            <v>0</v>
          </cell>
          <cell r="HG212">
            <v>0</v>
          </cell>
          <cell r="HH212">
            <v>0</v>
          </cell>
          <cell r="HI212">
            <v>0</v>
          </cell>
          <cell r="HJ212">
            <v>0</v>
          </cell>
          <cell r="HK212">
            <v>0</v>
          </cell>
          <cell r="HL212">
            <v>0</v>
          </cell>
          <cell r="HM212">
            <v>0</v>
          </cell>
          <cell r="HN212">
            <v>0</v>
          </cell>
          <cell r="HO212">
            <v>0</v>
          </cell>
          <cell r="HP212">
            <v>0</v>
          </cell>
          <cell r="HQ212">
            <v>0</v>
          </cell>
          <cell r="HR212">
            <v>0</v>
          </cell>
          <cell r="HS212">
            <v>0</v>
          </cell>
          <cell r="HT212">
            <v>0</v>
          </cell>
          <cell r="HU212">
            <v>0</v>
          </cell>
          <cell r="HV212">
            <v>0</v>
          </cell>
          <cell r="HW212">
            <v>0</v>
          </cell>
          <cell r="HX212">
            <v>0</v>
          </cell>
          <cell r="HY212">
            <v>0</v>
          </cell>
          <cell r="HZ212">
            <v>0</v>
          </cell>
          <cell r="IA212">
            <v>0</v>
          </cell>
          <cell r="IB212">
            <v>0</v>
          </cell>
          <cell r="IC212">
            <v>0</v>
          </cell>
          <cell r="ID212">
            <v>0</v>
          </cell>
          <cell r="IE212">
            <v>0</v>
          </cell>
          <cell r="IF212">
            <v>0</v>
          </cell>
          <cell r="IG212">
            <v>0</v>
          </cell>
          <cell r="IH212">
            <v>0</v>
          </cell>
          <cell r="II212">
            <v>0</v>
          </cell>
          <cell r="IJ212">
            <v>0</v>
          </cell>
          <cell r="IK212">
            <v>0</v>
          </cell>
          <cell r="IL212">
            <v>0</v>
          </cell>
          <cell r="IM212">
            <v>0</v>
          </cell>
          <cell r="IN212">
            <v>0</v>
          </cell>
          <cell r="IO212">
            <v>0</v>
          </cell>
          <cell r="IP212">
            <v>0</v>
          </cell>
          <cell r="IQ212">
            <v>0</v>
          </cell>
          <cell r="IR212">
            <v>0</v>
          </cell>
          <cell r="IS212">
            <v>0</v>
          </cell>
          <cell r="IT212">
            <v>0</v>
          </cell>
          <cell r="IU212">
            <v>0</v>
          </cell>
          <cell r="IV212">
            <v>0</v>
          </cell>
          <cell r="IW212">
            <v>0</v>
          </cell>
          <cell r="IX212">
            <v>0</v>
          </cell>
          <cell r="IY212">
            <v>0</v>
          </cell>
          <cell r="IZ212">
            <v>0</v>
          </cell>
          <cell r="JA212">
            <v>0</v>
          </cell>
        </row>
        <row r="215">
          <cell r="B215">
            <v>0</v>
          </cell>
        </row>
        <row r="216">
          <cell r="C216">
            <v>1</v>
          </cell>
        </row>
        <row r="220">
          <cell r="C220">
            <v>1</v>
          </cell>
          <cell r="L220">
            <v>0</v>
          </cell>
          <cell r="M220">
            <v>0</v>
          </cell>
          <cell r="N220">
            <v>0</v>
          </cell>
          <cell r="O220">
            <v>5.7149999999999996E-3</v>
          </cell>
          <cell r="P220">
            <v>0.40626800000000002</v>
          </cell>
          <cell r="Q220">
            <v>0.43909199999999998</v>
          </cell>
          <cell r="R220">
            <v>0.44787399999999999</v>
          </cell>
          <cell r="S220">
            <v>0.45683099999999999</v>
          </cell>
          <cell r="T220">
            <v>0.46596799999999999</v>
          </cell>
          <cell r="U220">
            <v>0.47528700000000002</v>
          </cell>
          <cell r="V220">
            <v>0.48479299999999997</v>
          </cell>
          <cell r="W220">
            <v>0.49448900000000001</v>
          </cell>
          <cell r="X220">
            <v>0.50409599999999999</v>
          </cell>
          <cell r="Y220">
            <v>0.51130699999999996</v>
          </cell>
          <cell r="Z220">
            <v>0.51861999999999997</v>
          </cell>
          <cell r="AA220">
            <v>0.52608900000000003</v>
          </cell>
          <cell r="AB220">
            <v>0.53362699999999996</v>
          </cell>
          <cell r="AC220">
            <v>0.54128100000000001</v>
          </cell>
          <cell r="AD220">
            <v>0.49884800000000001</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cell r="BM220">
            <v>0</v>
          </cell>
          <cell r="BN220">
            <v>0</v>
          </cell>
          <cell r="BO220">
            <v>0</v>
          </cell>
          <cell r="BP220">
            <v>0</v>
          </cell>
          <cell r="BQ220">
            <v>0</v>
          </cell>
          <cell r="BR220">
            <v>0</v>
          </cell>
          <cell r="BS220">
            <v>0</v>
          </cell>
          <cell r="BT220">
            <v>0</v>
          </cell>
          <cell r="BU220">
            <v>0</v>
          </cell>
          <cell r="BV220">
            <v>0</v>
          </cell>
          <cell r="BW220">
            <v>0</v>
          </cell>
          <cell r="BX220">
            <v>0</v>
          </cell>
          <cell r="BY220">
            <v>0</v>
          </cell>
          <cell r="BZ220">
            <v>0</v>
          </cell>
          <cell r="CA220">
            <v>0</v>
          </cell>
          <cell r="CB220">
            <v>0</v>
          </cell>
          <cell r="CC220">
            <v>0</v>
          </cell>
          <cell r="CD220">
            <v>0</v>
          </cell>
          <cell r="CE220">
            <v>0</v>
          </cell>
          <cell r="CF220">
            <v>0</v>
          </cell>
          <cell r="CG220">
            <v>0</v>
          </cell>
          <cell r="CH220">
            <v>0</v>
          </cell>
          <cell r="CI220">
            <v>0</v>
          </cell>
          <cell r="CJ220">
            <v>0</v>
          </cell>
          <cell r="CK220">
            <v>0</v>
          </cell>
          <cell r="CL220">
            <v>0</v>
          </cell>
          <cell r="CM220">
            <v>0</v>
          </cell>
          <cell r="CN220">
            <v>0</v>
          </cell>
          <cell r="CO220">
            <v>0</v>
          </cell>
          <cell r="CP220">
            <v>0</v>
          </cell>
          <cell r="CQ220">
            <v>0</v>
          </cell>
          <cell r="CR220">
            <v>0</v>
          </cell>
          <cell r="CS220">
            <v>0</v>
          </cell>
          <cell r="CT220">
            <v>0</v>
          </cell>
          <cell r="CU220">
            <v>0</v>
          </cell>
          <cell r="CV220">
            <v>0</v>
          </cell>
          <cell r="CW220">
            <v>0</v>
          </cell>
          <cell r="CX220">
            <v>0</v>
          </cell>
          <cell r="CY220">
            <v>0</v>
          </cell>
          <cell r="CZ220">
            <v>0</v>
          </cell>
          <cell r="DA220">
            <v>0</v>
          </cell>
          <cell r="DB220">
            <v>0</v>
          </cell>
          <cell r="DC220">
            <v>0</v>
          </cell>
          <cell r="DD220">
            <v>0</v>
          </cell>
          <cell r="DE220">
            <v>0</v>
          </cell>
          <cell r="DF220">
            <v>0</v>
          </cell>
          <cell r="DG220">
            <v>0</v>
          </cell>
          <cell r="DH220">
            <v>0</v>
          </cell>
          <cell r="DI220">
            <v>0</v>
          </cell>
          <cell r="DJ220">
            <v>0</v>
          </cell>
          <cell r="DK220">
            <v>0</v>
          </cell>
          <cell r="DL220">
            <v>0</v>
          </cell>
          <cell r="DM220">
            <v>0</v>
          </cell>
          <cell r="DN220">
            <v>0</v>
          </cell>
          <cell r="DO220">
            <v>0</v>
          </cell>
          <cell r="DP220">
            <v>0</v>
          </cell>
          <cell r="DQ220">
            <v>0</v>
          </cell>
          <cell r="DR220">
            <v>0</v>
          </cell>
          <cell r="DS220">
            <v>0</v>
          </cell>
          <cell r="DT220">
            <v>0</v>
          </cell>
          <cell r="DU220">
            <v>0</v>
          </cell>
          <cell r="DV220">
            <v>0</v>
          </cell>
          <cell r="DW220">
            <v>0</v>
          </cell>
          <cell r="DX220">
            <v>0</v>
          </cell>
          <cell r="DY220">
            <v>0</v>
          </cell>
          <cell r="DZ220">
            <v>0</v>
          </cell>
          <cell r="EA220">
            <v>0</v>
          </cell>
          <cell r="EB220">
            <v>0</v>
          </cell>
          <cell r="EC220">
            <v>0</v>
          </cell>
          <cell r="ED220">
            <v>0</v>
          </cell>
          <cell r="EE220">
            <v>0</v>
          </cell>
          <cell r="EF220">
            <v>0</v>
          </cell>
          <cell r="EG220">
            <v>0</v>
          </cell>
          <cell r="EH220">
            <v>0</v>
          </cell>
          <cell r="EI220">
            <v>0</v>
          </cell>
          <cell r="EJ220">
            <v>0</v>
          </cell>
          <cell r="EK220">
            <v>0</v>
          </cell>
          <cell r="EL220">
            <v>0</v>
          </cell>
          <cell r="EM220">
            <v>0</v>
          </cell>
          <cell r="EN220">
            <v>0</v>
          </cell>
          <cell r="EO220">
            <v>0</v>
          </cell>
          <cell r="EP220">
            <v>0</v>
          </cell>
          <cell r="EQ220">
            <v>0</v>
          </cell>
          <cell r="ER220">
            <v>0</v>
          </cell>
          <cell r="ES220">
            <v>0</v>
          </cell>
          <cell r="ET220">
            <v>0</v>
          </cell>
          <cell r="EU220">
            <v>0</v>
          </cell>
          <cell r="EV220">
            <v>0</v>
          </cell>
          <cell r="EW220">
            <v>0</v>
          </cell>
          <cell r="EX220">
            <v>0</v>
          </cell>
          <cell r="EY220">
            <v>0</v>
          </cell>
          <cell r="EZ220">
            <v>0</v>
          </cell>
          <cell r="FA220">
            <v>0</v>
          </cell>
          <cell r="FB220">
            <v>0</v>
          </cell>
          <cell r="FC220">
            <v>0</v>
          </cell>
          <cell r="FD220">
            <v>0</v>
          </cell>
          <cell r="FE220">
            <v>0</v>
          </cell>
          <cell r="FF220">
            <v>0</v>
          </cell>
          <cell r="FG220">
            <v>0</v>
          </cell>
          <cell r="FH220">
            <v>0</v>
          </cell>
          <cell r="FI220">
            <v>0</v>
          </cell>
          <cell r="FJ220">
            <v>0</v>
          </cell>
          <cell r="FK220">
            <v>0</v>
          </cell>
          <cell r="FL220">
            <v>0</v>
          </cell>
          <cell r="FM220">
            <v>0</v>
          </cell>
          <cell r="FN220">
            <v>0</v>
          </cell>
          <cell r="FO220">
            <v>0</v>
          </cell>
          <cell r="FP220">
            <v>0</v>
          </cell>
          <cell r="FQ220">
            <v>0</v>
          </cell>
          <cell r="FR220">
            <v>0</v>
          </cell>
          <cell r="FS220">
            <v>0</v>
          </cell>
          <cell r="FT220">
            <v>0</v>
          </cell>
          <cell r="FU220">
            <v>0</v>
          </cell>
          <cell r="FV220">
            <v>0</v>
          </cell>
          <cell r="FW220">
            <v>0</v>
          </cell>
          <cell r="FX220">
            <v>0</v>
          </cell>
          <cell r="FY220">
            <v>0</v>
          </cell>
          <cell r="FZ220">
            <v>0</v>
          </cell>
          <cell r="GA220">
            <v>0</v>
          </cell>
          <cell r="GB220">
            <v>0</v>
          </cell>
          <cell r="GC220">
            <v>0</v>
          </cell>
          <cell r="GD220">
            <v>0</v>
          </cell>
          <cell r="GE220">
            <v>0</v>
          </cell>
          <cell r="GF220">
            <v>0</v>
          </cell>
          <cell r="GG220">
            <v>0</v>
          </cell>
          <cell r="GH220">
            <v>0</v>
          </cell>
          <cell r="GI220">
            <v>0</v>
          </cell>
          <cell r="GJ220">
            <v>0</v>
          </cell>
          <cell r="GK220">
            <v>0</v>
          </cell>
          <cell r="GL220">
            <v>0</v>
          </cell>
          <cell r="GM220">
            <v>0</v>
          </cell>
          <cell r="GN220">
            <v>0</v>
          </cell>
          <cell r="GO220">
            <v>0</v>
          </cell>
          <cell r="GP220">
            <v>0</v>
          </cell>
          <cell r="GQ220">
            <v>0</v>
          </cell>
          <cell r="GR220">
            <v>0</v>
          </cell>
          <cell r="GS220">
            <v>0</v>
          </cell>
          <cell r="GT220">
            <v>0</v>
          </cell>
          <cell r="GU220">
            <v>0</v>
          </cell>
          <cell r="GV220">
            <v>0</v>
          </cell>
          <cell r="GW220">
            <v>0</v>
          </cell>
          <cell r="GX220">
            <v>0</v>
          </cell>
          <cell r="GY220">
            <v>0</v>
          </cell>
          <cell r="GZ220">
            <v>0</v>
          </cell>
          <cell r="HA220">
            <v>0</v>
          </cell>
          <cell r="HB220">
            <v>0</v>
          </cell>
          <cell r="HC220">
            <v>0</v>
          </cell>
          <cell r="HD220">
            <v>0</v>
          </cell>
          <cell r="HE220">
            <v>0</v>
          </cell>
          <cell r="HF220">
            <v>0</v>
          </cell>
          <cell r="HG220">
            <v>0</v>
          </cell>
          <cell r="HH220">
            <v>0</v>
          </cell>
          <cell r="HI220">
            <v>0</v>
          </cell>
          <cell r="HJ220">
            <v>0</v>
          </cell>
          <cell r="HK220">
            <v>0</v>
          </cell>
          <cell r="HL220">
            <v>0</v>
          </cell>
          <cell r="HM220">
            <v>0</v>
          </cell>
          <cell r="HN220">
            <v>0</v>
          </cell>
          <cell r="HO220">
            <v>0</v>
          </cell>
          <cell r="HP220">
            <v>0</v>
          </cell>
          <cell r="HQ220">
            <v>0</v>
          </cell>
          <cell r="HR220">
            <v>0</v>
          </cell>
          <cell r="HS220">
            <v>0</v>
          </cell>
          <cell r="HT220">
            <v>0</v>
          </cell>
          <cell r="HU220">
            <v>0</v>
          </cell>
          <cell r="HV220">
            <v>0</v>
          </cell>
          <cell r="HW220">
            <v>0</v>
          </cell>
          <cell r="HX220">
            <v>0</v>
          </cell>
          <cell r="HY220">
            <v>0</v>
          </cell>
          <cell r="HZ220">
            <v>0</v>
          </cell>
          <cell r="IA220">
            <v>0</v>
          </cell>
          <cell r="IB220">
            <v>0</v>
          </cell>
          <cell r="IC220">
            <v>0</v>
          </cell>
          <cell r="ID220">
            <v>0</v>
          </cell>
          <cell r="IE220">
            <v>0</v>
          </cell>
          <cell r="IF220">
            <v>0</v>
          </cell>
          <cell r="IG220">
            <v>0</v>
          </cell>
          <cell r="IH220">
            <v>0</v>
          </cell>
          <cell r="II220">
            <v>0</v>
          </cell>
          <cell r="IJ220">
            <v>0</v>
          </cell>
          <cell r="IK220">
            <v>0</v>
          </cell>
          <cell r="IL220">
            <v>0</v>
          </cell>
          <cell r="IM220">
            <v>0</v>
          </cell>
          <cell r="IN220">
            <v>0</v>
          </cell>
          <cell r="IO220">
            <v>0</v>
          </cell>
          <cell r="IP220">
            <v>0</v>
          </cell>
          <cell r="IQ220">
            <v>0</v>
          </cell>
          <cell r="IR220">
            <v>0</v>
          </cell>
          <cell r="IS220">
            <v>0</v>
          </cell>
          <cell r="IT220">
            <v>0</v>
          </cell>
          <cell r="IU220">
            <v>0</v>
          </cell>
          <cell r="IV220">
            <v>0</v>
          </cell>
          <cell r="IW220">
            <v>0</v>
          </cell>
          <cell r="IX220">
            <v>0</v>
          </cell>
          <cell r="IY220">
            <v>0</v>
          </cell>
          <cell r="IZ220">
            <v>0</v>
          </cell>
          <cell r="JA220">
            <v>0</v>
          </cell>
        </row>
        <row r="224">
          <cell r="C224">
            <v>1</v>
          </cell>
        </row>
        <row r="228">
          <cell r="C228">
            <v>1</v>
          </cell>
        </row>
        <row r="232">
          <cell r="C232">
            <v>1</v>
          </cell>
        </row>
        <row r="236">
          <cell r="C236">
            <v>1</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40">
          <cell r="C240">
            <v>1</v>
          </cell>
        </row>
        <row r="244">
          <cell r="C244">
            <v>1</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cell r="BM244">
            <v>0</v>
          </cell>
          <cell r="BN244">
            <v>0</v>
          </cell>
          <cell r="BO244">
            <v>0</v>
          </cell>
          <cell r="BP244">
            <v>0</v>
          </cell>
          <cell r="BQ244">
            <v>0</v>
          </cell>
          <cell r="BR244">
            <v>0</v>
          </cell>
          <cell r="BS244">
            <v>0</v>
          </cell>
          <cell r="BT244">
            <v>0</v>
          </cell>
          <cell r="BU244">
            <v>0</v>
          </cell>
          <cell r="BV244">
            <v>0</v>
          </cell>
          <cell r="BW244">
            <v>0</v>
          </cell>
          <cell r="BX244">
            <v>0</v>
          </cell>
          <cell r="BY244">
            <v>0</v>
          </cell>
          <cell r="BZ244">
            <v>0</v>
          </cell>
          <cell r="CA244">
            <v>0</v>
          </cell>
          <cell r="CB244">
            <v>0</v>
          </cell>
          <cell r="CC244">
            <v>0</v>
          </cell>
          <cell r="CD244">
            <v>0</v>
          </cell>
          <cell r="CE244">
            <v>0</v>
          </cell>
          <cell r="CF244">
            <v>0</v>
          </cell>
          <cell r="CG244">
            <v>0</v>
          </cell>
          <cell r="CH244">
            <v>0</v>
          </cell>
          <cell r="CI244">
            <v>0</v>
          </cell>
          <cell r="CJ244">
            <v>0</v>
          </cell>
          <cell r="CK244">
            <v>0</v>
          </cell>
          <cell r="CL244">
            <v>0</v>
          </cell>
          <cell r="CM244">
            <v>0</v>
          </cell>
          <cell r="CN244">
            <v>0</v>
          </cell>
          <cell r="CO244">
            <v>0</v>
          </cell>
          <cell r="CP244">
            <v>0</v>
          </cell>
          <cell r="CQ244">
            <v>0</v>
          </cell>
          <cell r="CR244">
            <v>0</v>
          </cell>
          <cell r="CS244">
            <v>0</v>
          </cell>
          <cell r="CT244">
            <v>0</v>
          </cell>
          <cell r="CU244">
            <v>0</v>
          </cell>
          <cell r="CV244">
            <v>0</v>
          </cell>
          <cell r="CW244">
            <v>0</v>
          </cell>
          <cell r="CX244">
            <v>0</v>
          </cell>
          <cell r="CY244">
            <v>0</v>
          </cell>
          <cell r="CZ244">
            <v>0</v>
          </cell>
          <cell r="DA244">
            <v>0</v>
          </cell>
          <cell r="DB244">
            <v>0</v>
          </cell>
          <cell r="DC244">
            <v>0</v>
          </cell>
          <cell r="DD244">
            <v>0</v>
          </cell>
          <cell r="DE244">
            <v>0</v>
          </cell>
          <cell r="DF244">
            <v>0</v>
          </cell>
          <cell r="DG244">
            <v>0</v>
          </cell>
          <cell r="DH244">
            <v>0</v>
          </cell>
          <cell r="DI244">
            <v>0</v>
          </cell>
          <cell r="DJ244">
            <v>0</v>
          </cell>
          <cell r="DK244">
            <v>0</v>
          </cell>
          <cell r="DL244">
            <v>0</v>
          </cell>
          <cell r="DM244">
            <v>0</v>
          </cell>
          <cell r="DN244">
            <v>0</v>
          </cell>
          <cell r="DO244">
            <v>0</v>
          </cell>
          <cell r="DP244">
            <v>0</v>
          </cell>
          <cell r="DQ244">
            <v>0</v>
          </cell>
          <cell r="DR244">
            <v>0</v>
          </cell>
          <cell r="DS244">
            <v>0</v>
          </cell>
          <cell r="DT244">
            <v>0</v>
          </cell>
          <cell r="DU244">
            <v>0</v>
          </cell>
          <cell r="DV244">
            <v>0</v>
          </cell>
          <cell r="DW244">
            <v>0</v>
          </cell>
          <cell r="DX244">
            <v>0</v>
          </cell>
          <cell r="DY244">
            <v>0</v>
          </cell>
          <cell r="DZ244">
            <v>0</v>
          </cell>
          <cell r="EA244">
            <v>0</v>
          </cell>
          <cell r="EB244">
            <v>0</v>
          </cell>
          <cell r="EC244">
            <v>0</v>
          </cell>
          <cell r="ED244">
            <v>0</v>
          </cell>
          <cell r="EE244">
            <v>0</v>
          </cell>
          <cell r="EF244">
            <v>0</v>
          </cell>
          <cell r="EG244">
            <v>0</v>
          </cell>
          <cell r="EH244">
            <v>0</v>
          </cell>
          <cell r="EI244">
            <v>0</v>
          </cell>
          <cell r="EJ244">
            <v>0</v>
          </cell>
          <cell r="EK244">
            <v>0</v>
          </cell>
          <cell r="EL244">
            <v>0</v>
          </cell>
          <cell r="EM244">
            <v>0</v>
          </cell>
          <cell r="EN244">
            <v>0</v>
          </cell>
          <cell r="EO244">
            <v>0</v>
          </cell>
          <cell r="EP244">
            <v>0</v>
          </cell>
          <cell r="EQ244">
            <v>0</v>
          </cell>
          <cell r="ER244">
            <v>0</v>
          </cell>
          <cell r="ES244">
            <v>0</v>
          </cell>
          <cell r="ET244">
            <v>0</v>
          </cell>
          <cell r="EU244">
            <v>0</v>
          </cell>
          <cell r="EV244">
            <v>0</v>
          </cell>
          <cell r="EW244">
            <v>0</v>
          </cell>
          <cell r="EX244">
            <v>0</v>
          </cell>
          <cell r="EY244">
            <v>0</v>
          </cell>
          <cell r="EZ244">
            <v>0</v>
          </cell>
          <cell r="FA244">
            <v>0</v>
          </cell>
          <cell r="FB244">
            <v>0</v>
          </cell>
          <cell r="FC244">
            <v>0</v>
          </cell>
          <cell r="FD244">
            <v>0</v>
          </cell>
          <cell r="FE244">
            <v>0</v>
          </cell>
          <cell r="FF244">
            <v>0</v>
          </cell>
          <cell r="FG244">
            <v>0</v>
          </cell>
          <cell r="FH244">
            <v>0</v>
          </cell>
          <cell r="FI244">
            <v>0</v>
          </cell>
          <cell r="FJ244">
            <v>0</v>
          </cell>
          <cell r="FK244">
            <v>0</v>
          </cell>
          <cell r="FL244">
            <v>0</v>
          </cell>
          <cell r="FM244">
            <v>0</v>
          </cell>
          <cell r="FN244">
            <v>0</v>
          </cell>
          <cell r="FO244">
            <v>0</v>
          </cell>
          <cell r="FP244">
            <v>0</v>
          </cell>
          <cell r="FQ244">
            <v>0</v>
          </cell>
          <cell r="FR244">
            <v>0</v>
          </cell>
          <cell r="FS244">
            <v>0</v>
          </cell>
          <cell r="FT244">
            <v>0</v>
          </cell>
          <cell r="FU244">
            <v>0</v>
          </cell>
          <cell r="FV244">
            <v>0</v>
          </cell>
          <cell r="FW244">
            <v>0</v>
          </cell>
          <cell r="FX244">
            <v>0</v>
          </cell>
          <cell r="FY244">
            <v>0</v>
          </cell>
          <cell r="FZ244">
            <v>0</v>
          </cell>
          <cell r="GA244">
            <v>0</v>
          </cell>
          <cell r="GB244">
            <v>0</v>
          </cell>
          <cell r="GC244">
            <v>0</v>
          </cell>
          <cell r="GD244">
            <v>0</v>
          </cell>
          <cell r="GE244">
            <v>0</v>
          </cell>
          <cell r="GF244">
            <v>0</v>
          </cell>
          <cell r="GG244">
            <v>0</v>
          </cell>
          <cell r="GH244">
            <v>0</v>
          </cell>
          <cell r="GI244">
            <v>0</v>
          </cell>
          <cell r="GJ244">
            <v>0</v>
          </cell>
          <cell r="GK244">
            <v>0</v>
          </cell>
          <cell r="GL244">
            <v>0</v>
          </cell>
          <cell r="GM244">
            <v>0</v>
          </cell>
          <cell r="GN244">
            <v>0</v>
          </cell>
          <cell r="GO244">
            <v>0</v>
          </cell>
          <cell r="GP244">
            <v>0</v>
          </cell>
          <cell r="GQ244">
            <v>0</v>
          </cell>
          <cell r="GR244">
            <v>0</v>
          </cell>
          <cell r="GS244">
            <v>0</v>
          </cell>
          <cell r="GT244">
            <v>0</v>
          </cell>
          <cell r="GU244">
            <v>0</v>
          </cell>
          <cell r="GV244">
            <v>0</v>
          </cell>
          <cell r="GW244">
            <v>0</v>
          </cell>
          <cell r="GX244">
            <v>0</v>
          </cell>
          <cell r="GY244">
            <v>0</v>
          </cell>
          <cell r="GZ244">
            <v>0</v>
          </cell>
          <cell r="HA244">
            <v>0</v>
          </cell>
          <cell r="HB244">
            <v>0</v>
          </cell>
          <cell r="HC244">
            <v>0</v>
          </cell>
          <cell r="HD244">
            <v>0</v>
          </cell>
          <cell r="HE244">
            <v>0</v>
          </cell>
          <cell r="HF244">
            <v>0</v>
          </cell>
          <cell r="HG244">
            <v>0</v>
          </cell>
          <cell r="HH244">
            <v>0</v>
          </cell>
          <cell r="HI244">
            <v>0</v>
          </cell>
          <cell r="HJ244">
            <v>0</v>
          </cell>
          <cell r="HK244">
            <v>0</v>
          </cell>
          <cell r="HL244">
            <v>0</v>
          </cell>
          <cell r="HM244">
            <v>0</v>
          </cell>
          <cell r="HN244">
            <v>0</v>
          </cell>
          <cell r="HO244">
            <v>0</v>
          </cell>
          <cell r="HP244">
            <v>0</v>
          </cell>
          <cell r="HQ244">
            <v>0</v>
          </cell>
          <cell r="HR244">
            <v>0</v>
          </cell>
          <cell r="HS244">
            <v>0</v>
          </cell>
          <cell r="HT244">
            <v>0</v>
          </cell>
          <cell r="HU244">
            <v>0</v>
          </cell>
          <cell r="HV244">
            <v>0</v>
          </cell>
          <cell r="HW244">
            <v>0</v>
          </cell>
          <cell r="HX244">
            <v>0</v>
          </cell>
          <cell r="HY244">
            <v>0</v>
          </cell>
          <cell r="HZ244">
            <v>0</v>
          </cell>
          <cell r="IA244">
            <v>0</v>
          </cell>
          <cell r="IB244">
            <v>0</v>
          </cell>
          <cell r="IC244">
            <v>0</v>
          </cell>
          <cell r="ID244">
            <v>0</v>
          </cell>
          <cell r="IE244">
            <v>0</v>
          </cell>
          <cell r="IF244">
            <v>0</v>
          </cell>
          <cell r="IG244">
            <v>0</v>
          </cell>
          <cell r="IH244">
            <v>0</v>
          </cell>
          <cell r="II244">
            <v>0</v>
          </cell>
          <cell r="IJ244">
            <v>0</v>
          </cell>
          <cell r="IK244">
            <v>0</v>
          </cell>
          <cell r="IL244">
            <v>0</v>
          </cell>
          <cell r="IM244">
            <v>0</v>
          </cell>
          <cell r="IN244">
            <v>0</v>
          </cell>
          <cell r="IO244">
            <v>0</v>
          </cell>
          <cell r="IP244">
            <v>0</v>
          </cell>
          <cell r="IQ244">
            <v>0</v>
          </cell>
          <cell r="IR244">
            <v>0</v>
          </cell>
          <cell r="IS244">
            <v>0</v>
          </cell>
          <cell r="IT244">
            <v>0</v>
          </cell>
          <cell r="IU244">
            <v>0</v>
          </cell>
          <cell r="IV244">
            <v>0</v>
          </cell>
          <cell r="IW244">
            <v>0</v>
          </cell>
          <cell r="IX244">
            <v>0</v>
          </cell>
          <cell r="IY244">
            <v>0</v>
          </cell>
          <cell r="IZ244">
            <v>0</v>
          </cell>
          <cell r="JA244">
            <v>0</v>
          </cell>
        </row>
        <row r="249">
          <cell r="G249">
            <v>0</v>
          </cell>
          <cell r="L249">
            <v>0</v>
          </cell>
        </row>
        <row r="255">
          <cell r="L255">
            <v>0</v>
          </cell>
          <cell r="M255">
            <v>1.141E-2</v>
          </cell>
          <cell r="N255">
            <v>0.63560899999999998</v>
          </cell>
          <cell r="O255">
            <v>7.0738500000000002</v>
          </cell>
          <cell r="P255">
            <v>1.8969009999999999</v>
          </cell>
          <cell r="Q255">
            <v>9.4848000000000002E-2</v>
          </cell>
          <cell r="R255">
            <v>5.9811999999999997E-2</v>
          </cell>
          <cell r="S255">
            <v>6.4681000000000002E-2</v>
          </cell>
          <cell r="T255">
            <v>8.2790000000000002E-2</v>
          </cell>
          <cell r="U255">
            <v>0.103032</v>
          </cell>
          <cell r="V255">
            <v>0.11045000000000001</v>
          </cell>
          <cell r="W255">
            <v>0.13347899999999999</v>
          </cell>
          <cell r="X255">
            <v>0.15234900000000001</v>
          </cell>
          <cell r="Y255">
            <v>0.16131699999999999</v>
          </cell>
          <cell r="Z255">
            <v>0.18984599999999999</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cell r="BM255">
            <v>0</v>
          </cell>
          <cell r="BN255">
            <v>0</v>
          </cell>
          <cell r="BO255">
            <v>0</v>
          </cell>
          <cell r="BP255">
            <v>0</v>
          </cell>
          <cell r="BQ255">
            <v>0</v>
          </cell>
          <cell r="BR255">
            <v>0</v>
          </cell>
          <cell r="BS255">
            <v>0</v>
          </cell>
          <cell r="BT255">
            <v>0</v>
          </cell>
          <cell r="BU255">
            <v>0</v>
          </cell>
          <cell r="BV255">
            <v>0</v>
          </cell>
          <cell r="BW255">
            <v>0</v>
          </cell>
          <cell r="BX255">
            <v>0</v>
          </cell>
          <cell r="BY255">
            <v>0</v>
          </cell>
          <cell r="BZ255">
            <v>0</v>
          </cell>
          <cell r="CA255">
            <v>0</v>
          </cell>
          <cell r="CB255">
            <v>0</v>
          </cell>
          <cell r="CC255">
            <v>0</v>
          </cell>
          <cell r="CD255">
            <v>0</v>
          </cell>
          <cell r="CE255">
            <v>0</v>
          </cell>
          <cell r="CF255">
            <v>0</v>
          </cell>
          <cell r="CG255">
            <v>0</v>
          </cell>
          <cell r="CH255">
            <v>0</v>
          </cell>
          <cell r="CI255">
            <v>0</v>
          </cell>
          <cell r="CJ255">
            <v>0</v>
          </cell>
          <cell r="CK255">
            <v>0</v>
          </cell>
          <cell r="CL255">
            <v>0</v>
          </cell>
          <cell r="CM255">
            <v>0</v>
          </cell>
          <cell r="CN255">
            <v>0</v>
          </cell>
          <cell r="CO255">
            <v>0</v>
          </cell>
          <cell r="CP255">
            <v>0</v>
          </cell>
          <cell r="CQ255">
            <v>0</v>
          </cell>
          <cell r="CR255">
            <v>0</v>
          </cell>
          <cell r="CS255">
            <v>0</v>
          </cell>
          <cell r="CT255">
            <v>0</v>
          </cell>
          <cell r="CU255">
            <v>0</v>
          </cell>
          <cell r="CV255">
            <v>0</v>
          </cell>
          <cell r="CW255">
            <v>0</v>
          </cell>
          <cell r="CX255">
            <v>0</v>
          </cell>
          <cell r="CY255">
            <v>0</v>
          </cell>
          <cell r="CZ255">
            <v>0</v>
          </cell>
          <cell r="DA255">
            <v>0</v>
          </cell>
          <cell r="DB255">
            <v>0</v>
          </cell>
          <cell r="DC255">
            <v>0</v>
          </cell>
          <cell r="DD255">
            <v>0</v>
          </cell>
          <cell r="DE255">
            <v>0</v>
          </cell>
          <cell r="DF255">
            <v>0</v>
          </cell>
          <cell r="DG255">
            <v>0</v>
          </cell>
          <cell r="DH255">
            <v>0</v>
          </cell>
          <cell r="DI255">
            <v>0</v>
          </cell>
          <cell r="DJ255">
            <v>0</v>
          </cell>
          <cell r="DK255">
            <v>0</v>
          </cell>
          <cell r="DL255">
            <v>0</v>
          </cell>
          <cell r="DM255">
            <v>0</v>
          </cell>
          <cell r="DN255">
            <v>0</v>
          </cell>
          <cell r="DO255">
            <v>0</v>
          </cell>
          <cell r="DP255">
            <v>0</v>
          </cell>
          <cell r="DQ255">
            <v>0</v>
          </cell>
          <cell r="DR255">
            <v>0</v>
          </cell>
          <cell r="DS255">
            <v>0</v>
          </cell>
          <cell r="DT255">
            <v>0</v>
          </cell>
          <cell r="DU255">
            <v>0</v>
          </cell>
          <cell r="DV255">
            <v>0</v>
          </cell>
          <cell r="DW255">
            <v>0</v>
          </cell>
          <cell r="DX255">
            <v>0</v>
          </cell>
          <cell r="DY255">
            <v>0</v>
          </cell>
          <cell r="DZ255">
            <v>0</v>
          </cell>
          <cell r="EA255">
            <v>0</v>
          </cell>
          <cell r="EB255">
            <v>0</v>
          </cell>
          <cell r="EC255">
            <v>0</v>
          </cell>
          <cell r="ED255">
            <v>0</v>
          </cell>
          <cell r="EE255">
            <v>0</v>
          </cell>
          <cell r="EF255">
            <v>0</v>
          </cell>
          <cell r="EG255">
            <v>0</v>
          </cell>
          <cell r="EH255">
            <v>0</v>
          </cell>
          <cell r="EI255">
            <v>0</v>
          </cell>
          <cell r="EJ255">
            <v>0</v>
          </cell>
          <cell r="EK255">
            <v>0</v>
          </cell>
          <cell r="EL255">
            <v>0</v>
          </cell>
          <cell r="EM255">
            <v>0</v>
          </cell>
          <cell r="EN255">
            <v>0</v>
          </cell>
          <cell r="EO255">
            <v>0</v>
          </cell>
          <cell r="EP255">
            <v>0</v>
          </cell>
          <cell r="EQ255">
            <v>0</v>
          </cell>
          <cell r="ER255">
            <v>0</v>
          </cell>
          <cell r="ES255">
            <v>0</v>
          </cell>
          <cell r="ET255">
            <v>0</v>
          </cell>
          <cell r="EU255">
            <v>0</v>
          </cell>
          <cell r="EV255">
            <v>0</v>
          </cell>
          <cell r="EW255">
            <v>0</v>
          </cell>
          <cell r="EX255">
            <v>0</v>
          </cell>
          <cell r="EY255">
            <v>0</v>
          </cell>
          <cell r="EZ255">
            <v>0</v>
          </cell>
          <cell r="FA255">
            <v>0</v>
          </cell>
          <cell r="FB255">
            <v>0</v>
          </cell>
          <cell r="FC255">
            <v>0</v>
          </cell>
          <cell r="FD255">
            <v>0</v>
          </cell>
          <cell r="FE255">
            <v>0</v>
          </cell>
          <cell r="FF255">
            <v>0</v>
          </cell>
          <cell r="FG255">
            <v>0</v>
          </cell>
          <cell r="FH255">
            <v>0</v>
          </cell>
          <cell r="FI255">
            <v>0</v>
          </cell>
          <cell r="FJ255">
            <v>0</v>
          </cell>
          <cell r="FK255">
            <v>0</v>
          </cell>
          <cell r="FL255">
            <v>0</v>
          </cell>
          <cell r="FM255">
            <v>0</v>
          </cell>
          <cell r="FN255">
            <v>0</v>
          </cell>
          <cell r="FO255">
            <v>0</v>
          </cell>
          <cell r="FP255">
            <v>0</v>
          </cell>
          <cell r="FQ255">
            <v>0</v>
          </cell>
          <cell r="FR255">
            <v>0</v>
          </cell>
          <cell r="FS255">
            <v>0</v>
          </cell>
          <cell r="FT255">
            <v>0</v>
          </cell>
          <cell r="FU255">
            <v>0</v>
          </cell>
          <cell r="FV255">
            <v>0</v>
          </cell>
          <cell r="FW255">
            <v>0</v>
          </cell>
          <cell r="FX255">
            <v>0</v>
          </cell>
          <cell r="FY255">
            <v>0</v>
          </cell>
          <cell r="FZ255">
            <v>0</v>
          </cell>
          <cell r="GA255">
            <v>0</v>
          </cell>
          <cell r="GB255">
            <v>0</v>
          </cell>
          <cell r="GC255">
            <v>0</v>
          </cell>
          <cell r="GD255">
            <v>0</v>
          </cell>
          <cell r="GE255">
            <v>0</v>
          </cell>
          <cell r="GF255">
            <v>0</v>
          </cell>
          <cell r="GG255">
            <v>0</v>
          </cell>
          <cell r="GH255">
            <v>0</v>
          </cell>
          <cell r="GI255">
            <v>0</v>
          </cell>
          <cell r="GJ255">
            <v>0</v>
          </cell>
          <cell r="GK255">
            <v>0</v>
          </cell>
          <cell r="GL255">
            <v>0</v>
          </cell>
          <cell r="GM255">
            <v>0</v>
          </cell>
          <cell r="GN255">
            <v>0</v>
          </cell>
          <cell r="GO255">
            <v>0</v>
          </cell>
          <cell r="GP255">
            <v>0</v>
          </cell>
          <cell r="GQ255">
            <v>0</v>
          </cell>
          <cell r="GR255">
            <v>0</v>
          </cell>
          <cell r="GS255">
            <v>0</v>
          </cell>
          <cell r="GT255">
            <v>0</v>
          </cell>
          <cell r="GU255">
            <v>0</v>
          </cell>
          <cell r="GV255">
            <v>0</v>
          </cell>
          <cell r="GW255">
            <v>0</v>
          </cell>
          <cell r="GX255">
            <v>0</v>
          </cell>
          <cell r="GY255">
            <v>0</v>
          </cell>
          <cell r="GZ255">
            <v>0</v>
          </cell>
          <cell r="HA255">
            <v>0</v>
          </cell>
          <cell r="HB255">
            <v>0</v>
          </cell>
          <cell r="HC255">
            <v>0</v>
          </cell>
          <cell r="HD255">
            <v>0</v>
          </cell>
          <cell r="HE255">
            <v>0</v>
          </cell>
          <cell r="HF255">
            <v>0</v>
          </cell>
          <cell r="HG255">
            <v>0</v>
          </cell>
          <cell r="HH255">
            <v>0</v>
          </cell>
          <cell r="HI255">
            <v>0</v>
          </cell>
          <cell r="HJ255">
            <v>0</v>
          </cell>
          <cell r="HK255">
            <v>0</v>
          </cell>
          <cell r="HL255">
            <v>0</v>
          </cell>
          <cell r="HM255">
            <v>0</v>
          </cell>
          <cell r="HN255">
            <v>0</v>
          </cell>
          <cell r="HO255">
            <v>0</v>
          </cell>
          <cell r="HP255">
            <v>0</v>
          </cell>
          <cell r="HQ255">
            <v>0</v>
          </cell>
          <cell r="HR255">
            <v>0</v>
          </cell>
          <cell r="HS255">
            <v>0</v>
          </cell>
          <cell r="HT255">
            <v>0</v>
          </cell>
          <cell r="HU255">
            <v>0</v>
          </cell>
          <cell r="HV255">
            <v>0</v>
          </cell>
          <cell r="HW255">
            <v>0</v>
          </cell>
          <cell r="HX255">
            <v>0</v>
          </cell>
          <cell r="HY255">
            <v>0</v>
          </cell>
          <cell r="HZ255">
            <v>0</v>
          </cell>
          <cell r="IA255">
            <v>0</v>
          </cell>
          <cell r="IB255">
            <v>0</v>
          </cell>
          <cell r="IC255">
            <v>0</v>
          </cell>
          <cell r="ID255">
            <v>0</v>
          </cell>
          <cell r="IE255">
            <v>0</v>
          </cell>
          <cell r="IF255">
            <v>0</v>
          </cell>
          <cell r="IG255">
            <v>0</v>
          </cell>
          <cell r="IH255">
            <v>0</v>
          </cell>
          <cell r="II255">
            <v>0</v>
          </cell>
          <cell r="IJ255">
            <v>0</v>
          </cell>
          <cell r="IK255">
            <v>0</v>
          </cell>
          <cell r="IL255">
            <v>0</v>
          </cell>
          <cell r="IM255">
            <v>0</v>
          </cell>
          <cell r="IN255">
            <v>0</v>
          </cell>
          <cell r="IO255">
            <v>0</v>
          </cell>
          <cell r="IP255">
            <v>0</v>
          </cell>
          <cell r="IQ255">
            <v>0</v>
          </cell>
          <cell r="IR255">
            <v>0</v>
          </cell>
          <cell r="IS255">
            <v>0</v>
          </cell>
          <cell r="IT255">
            <v>0</v>
          </cell>
          <cell r="IU255">
            <v>0</v>
          </cell>
          <cell r="IV255">
            <v>0</v>
          </cell>
          <cell r="IW255">
            <v>0</v>
          </cell>
          <cell r="IX255">
            <v>0</v>
          </cell>
          <cell r="IY255">
            <v>0</v>
          </cell>
          <cell r="IZ255">
            <v>0</v>
          </cell>
          <cell r="JA255">
            <v>0</v>
          </cell>
        </row>
        <row r="256">
          <cell r="L256">
            <v>0</v>
          </cell>
          <cell r="M256">
            <v>9.3729999999999994E-3</v>
          </cell>
          <cell r="N256">
            <v>0.50484899999999999</v>
          </cell>
          <cell r="O256">
            <v>5.7393460000000003</v>
          </cell>
          <cell r="P256">
            <v>1.588031</v>
          </cell>
          <cell r="Q256">
            <v>7.9405000000000003E-2</v>
          </cell>
          <cell r="R256">
            <v>5.0074E-2</v>
          </cell>
          <cell r="S256">
            <v>5.4148000000000002E-2</v>
          </cell>
          <cell r="T256">
            <v>6.9309999999999997E-2</v>
          </cell>
          <cell r="U256">
            <v>8.6255999999999999E-2</v>
          </cell>
          <cell r="V256">
            <v>9.2465000000000006E-2</v>
          </cell>
          <cell r="W256">
            <v>0.111744</v>
          </cell>
          <cell r="X256">
            <v>0.12754099999999999</v>
          </cell>
          <cell r="Y256">
            <v>0.135051</v>
          </cell>
          <cell r="Z256">
            <v>0.15893299999999999</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cell r="BM256">
            <v>0</v>
          </cell>
          <cell r="BN256">
            <v>0</v>
          </cell>
          <cell r="BO256">
            <v>0</v>
          </cell>
          <cell r="BP256">
            <v>0</v>
          </cell>
          <cell r="BQ256">
            <v>0</v>
          </cell>
          <cell r="BR256">
            <v>0</v>
          </cell>
          <cell r="BS256">
            <v>0</v>
          </cell>
          <cell r="BT256">
            <v>0</v>
          </cell>
          <cell r="BU256">
            <v>0</v>
          </cell>
          <cell r="BV256">
            <v>0</v>
          </cell>
          <cell r="BW256">
            <v>0</v>
          </cell>
          <cell r="BX256">
            <v>0</v>
          </cell>
          <cell r="BY256">
            <v>0</v>
          </cell>
          <cell r="BZ256">
            <v>0</v>
          </cell>
          <cell r="CA256">
            <v>0</v>
          </cell>
          <cell r="CB256">
            <v>0</v>
          </cell>
          <cell r="CC256">
            <v>0</v>
          </cell>
          <cell r="CD256">
            <v>0</v>
          </cell>
          <cell r="CE256">
            <v>0</v>
          </cell>
          <cell r="CF256">
            <v>0</v>
          </cell>
          <cell r="CG256">
            <v>0</v>
          </cell>
          <cell r="CH256">
            <v>0</v>
          </cell>
          <cell r="CI256">
            <v>0</v>
          </cell>
          <cell r="CJ256">
            <v>0</v>
          </cell>
          <cell r="CK256">
            <v>0</v>
          </cell>
          <cell r="CL256">
            <v>0</v>
          </cell>
          <cell r="CM256">
            <v>0</v>
          </cell>
          <cell r="CN256">
            <v>0</v>
          </cell>
          <cell r="CO256">
            <v>0</v>
          </cell>
          <cell r="CP256">
            <v>0</v>
          </cell>
          <cell r="CQ256">
            <v>0</v>
          </cell>
          <cell r="CR256">
            <v>0</v>
          </cell>
          <cell r="CS256">
            <v>0</v>
          </cell>
          <cell r="CT256">
            <v>0</v>
          </cell>
          <cell r="CU256">
            <v>0</v>
          </cell>
          <cell r="CV256">
            <v>0</v>
          </cell>
          <cell r="CW256">
            <v>0</v>
          </cell>
          <cell r="CX256">
            <v>0</v>
          </cell>
          <cell r="CY256">
            <v>0</v>
          </cell>
          <cell r="CZ256">
            <v>0</v>
          </cell>
          <cell r="DA256">
            <v>0</v>
          </cell>
          <cell r="DB256">
            <v>0</v>
          </cell>
          <cell r="DC256">
            <v>0</v>
          </cell>
          <cell r="DD256">
            <v>0</v>
          </cell>
          <cell r="DE256">
            <v>0</v>
          </cell>
          <cell r="DF256">
            <v>0</v>
          </cell>
          <cell r="DG256">
            <v>0</v>
          </cell>
          <cell r="DH256">
            <v>0</v>
          </cell>
          <cell r="DI256">
            <v>0</v>
          </cell>
          <cell r="DJ256">
            <v>0</v>
          </cell>
          <cell r="DK256">
            <v>0</v>
          </cell>
          <cell r="DL256">
            <v>0</v>
          </cell>
          <cell r="DM256">
            <v>0</v>
          </cell>
          <cell r="DN256">
            <v>0</v>
          </cell>
          <cell r="DO256">
            <v>0</v>
          </cell>
          <cell r="DP256">
            <v>0</v>
          </cell>
          <cell r="DQ256">
            <v>0</v>
          </cell>
          <cell r="DR256">
            <v>0</v>
          </cell>
          <cell r="DS256">
            <v>0</v>
          </cell>
          <cell r="DT256">
            <v>0</v>
          </cell>
          <cell r="DU256">
            <v>0</v>
          </cell>
          <cell r="DV256">
            <v>0</v>
          </cell>
          <cell r="DW256">
            <v>0</v>
          </cell>
          <cell r="DX256">
            <v>0</v>
          </cell>
          <cell r="DY256">
            <v>0</v>
          </cell>
          <cell r="DZ256">
            <v>0</v>
          </cell>
          <cell r="EA256">
            <v>0</v>
          </cell>
          <cell r="EB256">
            <v>0</v>
          </cell>
          <cell r="EC256">
            <v>0</v>
          </cell>
          <cell r="ED256">
            <v>0</v>
          </cell>
          <cell r="EE256">
            <v>0</v>
          </cell>
          <cell r="EF256">
            <v>0</v>
          </cell>
          <cell r="EG256">
            <v>0</v>
          </cell>
          <cell r="EH256">
            <v>0</v>
          </cell>
          <cell r="EI256">
            <v>0</v>
          </cell>
          <cell r="EJ256">
            <v>0</v>
          </cell>
          <cell r="EK256">
            <v>0</v>
          </cell>
          <cell r="EL256">
            <v>0</v>
          </cell>
          <cell r="EM256">
            <v>0</v>
          </cell>
          <cell r="EN256">
            <v>0</v>
          </cell>
          <cell r="EO256">
            <v>0</v>
          </cell>
          <cell r="EP256">
            <v>0</v>
          </cell>
          <cell r="EQ256">
            <v>0</v>
          </cell>
          <cell r="ER256">
            <v>0</v>
          </cell>
          <cell r="ES256">
            <v>0</v>
          </cell>
          <cell r="ET256">
            <v>0</v>
          </cell>
          <cell r="EU256">
            <v>0</v>
          </cell>
          <cell r="EV256">
            <v>0</v>
          </cell>
          <cell r="EW256">
            <v>0</v>
          </cell>
          <cell r="EX256">
            <v>0</v>
          </cell>
          <cell r="EY256">
            <v>0</v>
          </cell>
          <cell r="EZ256">
            <v>0</v>
          </cell>
          <cell r="FA256">
            <v>0</v>
          </cell>
          <cell r="FB256">
            <v>0</v>
          </cell>
          <cell r="FC256">
            <v>0</v>
          </cell>
          <cell r="FD256">
            <v>0</v>
          </cell>
          <cell r="FE256">
            <v>0</v>
          </cell>
          <cell r="FF256">
            <v>0</v>
          </cell>
          <cell r="FG256">
            <v>0</v>
          </cell>
          <cell r="FH256">
            <v>0</v>
          </cell>
          <cell r="FI256">
            <v>0</v>
          </cell>
          <cell r="FJ256">
            <v>0</v>
          </cell>
          <cell r="FK256">
            <v>0</v>
          </cell>
          <cell r="FL256">
            <v>0</v>
          </cell>
          <cell r="FM256">
            <v>0</v>
          </cell>
          <cell r="FN256">
            <v>0</v>
          </cell>
          <cell r="FO256">
            <v>0</v>
          </cell>
          <cell r="FP256">
            <v>0</v>
          </cell>
          <cell r="FQ256">
            <v>0</v>
          </cell>
          <cell r="FR256">
            <v>0</v>
          </cell>
          <cell r="FS256">
            <v>0</v>
          </cell>
          <cell r="FT256">
            <v>0</v>
          </cell>
          <cell r="FU256">
            <v>0</v>
          </cell>
          <cell r="FV256">
            <v>0</v>
          </cell>
          <cell r="FW256">
            <v>0</v>
          </cell>
          <cell r="FX256">
            <v>0</v>
          </cell>
          <cell r="FY256">
            <v>0</v>
          </cell>
          <cell r="FZ256">
            <v>0</v>
          </cell>
          <cell r="GA256">
            <v>0</v>
          </cell>
          <cell r="GB256">
            <v>0</v>
          </cell>
          <cell r="GC256">
            <v>0</v>
          </cell>
          <cell r="GD256">
            <v>0</v>
          </cell>
          <cell r="GE256">
            <v>0</v>
          </cell>
          <cell r="GF256">
            <v>0</v>
          </cell>
          <cell r="GG256">
            <v>0</v>
          </cell>
          <cell r="GH256">
            <v>0</v>
          </cell>
          <cell r="GI256">
            <v>0</v>
          </cell>
          <cell r="GJ256">
            <v>0</v>
          </cell>
          <cell r="GK256">
            <v>0</v>
          </cell>
          <cell r="GL256">
            <v>0</v>
          </cell>
          <cell r="GM256">
            <v>0</v>
          </cell>
          <cell r="GN256">
            <v>0</v>
          </cell>
          <cell r="GO256">
            <v>0</v>
          </cell>
          <cell r="GP256">
            <v>0</v>
          </cell>
          <cell r="GQ256">
            <v>0</v>
          </cell>
          <cell r="GR256">
            <v>0</v>
          </cell>
          <cell r="GS256">
            <v>0</v>
          </cell>
          <cell r="GT256">
            <v>0</v>
          </cell>
          <cell r="GU256">
            <v>0</v>
          </cell>
          <cell r="GV256">
            <v>0</v>
          </cell>
          <cell r="GW256">
            <v>0</v>
          </cell>
          <cell r="GX256">
            <v>0</v>
          </cell>
          <cell r="GY256">
            <v>0</v>
          </cell>
          <cell r="GZ256">
            <v>0</v>
          </cell>
          <cell r="HA256">
            <v>0</v>
          </cell>
          <cell r="HB256">
            <v>0</v>
          </cell>
          <cell r="HC256">
            <v>0</v>
          </cell>
          <cell r="HD256">
            <v>0</v>
          </cell>
          <cell r="HE256">
            <v>0</v>
          </cell>
          <cell r="HF256">
            <v>0</v>
          </cell>
          <cell r="HG256">
            <v>0</v>
          </cell>
          <cell r="HH256">
            <v>0</v>
          </cell>
          <cell r="HI256">
            <v>0</v>
          </cell>
          <cell r="HJ256">
            <v>0</v>
          </cell>
          <cell r="HK256">
            <v>0</v>
          </cell>
          <cell r="HL256">
            <v>0</v>
          </cell>
          <cell r="HM256">
            <v>0</v>
          </cell>
          <cell r="HN256">
            <v>0</v>
          </cell>
          <cell r="HO256">
            <v>0</v>
          </cell>
          <cell r="HP256">
            <v>0</v>
          </cell>
          <cell r="HQ256">
            <v>0</v>
          </cell>
          <cell r="HR256">
            <v>0</v>
          </cell>
          <cell r="HS256">
            <v>0</v>
          </cell>
          <cell r="HT256">
            <v>0</v>
          </cell>
          <cell r="HU256">
            <v>0</v>
          </cell>
          <cell r="HV256">
            <v>0</v>
          </cell>
          <cell r="HW256">
            <v>0</v>
          </cell>
          <cell r="HX256">
            <v>0</v>
          </cell>
          <cell r="HY256">
            <v>0</v>
          </cell>
          <cell r="HZ256">
            <v>0</v>
          </cell>
          <cell r="IA256">
            <v>0</v>
          </cell>
          <cell r="IB256">
            <v>0</v>
          </cell>
          <cell r="IC256">
            <v>0</v>
          </cell>
          <cell r="ID256">
            <v>0</v>
          </cell>
          <cell r="IE256">
            <v>0</v>
          </cell>
          <cell r="IF256">
            <v>0</v>
          </cell>
          <cell r="IG256">
            <v>0</v>
          </cell>
          <cell r="IH256">
            <v>0</v>
          </cell>
          <cell r="II256">
            <v>0</v>
          </cell>
          <cell r="IJ256">
            <v>0</v>
          </cell>
          <cell r="IK256">
            <v>0</v>
          </cell>
          <cell r="IL256">
            <v>0</v>
          </cell>
          <cell r="IM256">
            <v>0</v>
          </cell>
          <cell r="IN256">
            <v>0</v>
          </cell>
          <cell r="IO256">
            <v>0</v>
          </cell>
          <cell r="IP256">
            <v>0</v>
          </cell>
          <cell r="IQ256">
            <v>0</v>
          </cell>
          <cell r="IR256">
            <v>0</v>
          </cell>
          <cell r="IS256">
            <v>0</v>
          </cell>
          <cell r="IT256">
            <v>0</v>
          </cell>
          <cell r="IU256">
            <v>0</v>
          </cell>
          <cell r="IV256">
            <v>0</v>
          </cell>
          <cell r="IW256">
            <v>0</v>
          </cell>
          <cell r="IX256">
            <v>0</v>
          </cell>
          <cell r="IY256">
            <v>0</v>
          </cell>
          <cell r="IZ256">
            <v>0</v>
          </cell>
          <cell r="JA256">
            <v>0</v>
          </cell>
        </row>
        <row r="257">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cell r="BM257">
            <v>0</v>
          </cell>
          <cell r="BN257">
            <v>0</v>
          </cell>
          <cell r="BO257">
            <v>0</v>
          </cell>
          <cell r="BP257">
            <v>0</v>
          </cell>
          <cell r="BQ257">
            <v>0</v>
          </cell>
          <cell r="BR257">
            <v>0</v>
          </cell>
          <cell r="BS257">
            <v>0</v>
          </cell>
          <cell r="BT257">
            <v>0</v>
          </cell>
          <cell r="BU257">
            <v>0</v>
          </cell>
          <cell r="BV257">
            <v>0</v>
          </cell>
          <cell r="BW257">
            <v>0</v>
          </cell>
          <cell r="BX257">
            <v>0</v>
          </cell>
          <cell r="BY257">
            <v>0</v>
          </cell>
          <cell r="BZ257">
            <v>0</v>
          </cell>
          <cell r="CA257">
            <v>0</v>
          </cell>
          <cell r="CB257">
            <v>0</v>
          </cell>
          <cell r="CC257">
            <v>0</v>
          </cell>
          <cell r="CD257">
            <v>0</v>
          </cell>
          <cell r="CE257">
            <v>0</v>
          </cell>
          <cell r="CF257">
            <v>0</v>
          </cell>
          <cell r="CG257">
            <v>0</v>
          </cell>
          <cell r="CH257">
            <v>0</v>
          </cell>
          <cell r="CI257">
            <v>0</v>
          </cell>
          <cell r="CJ257">
            <v>0</v>
          </cell>
          <cell r="CK257">
            <v>0</v>
          </cell>
          <cell r="CL257">
            <v>0</v>
          </cell>
          <cell r="CM257">
            <v>0</v>
          </cell>
          <cell r="CN257">
            <v>0</v>
          </cell>
          <cell r="CO257">
            <v>0</v>
          </cell>
          <cell r="CP257">
            <v>0</v>
          </cell>
          <cell r="CQ257">
            <v>0</v>
          </cell>
          <cell r="CR257">
            <v>0</v>
          </cell>
          <cell r="CS257">
            <v>0</v>
          </cell>
          <cell r="CT257">
            <v>0</v>
          </cell>
          <cell r="CU257">
            <v>0</v>
          </cell>
          <cell r="CV257">
            <v>0</v>
          </cell>
          <cell r="CW257">
            <v>0</v>
          </cell>
          <cell r="CX257">
            <v>0</v>
          </cell>
          <cell r="CY257">
            <v>0</v>
          </cell>
          <cell r="CZ257">
            <v>0</v>
          </cell>
          <cell r="DA257">
            <v>0</v>
          </cell>
          <cell r="DB257">
            <v>0</v>
          </cell>
          <cell r="DC257">
            <v>0</v>
          </cell>
          <cell r="DD257">
            <v>0</v>
          </cell>
          <cell r="DE257">
            <v>0</v>
          </cell>
          <cell r="DF257">
            <v>0</v>
          </cell>
          <cell r="DG257">
            <v>0</v>
          </cell>
          <cell r="DH257">
            <v>0</v>
          </cell>
          <cell r="DI257">
            <v>0</v>
          </cell>
          <cell r="DJ257">
            <v>0</v>
          </cell>
          <cell r="DK257">
            <v>0</v>
          </cell>
          <cell r="DL257">
            <v>0</v>
          </cell>
          <cell r="DM257">
            <v>0</v>
          </cell>
          <cell r="DN257">
            <v>0</v>
          </cell>
          <cell r="DO257">
            <v>0</v>
          </cell>
          <cell r="DP257">
            <v>0</v>
          </cell>
          <cell r="DQ257">
            <v>0</v>
          </cell>
          <cell r="DR257">
            <v>0</v>
          </cell>
          <cell r="DS257">
            <v>0</v>
          </cell>
          <cell r="DT257">
            <v>0</v>
          </cell>
          <cell r="DU257">
            <v>0</v>
          </cell>
          <cell r="DV257">
            <v>0</v>
          </cell>
          <cell r="DW257">
            <v>0</v>
          </cell>
          <cell r="DX257">
            <v>0</v>
          </cell>
          <cell r="DY257">
            <v>0</v>
          </cell>
          <cell r="DZ257">
            <v>0</v>
          </cell>
          <cell r="EA257">
            <v>0</v>
          </cell>
          <cell r="EB257">
            <v>0</v>
          </cell>
          <cell r="EC257">
            <v>0</v>
          </cell>
          <cell r="ED257">
            <v>0</v>
          </cell>
          <cell r="EE257">
            <v>0</v>
          </cell>
          <cell r="EF257">
            <v>0</v>
          </cell>
          <cell r="EG257">
            <v>0</v>
          </cell>
          <cell r="EH257">
            <v>0</v>
          </cell>
          <cell r="EI257">
            <v>0</v>
          </cell>
          <cell r="EJ257">
            <v>0</v>
          </cell>
          <cell r="EK257">
            <v>0</v>
          </cell>
          <cell r="EL257">
            <v>0</v>
          </cell>
          <cell r="EM257">
            <v>0</v>
          </cell>
          <cell r="EN257">
            <v>0</v>
          </cell>
          <cell r="EO257">
            <v>0</v>
          </cell>
          <cell r="EP257">
            <v>0</v>
          </cell>
          <cell r="EQ257">
            <v>0</v>
          </cell>
          <cell r="ER257">
            <v>0</v>
          </cell>
          <cell r="ES257">
            <v>0</v>
          </cell>
          <cell r="ET257">
            <v>0</v>
          </cell>
          <cell r="EU257">
            <v>0</v>
          </cell>
          <cell r="EV257">
            <v>0</v>
          </cell>
          <cell r="EW257">
            <v>0</v>
          </cell>
          <cell r="EX257">
            <v>0</v>
          </cell>
          <cell r="EY257">
            <v>0</v>
          </cell>
          <cell r="EZ257">
            <v>0</v>
          </cell>
          <cell r="FA257">
            <v>0</v>
          </cell>
          <cell r="FB257">
            <v>0</v>
          </cell>
          <cell r="FC257">
            <v>0</v>
          </cell>
          <cell r="FD257">
            <v>0</v>
          </cell>
          <cell r="FE257">
            <v>0</v>
          </cell>
          <cell r="FF257">
            <v>0</v>
          </cell>
          <cell r="FG257">
            <v>0</v>
          </cell>
          <cell r="FH257">
            <v>0</v>
          </cell>
          <cell r="FI257">
            <v>0</v>
          </cell>
          <cell r="FJ257">
            <v>0</v>
          </cell>
          <cell r="FK257">
            <v>0</v>
          </cell>
          <cell r="FL257">
            <v>0</v>
          </cell>
          <cell r="FM257">
            <v>0</v>
          </cell>
          <cell r="FN257">
            <v>0</v>
          </cell>
          <cell r="FO257">
            <v>0</v>
          </cell>
          <cell r="FP257">
            <v>0</v>
          </cell>
          <cell r="FQ257">
            <v>0</v>
          </cell>
          <cell r="FR257">
            <v>0</v>
          </cell>
          <cell r="FS257">
            <v>0</v>
          </cell>
          <cell r="FT257">
            <v>0</v>
          </cell>
          <cell r="FU257">
            <v>0</v>
          </cell>
          <cell r="FV257">
            <v>0</v>
          </cell>
          <cell r="FW257">
            <v>0</v>
          </cell>
          <cell r="FX257">
            <v>0</v>
          </cell>
          <cell r="FY257">
            <v>0</v>
          </cell>
          <cell r="FZ257">
            <v>0</v>
          </cell>
          <cell r="GA257">
            <v>0</v>
          </cell>
          <cell r="GB257">
            <v>0</v>
          </cell>
          <cell r="GC257">
            <v>0</v>
          </cell>
          <cell r="GD257">
            <v>0</v>
          </cell>
          <cell r="GE257">
            <v>0</v>
          </cell>
          <cell r="GF257">
            <v>0</v>
          </cell>
          <cell r="GG257">
            <v>0</v>
          </cell>
          <cell r="GH257">
            <v>0</v>
          </cell>
          <cell r="GI257">
            <v>0</v>
          </cell>
          <cell r="GJ257">
            <v>0</v>
          </cell>
          <cell r="GK257">
            <v>0</v>
          </cell>
          <cell r="GL257">
            <v>0</v>
          </cell>
          <cell r="GM257">
            <v>0</v>
          </cell>
          <cell r="GN257">
            <v>0</v>
          </cell>
          <cell r="GO257">
            <v>0</v>
          </cell>
          <cell r="GP257">
            <v>0</v>
          </cell>
          <cell r="GQ257">
            <v>0</v>
          </cell>
          <cell r="GR257">
            <v>0</v>
          </cell>
          <cell r="GS257">
            <v>0</v>
          </cell>
          <cell r="GT257">
            <v>0</v>
          </cell>
          <cell r="GU257">
            <v>0</v>
          </cell>
          <cell r="GV257">
            <v>0</v>
          </cell>
          <cell r="GW257">
            <v>0</v>
          </cell>
          <cell r="GX257">
            <v>0</v>
          </cell>
          <cell r="GY257">
            <v>0</v>
          </cell>
          <cell r="GZ257">
            <v>0</v>
          </cell>
          <cell r="HA257">
            <v>0</v>
          </cell>
          <cell r="HB257">
            <v>0</v>
          </cell>
          <cell r="HC257">
            <v>0</v>
          </cell>
          <cell r="HD257">
            <v>0</v>
          </cell>
          <cell r="HE257">
            <v>0</v>
          </cell>
          <cell r="HF257">
            <v>0</v>
          </cell>
          <cell r="HG257">
            <v>0</v>
          </cell>
          <cell r="HH257">
            <v>0</v>
          </cell>
          <cell r="HI257">
            <v>0</v>
          </cell>
          <cell r="HJ257">
            <v>0</v>
          </cell>
          <cell r="HK257">
            <v>0</v>
          </cell>
          <cell r="HL257">
            <v>0</v>
          </cell>
          <cell r="HM257">
            <v>0</v>
          </cell>
          <cell r="HN257">
            <v>0</v>
          </cell>
          <cell r="HO257">
            <v>0</v>
          </cell>
          <cell r="HP257">
            <v>0</v>
          </cell>
          <cell r="HQ257">
            <v>0</v>
          </cell>
          <cell r="HR257">
            <v>0</v>
          </cell>
          <cell r="HS257">
            <v>0</v>
          </cell>
          <cell r="HT257">
            <v>0</v>
          </cell>
          <cell r="HU257">
            <v>0</v>
          </cell>
          <cell r="HV257">
            <v>0</v>
          </cell>
          <cell r="HW257">
            <v>0</v>
          </cell>
          <cell r="HX257">
            <v>0</v>
          </cell>
          <cell r="HY257">
            <v>0</v>
          </cell>
          <cell r="HZ257">
            <v>0</v>
          </cell>
          <cell r="IA257">
            <v>0</v>
          </cell>
          <cell r="IB257">
            <v>0</v>
          </cell>
          <cell r="IC257">
            <v>0</v>
          </cell>
          <cell r="ID257">
            <v>0</v>
          </cell>
          <cell r="IE257">
            <v>0</v>
          </cell>
          <cell r="IF257">
            <v>0</v>
          </cell>
          <cell r="IG257">
            <v>0</v>
          </cell>
          <cell r="IH257">
            <v>0</v>
          </cell>
          <cell r="II257">
            <v>0</v>
          </cell>
          <cell r="IJ257">
            <v>0</v>
          </cell>
          <cell r="IK257">
            <v>0</v>
          </cell>
          <cell r="IL257">
            <v>0</v>
          </cell>
          <cell r="IM257">
            <v>0</v>
          </cell>
          <cell r="IN257">
            <v>0</v>
          </cell>
          <cell r="IO257">
            <v>0</v>
          </cell>
          <cell r="IP257">
            <v>0</v>
          </cell>
          <cell r="IQ257">
            <v>0</v>
          </cell>
          <cell r="IR257">
            <v>0</v>
          </cell>
          <cell r="IS257">
            <v>0</v>
          </cell>
          <cell r="IT257">
            <v>0</v>
          </cell>
          <cell r="IU257">
            <v>0</v>
          </cell>
          <cell r="IV257">
            <v>0</v>
          </cell>
          <cell r="IW257">
            <v>0</v>
          </cell>
          <cell r="IX257">
            <v>0</v>
          </cell>
          <cell r="IY257">
            <v>0</v>
          </cell>
          <cell r="IZ257">
            <v>0</v>
          </cell>
          <cell r="JA257">
            <v>0</v>
          </cell>
        </row>
        <row r="258">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cell r="BM258">
            <v>0</v>
          </cell>
          <cell r="BN258">
            <v>0</v>
          </cell>
          <cell r="BO258">
            <v>0</v>
          </cell>
          <cell r="BP258">
            <v>0</v>
          </cell>
          <cell r="BQ258">
            <v>0</v>
          </cell>
          <cell r="BR258">
            <v>0</v>
          </cell>
          <cell r="BS258">
            <v>0</v>
          </cell>
          <cell r="BT258">
            <v>0</v>
          </cell>
          <cell r="BU258">
            <v>0</v>
          </cell>
          <cell r="BV258">
            <v>0</v>
          </cell>
          <cell r="BW258">
            <v>0</v>
          </cell>
          <cell r="BX258">
            <v>0</v>
          </cell>
          <cell r="BY258">
            <v>0</v>
          </cell>
          <cell r="BZ258">
            <v>0</v>
          </cell>
          <cell r="CA258">
            <v>0</v>
          </cell>
          <cell r="CB258">
            <v>0</v>
          </cell>
          <cell r="CC258">
            <v>0</v>
          </cell>
          <cell r="CD258">
            <v>0</v>
          </cell>
          <cell r="CE258">
            <v>0</v>
          </cell>
          <cell r="CF258">
            <v>0</v>
          </cell>
          <cell r="CG258">
            <v>0</v>
          </cell>
          <cell r="CH258">
            <v>0</v>
          </cell>
          <cell r="CI258">
            <v>0</v>
          </cell>
          <cell r="CJ258">
            <v>0</v>
          </cell>
          <cell r="CK258">
            <v>0</v>
          </cell>
          <cell r="CL258">
            <v>0</v>
          </cell>
          <cell r="CM258">
            <v>0</v>
          </cell>
          <cell r="CN258">
            <v>0</v>
          </cell>
          <cell r="CO258">
            <v>0</v>
          </cell>
          <cell r="CP258">
            <v>0</v>
          </cell>
          <cell r="CQ258">
            <v>0</v>
          </cell>
          <cell r="CR258">
            <v>0</v>
          </cell>
          <cell r="CS258">
            <v>0</v>
          </cell>
          <cell r="CT258">
            <v>0</v>
          </cell>
          <cell r="CU258">
            <v>0</v>
          </cell>
          <cell r="CV258">
            <v>0</v>
          </cell>
          <cell r="CW258">
            <v>0</v>
          </cell>
          <cell r="CX258">
            <v>0</v>
          </cell>
          <cell r="CY258">
            <v>0</v>
          </cell>
          <cell r="CZ258">
            <v>0</v>
          </cell>
          <cell r="DA258">
            <v>0</v>
          </cell>
          <cell r="DB258">
            <v>0</v>
          </cell>
          <cell r="DC258">
            <v>0</v>
          </cell>
          <cell r="DD258">
            <v>0</v>
          </cell>
          <cell r="DE258">
            <v>0</v>
          </cell>
          <cell r="DF258">
            <v>0</v>
          </cell>
          <cell r="DG258">
            <v>0</v>
          </cell>
          <cell r="DH258">
            <v>0</v>
          </cell>
          <cell r="DI258">
            <v>0</v>
          </cell>
          <cell r="DJ258">
            <v>0</v>
          </cell>
          <cell r="DK258">
            <v>0</v>
          </cell>
          <cell r="DL258">
            <v>0</v>
          </cell>
          <cell r="DM258">
            <v>0</v>
          </cell>
          <cell r="DN258">
            <v>0</v>
          </cell>
          <cell r="DO258">
            <v>0</v>
          </cell>
          <cell r="DP258">
            <v>0</v>
          </cell>
          <cell r="DQ258">
            <v>0</v>
          </cell>
          <cell r="DR258">
            <v>0</v>
          </cell>
          <cell r="DS258">
            <v>0</v>
          </cell>
          <cell r="DT258">
            <v>0</v>
          </cell>
          <cell r="DU258">
            <v>0</v>
          </cell>
          <cell r="DV258">
            <v>0</v>
          </cell>
          <cell r="DW258">
            <v>0</v>
          </cell>
          <cell r="DX258">
            <v>0</v>
          </cell>
          <cell r="DY258">
            <v>0</v>
          </cell>
          <cell r="DZ258">
            <v>0</v>
          </cell>
          <cell r="EA258">
            <v>0</v>
          </cell>
          <cell r="EB258">
            <v>0</v>
          </cell>
          <cell r="EC258">
            <v>0</v>
          </cell>
          <cell r="ED258">
            <v>0</v>
          </cell>
          <cell r="EE258">
            <v>0</v>
          </cell>
          <cell r="EF258">
            <v>0</v>
          </cell>
          <cell r="EG258">
            <v>0</v>
          </cell>
          <cell r="EH258">
            <v>0</v>
          </cell>
          <cell r="EI258">
            <v>0</v>
          </cell>
          <cell r="EJ258">
            <v>0</v>
          </cell>
          <cell r="EK258">
            <v>0</v>
          </cell>
          <cell r="EL258">
            <v>0</v>
          </cell>
          <cell r="EM258">
            <v>0</v>
          </cell>
          <cell r="EN258">
            <v>0</v>
          </cell>
          <cell r="EO258">
            <v>0</v>
          </cell>
          <cell r="EP258">
            <v>0</v>
          </cell>
          <cell r="EQ258">
            <v>0</v>
          </cell>
          <cell r="ER258">
            <v>0</v>
          </cell>
          <cell r="ES258">
            <v>0</v>
          </cell>
          <cell r="ET258">
            <v>0</v>
          </cell>
          <cell r="EU258">
            <v>0</v>
          </cell>
          <cell r="EV258">
            <v>0</v>
          </cell>
          <cell r="EW258">
            <v>0</v>
          </cell>
          <cell r="EX258">
            <v>0</v>
          </cell>
          <cell r="EY258">
            <v>0</v>
          </cell>
          <cell r="EZ258">
            <v>0</v>
          </cell>
          <cell r="FA258">
            <v>0</v>
          </cell>
          <cell r="FB258">
            <v>0</v>
          </cell>
          <cell r="FC258">
            <v>0</v>
          </cell>
          <cell r="FD258">
            <v>0</v>
          </cell>
          <cell r="FE258">
            <v>0</v>
          </cell>
          <cell r="FF258">
            <v>0</v>
          </cell>
          <cell r="FG258">
            <v>0</v>
          </cell>
          <cell r="FH258">
            <v>0</v>
          </cell>
          <cell r="FI258">
            <v>0</v>
          </cell>
          <cell r="FJ258">
            <v>0</v>
          </cell>
          <cell r="FK258">
            <v>0</v>
          </cell>
          <cell r="FL258">
            <v>0</v>
          </cell>
          <cell r="FM258">
            <v>0</v>
          </cell>
          <cell r="FN258">
            <v>0</v>
          </cell>
          <cell r="FO258">
            <v>0</v>
          </cell>
          <cell r="FP258">
            <v>0</v>
          </cell>
          <cell r="FQ258">
            <v>0</v>
          </cell>
          <cell r="FR258">
            <v>0</v>
          </cell>
          <cell r="FS258">
            <v>0</v>
          </cell>
          <cell r="FT258">
            <v>0</v>
          </cell>
          <cell r="FU258">
            <v>0</v>
          </cell>
          <cell r="FV258">
            <v>0</v>
          </cell>
          <cell r="FW258">
            <v>0</v>
          </cell>
          <cell r="FX258">
            <v>0</v>
          </cell>
          <cell r="FY258">
            <v>0</v>
          </cell>
          <cell r="FZ258">
            <v>0</v>
          </cell>
          <cell r="GA258">
            <v>0</v>
          </cell>
          <cell r="GB258">
            <v>0</v>
          </cell>
          <cell r="GC258">
            <v>0</v>
          </cell>
          <cell r="GD258">
            <v>0</v>
          </cell>
          <cell r="GE258">
            <v>0</v>
          </cell>
          <cell r="GF258">
            <v>0</v>
          </cell>
          <cell r="GG258">
            <v>0</v>
          </cell>
          <cell r="GH258">
            <v>0</v>
          </cell>
          <cell r="GI258">
            <v>0</v>
          </cell>
          <cell r="GJ258">
            <v>0</v>
          </cell>
          <cell r="GK258">
            <v>0</v>
          </cell>
          <cell r="GL258">
            <v>0</v>
          </cell>
          <cell r="GM258">
            <v>0</v>
          </cell>
          <cell r="GN258">
            <v>0</v>
          </cell>
          <cell r="GO258">
            <v>0</v>
          </cell>
          <cell r="GP258">
            <v>0</v>
          </cell>
          <cell r="GQ258">
            <v>0</v>
          </cell>
          <cell r="GR258">
            <v>0</v>
          </cell>
          <cell r="GS258">
            <v>0</v>
          </cell>
          <cell r="GT258">
            <v>0</v>
          </cell>
          <cell r="GU258">
            <v>0</v>
          </cell>
          <cell r="GV258">
            <v>0</v>
          </cell>
          <cell r="GW258">
            <v>0</v>
          </cell>
          <cell r="GX258">
            <v>0</v>
          </cell>
          <cell r="GY258">
            <v>0</v>
          </cell>
          <cell r="GZ258">
            <v>0</v>
          </cell>
          <cell r="HA258">
            <v>0</v>
          </cell>
          <cell r="HB258">
            <v>0</v>
          </cell>
          <cell r="HC258">
            <v>0</v>
          </cell>
          <cell r="HD258">
            <v>0</v>
          </cell>
          <cell r="HE258">
            <v>0</v>
          </cell>
          <cell r="HF258">
            <v>0</v>
          </cell>
          <cell r="HG258">
            <v>0</v>
          </cell>
          <cell r="HH258">
            <v>0</v>
          </cell>
          <cell r="HI258">
            <v>0</v>
          </cell>
          <cell r="HJ258">
            <v>0</v>
          </cell>
          <cell r="HK258">
            <v>0</v>
          </cell>
          <cell r="HL258">
            <v>0</v>
          </cell>
          <cell r="HM258">
            <v>0</v>
          </cell>
          <cell r="HN258">
            <v>0</v>
          </cell>
          <cell r="HO258">
            <v>0</v>
          </cell>
          <cell r="HP258">
            <v>0</v>
          </cell>
          <cell r="HQ258">
            <v>0</v>
          </cell>
          <cell r="HR258">
            <v>0</v>
          </cell>
          <cell r="HS258">
            <v>0</v>
          </cell>
          <cell r="HT258">
            <v>0</v>
          </cell>
          <cell r="HU258">
            <v>0</v>
          </cell>
          <cell r="HV258">
            <v>0</v>
          </cell>
          <cell r="HW258">
            <v>0</v>
          </cell>
          <cell r="HX258">
            <v>0</v>
          </cell>
          <cell r="HY258">
            <v>0</v>
          </cell>
          <cell r="HZ258">
            <v>0</v>
          </cell>
          <cell r="IA258">
            <v>0</v>
          </cell>
          <cell r="IB258">
            <v>0</v>
          </cell>
          <cell r="IC258">
            <v>0</v>
          </cell>
          <cell r="ID258">
            <v>0</v>
          </cell>
          <cell r="IE258">
            <v>0</v>
          </cell>
          <cell r="IF258">
            <v>0</v>
          </cell>
          <cell r="IG258">
            <v>0</v>
          </cell>
          <cell r="IH258">
            <v>0</v>
          </cell>
          <cell r="II258">
            <v>0</v>
          </cell>
          <cell r="IJ258">
            <v>0</v>
          </cell>
          <cell r="IK258">
            <v>0</v>
          </cell>
          <cell r="IL258">
            <v>0</v>
          </cell>
          <cell r="IM258">
            <v>0</v>
          </cell>
          <cell r="IN258">
            <v>0</v>
          </cell>
          <cell r="IO258">
            <v>0</v>
          </cell>
          <cell r="IP258">
            <v>0</v>
          </cell>
          <cell r="IQ258">
            <v>0</v>
          </cell>
          <cell r="IR258">
            <v>0</v>
          </cell>
          <cell r="IS258">
            <v>0</v>
          </cell>
          <cell r="IT258">
            <v>0</v>
          </cell>
          <cell r="IU258">
            <v>0</v>
          </cell>
          <cell r="IV258">
            <v>0</v>
          </cell>
          <cell r="IW258">
            <v>0</v>
          </cell>
          <cell r="IX258">
            <v>0</v>
          </cell>
          <cell r="IY258">
            <v>0</v>
          </cell>
          <cell r="IZ258">
            <v>0</v>
          </cell>
          <cell r="JA258">
            <v>0</v>
          </cell>
        </row>
        <row r="259">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cell r="BM259">
            <v>0</v>
          </cell>
          <cell r="BN259">
            <v>0</v>
          </cell>
          <cell r="BO259">
            <v>0</v>
          </cell>
          <cell r="BP259">
            <v>0</v>
          </cell>
          <cell r="BQ259">
            <v>0</v>
          </cell>
          <cell r="BR259">
            <v>0</v>
          </cell>
          <cell r="BS259">
            <v>0</v>
          </cell>
          <cell r="BT259">
            <v>0</v>
          </cell>
          <cell r="BU259">
            <v>0</v>
          </cell>
          <cell r="BV259">
            <v>0</v>
          </cell>
          <cell r="BW259">
            <v>0</v>
          </cell>
          <cell r="BX259">
            <v>0</v>
          </cell>
          <cell r="BY259">
            <v>0</v>
          </cell>
          <cell r="BZ259">
            <v>0</v>
          </cell>
          <cell r="CA259">
            <v>0</v>
          </cell>
          <cell r="CB259">
            <v>0</v>
          </cell>
          <cell r="CC259">
            <v>0</v>
          </cell>
          <cell r="CD259">
            <v>0</v>
          </cell>
          <cell r="CE259">
            <v>0</v>
          </cell>
          <cell r="CF259">
            <v>0</v>
          </cell>
          <cell r="CG259">
            <v>0</v>
          </cell>
          <cell r="CH259">
            <v>0</v>
          </cell>
          <cell r="CI259">
            <v>0</v>
          </cell>
          <cell r="CJ259">
            <v>0</v>
          </cell>
          <cell r="CK259">
            <v>0</v>
          </cell>
          <cell r="CL259">
            <v>0</v>
          </cell>
          <cell r="CM259">
            <v>0</v>
          </cell>
          <cell r="CN259">
            <v>0</v>
          </cell>
          <cell r="CO259">
            <v>0</v>
          </cell>
          <cell r="CP259">
            <v>0</v>
          </cell>
          <cell r="CQ259">
            <v>0</v>
          </cell>
          <cell r="CR259">
            <v>0</v>
          </cell>
          <cell r="CS259">
            <v>0</v>
          </cell>
          <cell r="CT259">
            <v>0</v>
          </cell>
          <cell r="CU259">
            <v>0</v>
          </cell>
          <cell r="CV259">
            <v>0</v>
          </cell>
          <cell r="CW259">
            <v>0</v>
          </cell>
          <cell r="CX259">
            <v>0</v>
          </cell>
          <cell r="CY259">
            <v>0</v>
          </cell>
          <cell r="CZ259">
            <v>0</v>
          </cell>
          <cell r="DA259">
            <v>0</v>
          </cell>
          <cell r="DB259">
            <v>0</v>
          </cell>
          <cell r="DC259">
            <v>0</v>
          </cell>
          <cell r="DD259">
            <v>0</v>
          </cell>
          <cell r="DE259">
            <v>0</v>
          </cell>
          <cell r="DF259">
            <v>0</v>
          </cell>
          <cell r="DG259">
            <v>0</v>
          </cell>
          <cell r="DH259">
            <v>0</v>
          </cell>
          <cell r="DI259">
            <v>0</v>
          </cell>
          <cell r="DJ259">
            <v>0</v>
          </cell>
          <cell r="DK259">
            <v>0</v>
          </cell>
          <cell r="DL259">
            <v>0</v>
          </cell>
          <cell r="DM259">
            <v>0</v>
          </cell>
          <cell r="DN259">
            <v>0</v>
          </cell>
          <cell r="DO259">
            <v>0</v>
          </cell>
          <cell r="DP259">
            <v>0</v>
          </cell>
          <cell r="DQ259">
            <v>0</v>
          </cell>
          <cell r="DR259">
            <v>0</v>
          </cell>
          <cell r="DS259">
            <v>0</v>
          </cell>
          <cell r="DT259">
            <v>0</v>
          </cell>
          <cell r="DU259">
            <v>0</v>
          </cell>
          <cell r="DV259">
            <v>0</v>
          </cell>
          <cell r="DW259">
            <v>0</v>
          </cell>
          <cell r="DX259">
            <v>0</v>
          </cell>
          <cell r="DY259">
            <v>0</v>
          </cell>
          <cell r="DZ259">
            <v>0</v>
          </cell>
          <cell r="EA259">
            <v>0</v>
          </cell>
          <cell r="EB259">
            <v>0</v>
          </cell>
          <cell r="EC259">
            <v>0</v>
          </cell>
          <cell r="ED259">
            <v>0</v>
          </cell>
          <cell r="EE259">
            <v>0</v>
          </cell>
          <cell r="EF259">
            <v>0</v>
          </cell>
          <cell r="EG259">
            <v>0</v>
          </cell>
          <cell r="EH259">
            <v>0</v>
          </cell>
          <cell r="EI259">
            <v>0</v>
          </cell>
          <cell r="EJ259">
            <v>0</v>
          </cell>
          <cell r="EK259">
            <v>0</v>
          </cell>
          <cell r="EL259">
            <v>0</v>
          </cell>
          <cell r="EM259">
            <v>0</v>
          </cell>
          <cell r="EN259">
            <v>0</v>
          </cell>
          <cell r="EO259">
            <v>0</v>
          </cell>
          <cell r="EP259">
            <v>0</v>
          </cell>
          <cell r="EQ259">
            <v>0</v>
          </cell>
          <cell r="ER259">
            <v>0</v>
          </cell>
          <cell r="ES259">
            <v>0</v>
          </cell>
          <cell r="ET259">
            <v>0</v>
          </cell>
          <cell r="EU259">
            <v>0</v>
          </cell>
          <cell r="EV259">
            <v>0</v>
          </cell>
          <cell r="EW259">
            <v>0</v>
          </cell>
          <cell r="EX259">
            <v>0</v>
          </cell>
          <cell r="EY259">
            <v>0</v>
          </cell>
          <cell r="EZ259">
            <v>0</v>
          </cell>
          <cell r="FA259">
            <v>0</v>
          </cell>
          <cell r="FB259">
            <v>0</v>
          </cell>
          <cell r="FC259">
            <v>0</v>
          </cell>
          <cell r="FD259">
            <v>0</v>
          </cell>
          <cell r="FE259">
            <v>0</v>
          </cell>
          <cell r="FF259">
            <v>0</v>
          </cell>
          <cell r="FG259">
            <v>0</v>
          </cell>
          <cell r="FH259">
            <v>0</v>
          </cell>
          <cell r="FI259">
            <v>0</v>
          </cell>
          <cell r="FJ259">
            <v>0</v>
          </cell>
          <cell r="FK259">
            <v>0</v>
          </cell>
          <cell r="FL259">
            <v>0</v>
          </cell>
          <cell r="FM259">
            <v>0</v>
          </cell>
          <cell r="FN259">
            <v>0</v>
          </cell>
          <cell r="FO259">
            <v>0</v>
          </cell>
          <cell r="FP259">
            <v>0</v>
          </cell>
          <cell r="FQ259">
            <v>0</v>
          </cell>
          <cell r="FR259">
            <v>0</v>
          </cell>
          <cell r="FS259">
            <v>0</v>
          </cell>
          <cell r="FT259">
            <v>0</v>
          </cell>
          <cell r="FU259">
            <v>0</v>
          </cell>
          <cell r="FV259">
            <v>0</v>
          </cell>
          <cell r="FW259">
            <v>0</v>
          </cell>
          <cell r="FX259">
            <v>0</v>
          </cell>
          <cell r="FY259">
            <v>0</v>
          </cell>
          <cell r="FZ259">
            <v>0</v>
          </cell>
          <cell r="GA259">
            <v>0</v>
          </cell>
          <cell r="GB259">
            <v>0</v>
          </cell>
          <cell r="GC259">
            <v>0</v>
          </cell>
          <cell r="GD259">
            <v>0</v>
          </cell>
          <cell r="GE259">
            <v>0</v>
          </cell>
          <cell r="GF259">
            <v>0</v>
          </cell>
          <cell r="GG259">
            <v>0</v>
          </cell>
          <cell r="GH259">
            <v>0</v>
          </cell>
          <cell r="GI259">
            <v>0</v>
          </cell>
          <cell r="GJ259">
            <v>0</v>
          </cell>
          <cell r="GK259">
            <v>0</v>
          </cell>
          <cell r="GL259">
            <v>0</v>
          </cell>
          <cell r="GM259">
            <v>0</v>
          </cell>
          <cell r="GN259">
            <v>0</v>
          </cell>
          <cell r="GO259">
            <v>0</v>
          </cell>
          <cell r="GP259">
            <v>0</v>
          </cell>
          <cell r="GQ259">
            <v>0</v>
          </cell>
          <cell r="GR259">
            <v>0</v>
          </cell>
          <cell r="GS259">
            <v>0</v>
          </cell>
          <cell r="GT259">
            <v>0</v>
          </cell>
          <cell r="GU259">
            <v>0</v>
          </cell>
          <cell r="GV259">
            <v>0</v>
          </cell>
          <cell r="GW259">
            <v>0</v>
          </cell>
          <cell r="GX259">
            <v>0</v>
          </cell>
          <cell r="GY259">
            <v>0</v>
          </cell>
          <cell r="GZ259">
            <v>0</v>
          </cell>
          <cell r="HA259">
            <v>0</v>
          </cell>
          <cell r="HB259">
            <v>0</v>
          </cell>
          <cell r="HC259">
            <v>0</v>
          </cell>
          <cell r="HD259">
            <v>0</v>
          </cell>
          <cell r="HE259">
            <v>0</v>
          </cell>
          <cell r="HF259">
            <v>0</v>
          </cell>
          <cell r="HG259">
            <v>0</v>
          </cell>
          <cell r="HH259">
            <v>0</v>
          </cell>
          <cell r="HI259">
            <v>0</v>
          </cell>
          <cell r="HJ259">
            <v>0</v>
          </cell>
          <cell r="HK259">
            <v>0</v>
          </cell>
          <cell r="HL259">
            <v>0</v>
          </cell>
          <cell r="HM259">
            <v>0</v>
          </cell>
          <cell r="HN259">
            <v>0</v>
          </cell>
          <cell r="HO259">
            <v>0</v>
          </cell>
          <cell r="HP259">
            <v>0</v>
          </cell>
          <cell r="HQ259">
            <v>0</v>
          </cell>
          <cell r="HR259">
            <v>0</v>
          </cell>
          <cell r="HS259">
            <v>0</v>
          </cell>
          <cell r="HT259">
            <v>0</v>
          </cell>
          <cell r="HU259">
            <v>0</v>
          </cell>
          <cell r="HV259">
            <v>0</v>
          </cell>
          <cell r="HW259">
            <v>0</v>
          </cell>
          <cell r="HX259">
            <v>0</v>
          </cell>
          <cell r="HY259">
            <v>0</v>
          </cell>
          <cell r="HZ259">
            <v>0</v>
          </cell>
          <cell r="IA259">
            <v>0</v>
          </cell>
          <cell r="IB259">
            <v>0</v>
          </cell>
          <cell r="IC259">
            <v>0</v>
          </cell>
          <cell r="ID259">
            <v>0</v>
          </cell>
          <cell r="IE259">
            <v>0</v>
          </cell>
          <cell r="IF259">
            <v>0</v>
          </cell>
          <cell r="IG259">
            <v>0</v>
          </cell>
          <cell r="IH259">
            <v>0</v>
          </cell>
          <cell r="II259">
            <v>0</v>
          </cell>
          <cell r="IJ259">
            <v>0</v>
          </cell>
          <cell r="IK259">
            <v>0</v>
          </cell>
          <cell r="IL259">
            <v>0</v>
          </cell>
          <cell r="IM259">
            <v>0</v>
          </cell>
          <cell r="IN259">
            <v>0</v>
          </cell>
          <cell r="IO259">
            <v>0</v>
          </cell>
          <cell r="IP259">
            <v>0</v>
          </cell>
          <cell r="IQ259">
            <v>0</v>
          </cell>
          <cell r="IR259">
            <v>0</v>
          </cell>
          <cell r="IS259">
            <v>0</v>
          </cell>
          <cell r="IT259">
            <v>0</v>
          </cell>
          <cell r="IU259">
            <v>0</v>
          </cell>
          <cell r="IV259">
            <v>0</v>
          </cell>
          <cell r="IW259">
            <v>0</v>
          </cell>
          <cell r="IX259">
            <v>0</v>
          </cell>
          <cell r="IY259">
            <v>0</v>
          </cell>
          <cell r="IZ259">
            <v>0</v>
          </cell>
          <cell r="JA259">
            <v>0</v>
          </cell>
        </row>
        <row r="260">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cell r="BM260">
            <v>0</v>
          </cell>
          <cell r="BN260">
            <v>0</v>
          </cell>
          <cell r="BO260">
            <v>0</v>
          </cell>
          <cell r="BP260">
            <v>0</v>
          </cell>
          <cell r="BQ260">
            <v>0</v>
          </cell>
          <cell r="BR260">
            <v>0</v>
          </cell>
          <cell r="BS260">
            <v>0</v>
          </cell>
          <cell r="BT260">
            <v>0</v>
          </cell>
          <cell r="BU260">
            <v>0</v>
          </cell>
          <cell r="BV260">
            <v>0</v>
          </cell>
          <cell r="BW260">
            <v>0</v>
          </cell>
          <cell r="BX260">
            <v>0</v>
          </cell>
          <cell r="BY260">
            <v>0</v>
          </cell>
          <cell r="BZ260">
            <v>0</v>
          </cell>
          <cell r="CA260">
            <v>0</v>
          </cell>
          <cell r="CB260">
            <v>0</v>
          </cell>
          <cell r="CC260">
            <v>0</v>
          </cell>
          <cell r="CD260">
            <v>0</v>
          </cell>
          <cell r="CE260">
            <v>0</v>
          </cell>
          <cell r="CF260">
            <v>0</v>
          </cell>
          <cell r="CG260">
            <v>0</v>
          </cell>
          <cell r="CH260">
            <v>0</v>
          </cell>
          <cell r="CI260">
            <v>0</v>
          </cell>
          <cell r="CJ260">
            <v>0</v>
          </cell>
          <cell r="CK260">
            <v>0</v>
          </cell>
          <cell r="CL260">
            <v>0</v>
          </cell>
          <cell r="CM260">
            <v>0</v>
          </cell>
          <cell r="CN260">
            <v>0</v>
          </cell>
          <cell r="CO260">
            <v>0</v>
          </cell>
          <cell r="CP260">
            <v>0</v>
          </cell>
          <cell r="CQ260">
            <v>0</v>
          </cell>
          <cell r="CR260">
            <v>0</v>
          </cell>
          <cell r="CS260">
            <v>0</v>
          </cell>
          <cell r="CT260">
            <v>0</v>
          </cell>
          <cell r="CU260">
            <v>0</v>
          </cell>
          <cell r="CV260">
            <v>0</v>
          </cell>
          <cell r="CW260">
            <v>0</v>
          </cell>
          <cell r="CX260">
            <v>0</v>
          </cell>
          <cell r="CY260">
            <v>0</v>
          </cell>
          <cell r="CZ260">
            <v>0</v>
          </cell>
          <cell r="DA260">
            <v>0</v>
          </cell>
          <cell r="DB260">
            <v>0</v>
          </cell>
          <cell r="DC260">
            <v>0</v>
          </cell>
          <cell r="DD260">
            <v>0</v>
          </cell>
          <cell r="DE260">
            <v>0</v>
          </cell>
          <cell r="DF260">
            <v>0</v>
          </cell>
          <cell r="DG260">
            <v>0</v>
          </cell>
          <cell r="DH260">
            <v>0</v>
          </cell>
          <cell r="DI260">
            <v>0</v>
          </cell>
          <cell r="DJ260">
            <v>0</v>
          </cell>
          <cell r="DK260">
            <v>0</v>
          </cell>
          <cell r="DL260">
            <v>0</v>
          </cell>
          <cell r="DM260">
            <v>0</v>
          </cell>
          <cell r="DN260">
            <v>0</v>
          </cell>
          <cell r="DO260">
            <v>0</v>
          </cell>
          <cell r="DP260">
            <v>0</v>
          </cell>
          <cell r="DQ260">
            <v>0</v>
          </cell>
          <cell r="DR260">
            <v>0</v>
          </cell>
          <cell r="DS260">
            <v>0</v>
          </cell>
          <cell r="DT260">
            <v>0</v>
          </cell>
          <cell r="DU260">
            <v>0</v>
          </cell>
          <cell r="DV260">
            <v>0</v>
          </cell>
          <cell r="DW260">
            <v>0</v>
          </cell>
          <cell r="DX260">
            <v>0</v>
          </cell>
          <cell r="DY260">
            <v>0</v>
          </cell>
          <cell r="DZ260">
            <v>0</v>
          </cell>
          <cell r="EA260">
            <v>0</v>
          </cell>
          <cell r="EB260">
            <v>0</v>
          </cell>
          <cell r="EC260">
            <v>0</v>
          </cell>
          <cell r="ED260">
            <v>0</v>
          </cell>
          <cell r="EE260">
            <v>0</v>
          </cell>
          <cell r="EF260">
            <v>0</v>
          </cell>
          <cell r="EG260">
            <v>0</v>
          </cell>
          <cell r="EH260">
            <v>0</v>
          </cell>
          <cell r="EI260">
            <v>0</v>
          </cell>
          <cell r="EJ260">
            <v>0</v>
          </cell>
          <cell r="EK260">
            <v>0</v>
          </cell>
          <cell r="EL260">
            <v>0</v>
          </cell>
          <cell r="EM260">
            <v>0</v>
          </cell>
          <cell r="EN260">
            <v>0</v>
          </cell>
          <cell r="EO260">
            <v>0</v>
          </cell>
          <cell r="EP260">
            <v>0</v>
          </cell>
          <cell r="EQ260">
            <v>0</v>
          </cell>
          <cell r="ER260">
            <v>0</v>
          </cell>
          <cell r="ES260">
            <v>0</v>
          </cell>
          <cell r="ET260">
            <v>0</v>
          </cell>
          <cell r="EU260">
            <v>0</v>
          </cell>
          <cell r="EV260">
            <v>0</v>
          </cell>
          <cell r="EW260">
            <v>0</v>
          </cell>
          <cell r="EX260">
            <v>0</v>
          </cell>
          <cell r="EY260">
            <v>0</v>
          </cell>
          <cell r="EZ260">
            <v>0</v>
          </cell>
          <cell r="FA260">
            <v>0</v>
          </cell>
          <cell r="FB260">
            <v>0</v>
          </cell>
          <cell r="FC260">
            <v>0</v>
          </cell>
          <cell r="FD260">
            <v>0</v>
          </cell>
          <cell r="FE260">
            <v>0</v>
          </cell>
          <cell r="FF260">
            <v>0</v>
          </cell>
          <cell r="FG260">
            <v>0</v>
          </cell>
          <cell r="FH260">
            <v>0</v>
          </cell>
          <cell r="FI260">
            <v>0</v>
          </cell>
          <cell r="FJ260">
            <v>0</v>
          </cell>
          <cell r="FK260">
            <v>0</v>
          </cell>
          <cell r="FL260">
            <v>0</v>
          </cell>
          <cell r="FM260">
            <v>0</v>
          </cell>
          <cell r="FN260">
            <v>0</v>
          </cell>
          <cell r="FO260">
            <v>0</v>
          </cell>
          <cell r="FP260">
            <v>0</v>
          </cell>
          <cell r="FQ260">
            <v>0</v>
          </cell>
          <cell r="FR260">
            <v>0</v>
          </cell>
          <cell r="FS260">
            <v>0</v>
          </cell>
          <cell r="FT260">
            <v>0</v>
          </cell>
          <cell r="FU260">
            <v>0</v>
          </cell>
          <cell r="FV260">
            <v>0</v>
          </cell>
          <cell r="FW260">
            <v>0</v>
          </cell>
          <cell r="FX260">
            <v>0</v>
          </cell>
          <cell r="FY260">
            <v>0</v>
          </cell>
          <cell r="FZ260">
            <v>0</v>
          </cell>
          <cell r="GA260">
            <v>0</v>
          </cell>
          <cell r="GB260">
            <v>0</v>
          </cell>
          <cell r="GC260">
            <v>0</v>
          </cell>
          <cell r="GD260">
            <v>0</v>
          </cell>
          <cell r="GE260">
            <v>0</v>
          </cell>
          <cell r="GF260">
            <v>0</v>
          </cell>
          <cell r="GG260">
            <v>0</v>
          </cell>
          <cell r="GH260">
            <v>0</v>
          </cell>
          <cell r="GI260">
            <v>0</v>
          </cell>
          <cell r="GJ260">
            <v>0</v>
          </cell>
          <cell r="GK260">
            <v>0</v>
          </cell>
          <cell r="GL260">
            <v>0</v>
          </cell>
          <cell r="GM260">
            <v>0</v>
          </cell>
          <cell r="GN260">
            <v>0</v>
          </cell>
          <cell r="GO260">
            <v>0</v>
          </cell>
          <cell r="GP260">
            <v>0</v>
          </cell>
          <cell r="GQ260">
            <v>0</v>
          </cell>
          <cell r="GR260">
            <v>0</v>
          </cell>
          <cell r="GS260">
            <v>0</v>
          </cell>
          <cell r="GT260">
            <v>0</v>
          </cell>
          <cell r="GU260">
            <v>0</v>
          </cell>
          <cell r="GV260">
            <v>0</v>
          </cell>
          <cell r="GW260">
            <v>0</v>
          </cell>
          <cell r="GX260">
            <v>0</v>
          </cell>
          <cell r="GY260">
            <v>0</v>
          </cell>
          <cell r="GZ260">
            <v>0</v>
          </cell>
          <cell r="HA260">
            <v>0</v>
          </cell>
          <cell r="HB260">
            <v>0</v>
          </cell>
          <cell r="HC260">
            <v>0</v>
          </cell>
          <cell r="HD260">
            <v>0</v>
          </cell>
          <cell r="HE260">
            <v>0</v>
          </cell>
          <cell r="HF260">
            <v>0</v>
          </cell>
          <cell r="HG260">
            <v>0</v>
          </cell>
          <cell r="HH260">
            <v>0</v>
          </cell>
          <cell r="HI260">
            <v>0</v>
          </cell>
          <cell r="HJ260">
            <v>0</v>
          </cell>
          <cell r="HK260">
            <v>0</v>
          </cell>
          <cell r="HL260">
            <v>0</v>
          </cell>
          <cell r="HM260">
            <v>0</v>
          </cell>
          <cell r="HN260">
            <v>0</v>
          </cell>
          <cell r="HO260">
            <v>0</v>
          </cell>
          <cell r="HP260">
            <v>0</v>
          </cell>
          <cell r="HQ260">
            <v>0</v>
          </cell>
          <cell r="HR260">
            <v>0</v>
          </cell>
          <cell r="HS260">
            <v>0</v>
          </cell>
          <cell r="HT260">
            <v>0</v>
          </cell>
          <cell r="HU260">
            <v>0</v>
          </cell>
          <cell r="HV260">
            <v>0</v>
          </cell>
          <cell r="HW260">
            <v>0</v>
          </cell>
          <cell r="HX260">
            <v>0</v>
          </cell>
          <cell r="HY260">
            <v>0</v>
          </cell>
          <cell r="HZ260">
            <v>0</v>
          </cell>
          <cell r="IA260">
            <v>0</v>
          </cell>
          <cell r="IB260">
            <v>0</v>
          </cell>
          <cell r="IC260">
            <v>0</v>
          </cell>
          <cell r="ID260">
            <v>0</v>
          </cell>
          <cell r="IE260">
            <v>0</v>
          </cell>
          <cell r="IF260">
            <v>0</v>
          </cell>
          <cell r="IG260">
            <v>0</v>
          </cell>
          <cell r="IH260">
            <v>0</v>
          </cell>
          <cell r="II260">
            <v>0</v>
          </cell>
          <cell r="IJ260">
            <v>0</v>
          </cell>
          <cell r="IK260">
            <v>0</v>
          </cell>
          <cell r="IL260">
            <v>0</v>
          </cell>
          <cell r="IM260">
            <v>0</v>
          </cell>
          <cell r="IN260">
            <v>0</v>
          </cell>
          <cell r="IO260">
            <v>0</v>
          </cell>
          <cell r="IP260">
            <v>0</v>
          </cell>
          <cell r="IQ260">
            <v>0</v>
          </cell>
          <cell r="IR260">
            <v>0</v>
          </cell>
          <cell r="IS260">
            <v>0</v>
          </cell>
          <cell r="IT260">
            <v>0</v>
          </cell>
          <cell r="IU260">
            <v>0</v>
          </cell>
          <cell r="IV260">
            <v>0</v>
          </cell>
          <cell r="IW260">
            <v>0</v>
          </cell>
          <cell r="IX260">
            <v>0</v>
          </cell>
          <cell r="IY260">
            <v>0</v>
          </cell>
          <cell r="IZ260">
            <v>0</v>
          </cell>
          <cell r="JA260">
            <v>0</v>
          </cell>
        </row>
        <row r="261">
          <cell r="L261">
            <v>1.6369279999999999</v>
          </cell>
          <cell r="M261">
            <v>22.627496000000001</v>
          </cell>
          <cell r="N261">
            <v>50.418599999999998</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cell r="BM261">
            <v>0</v>
          </cell>
          <cell r="BN261">
            <v>0</v>
          </cell>
          <cell r="BO261">
            <v>0</v>
          </cell>
          <cell r="BP261">
            <v>0</v>
          </cell>
          <cell r="BQ261">
            <v>0</v>
          </cell>
          <cell r="BR261">
            <v>0</v>
          </cell>
          <cell r="BS261">
            <v>0</v>
          </cell>
          <cell r="BT261">
            <v>0</v>
          </cell>
          <cell r="BU261">
            <v>0</v>
          </cell>
          <cell r="BV261">
            <v>0</v>
          </cell>
          <cell r="BW261">
            <v>0</v>
          </cell>
          <cell r="BX261">
            <v>0</v>
          </cell>
          <cell r="BY261">
            <v>0</v>
          </cell>
          <cell r="BZ261">
            <v>0</v>
          </cell>
          <cell r="CA261">
            <v>0</v>
          </cell>
          <cell r="CB261">
            <v>0</v>
          </cell>
          <cell r="CC261">
            <v>0</v>
          </cell>
          <cell r="CD261">
            <v>0</v>
          </cell>
          <cell r="CE261">
            <v>0</v>
          </cell>
          <cell r="CF261">
            <v>0</v>
          </cell>
          <cell r="CG261">
            <v>0</v>
          </cell>
          <cell r="CH261">
            <v>0</v>
          </cell>
          <cell r="CI261">
            <v>0</v>
          </cell>
          <cell r="CJ261">
            <v>0</v>
          </cell>
          <cell r="CK261">
            <v>0</v>
          </cell>
          <cell r="CL261">
            <v>0</v>
          </cell>
          <cell r="CM261">
            <v>0</v>
          </cell>
          <cell r="CN261">
            <v>0</v>
          </cell>
          <cell r="CO261">
            <v>0</v>
          </cell>
          <cell r="CP261">
            <v>0</v>
          </cell>
          <cell r="CQ261">
            <v>0</v>
          </cell>
          <cell r="CR261">
            <v>0</v>
          </cell>
          <cell r="CS261">
            <v>0</v>
          </cell>
          <cell r="CT261">
            <v>0</v>
          </cell>
          <cell r="CU261">
            <v>0</v>
          </cell>
          <cell r="CV261">
            <v>0</v>
          </cell>
          <cell r="CW261">
            <v>0</v>
          </cell>
          <cell r="CX261">
            <v>0</v>
          </cell>
          <cell r="CY261">
            <v>0</v>
          </cell>
          <cell r="CZ261">
            <v>0</v>
          </cell>
          <cell r="DA261">
            <v>0</v>
          </cell>
          <cell r="DB261">
            <v>0</v>
          </cell>
          <cell r="DC261">
            <v>0</v>
          </cell>
          <cell r="DD261">
            <v>0</v>
          </cell>
          <cell r="DE261">
            <v>0</v>
          </cell>
          <cell r="DF261">
            <v>0</v>
          </cell>
          <cell r="DG261">
            <v>0</v>
          </cell>
          <cell r="DH261">
            <v>0</v>
          </cell>
          <cell r="DI261">
            <v>0</v>
          </cell>
          <cell r="DJ261">
            <v>0</v>
          </cell>
          <cell r="DK261">
            <v>0</v>
          </cell>
          <cell r="DL261">
            <v>0</v>
          </cell>
          <cell r="DM261">
            <v>0</v>
          </cell>
          <cell r="DN261">
            <v>0</v>
          </cell>
          <cell r="DO261">
            <v>0</v>
          </cell>
          <cell r="DP261">
            <v>0</v>
          </cell>
          <cell r="DQ261">
            <v>0</v>
          </cell>
          <cell r="DR261">
            <v>0</v>
          </cell>
          <cell r="DS261">
            <v>0</v>
          </cell>
          <cell r="DT261">
            <v>0</v>
          </cell>
          <cell r="DU261">
            <v>0</v>
          </cell>
          <cell r="DV261">
            <v>0</v>
          </cell>
          <cell r="DW261">
            <v>0</v>
          </cell>
          <cell r="DX261">
            <v>0</v>
          </cell>
          <cell r="DY261">
            <v>0</v>
          </cell>
          <cell r="DZ261">
            <v>0</v>
          </cell>
          <cell r="EA261">
            <v>0</v>
          </cell>
          <cell r="EB261">
            <v>0</v>
          </cell>
          <cell r="EC261">
            <v>0</v>
          </cell>
          <cell r="ED261">
            <v>0</v>
          </cell>
          <cell r="EE261">
            <v>0</v>
          </cell>
          <cell r="EF261">
            <v>0</v>
          </cell>
          <cell r="EG261">
            <v>0</v>
          </cell>
          <cell r="EH261">
            <v>0</v>
          </cell>
          <cell r="EI261">
            <v>0</v>
          </cell>
          <cell r="EJ261">
            <v>0</v>
          </cell>
          <cell r="EK261">
            <v>0</v>
          </cell>
          <cell r="EL261">
            <v>0</v>
          </cell>
          <cell r="EM261">
            <v>0</v>
          </cell>
          <cell r="EN261">
            <v>0</v>
          </cell>
          <cell r="EO261">
            <v>0</v>
          </cell>
          <cell r="EP261">
            <v>0</v>
          </cell>
          <cell r="EQ261">
            <v>0</v>
          </cell>
          <cell r="ER261">
            <v>0</v>
          </cell>
          <cell r="ES261">
            <v>0</v>
          </cell>
          <cell r="ET261">
            <v>0</v>
          </cell>
          <cell r="EU261">
            <v>0</v>
          </cell>
          <cell r="EV261">
            <v>0</v>
          </cell>
          <cell r="EW261">
            <v>0</v>
          </cell>
          <cell r="EX261">
            <v>0</v>
          </cell>
          <cell r="EY261">
            <v>0</v>
          </cell>
          <cell r="EZ261">
            <v>0</v>
          </cell>
          <cell r="FA261">
            <v>0</v>
          </cell>
          <cell r="FB261">
            <v>0</v>
          </cell>
          <cell r="FC261">
            <v>0</v>
          </cell>
          <cell r="FD261">
            <v>0</v>
          </cell>
          <cell r="FE261">
            <v>0</v>
          </cell>
          <cell r="FF261">
            <v>0</v>
          </cell>
          <cell r="FG261">
            <v>0</v>
          </cell>
          <cell r="FH261">
            <v>0</v>
          </cell>
          <cell r="FI261">
            <v>0</v>
          </cell>
          <cell r="FJ261">
            <v>0</v>
          </cell>
          <cell r="FK261">
            <v>0</v>
          </cell>
          <cell r="FL261">
            <v>0</v>
          </cell>
          <cell r="FM261">
            <v>0</v>
          </cell>
          <cell r="FN261">
            <v>0</v>
          </cell>
          <cell r="FO261">
            <v>0</v>
          </cell>
          <cell r="FP261">
            <v>0</v>
          </cell>
          <cell r="FQ261">
            <v>0</v>
          </cell>
          <cell r="FR261">
            <v>0</v>
          </cell>
          <cell r="FS261">
            <v>0</v>
          </cell>
          <cell r="FT261">
            <v>0</v>
          </cell>
          <cell r="FU261">
            <v>0</v>
          </cell>
          <cell r="FV261">
            <v>0</v>
          </cell>
          <cell r="FW261">
            <v>0</v>
          </cell>
          <cell r="FX261">
            <v>0</v>
          </cell>
          <cell r="FY261">
            <v>0</v>
          </cell>
          <cell r="FZ261">
            <v>0</v>
          </cell>
          <cell r="GA261">
            <v>0</v>
          </cell>
          <cell r="GB261">
            <v>0</v>
          </cell>
          <cell r="GC261">
            <v>0</v>
          </cell>
          <cell r="GD261">
            <v>0</v>
          </cell>
          <cell r="GE261">
            <v>0</v>
          </cell>
          <cell r="GF261">
            <v>0</v>
          </cell>
          <cell r="GG261">
            <v>0</v>
          </cell>
          <cell r="GH261">
            <v>0</v>
          </cell>
          <cell r="GI261">
            <v>0</v>
          </cell>
          <cell r="GJ261">
            <v>0</v>
          </cell>
          <cell r="GK261">
            <v>0</v>
          </cell>
          <cell r="GL261">
            <v>0</v>
          </cell>
          <cell r="GM261">
            <v>0</v>
          </cell>
          <cell r="GN261">
            <v>0</v>
          </cell>
          <cell r="GO261">
            <v>0</v>
          </cell>
          <cell r="GP261">
            <v>0</v>
          </cell>
          <cell r="GQ261">
            <v>0</v>
          </cell>
          <cell r="GR261">
            <v>0</v>
          </cell>
          <cell r="GS261">
            <v>0</v>
          </cell>
          <cell r="GT261">
            <v>0</v>
          </cell>
          <cell r="GU261">
            <v>0</v>
          </cell>
          <cell r="GV261">
            <v>0</v>
          </cell>
          <cell r="GW261">
            <v>0</v>
          </cell>
          <cell r="GX261">
            <v>0</v>
          </cell>
          <cell r="GY261">
            <v>0</v>
          </cell>
          <cell r="GZ261">
            <v>0</v>
          </cell>
          <cell r="HA261">
            <v>0</v>
          </cell>
          <cell r="HB261">
            <v>0</v>
          </cell>
          <cell r="HC261">
            <v>0</v>
          </cell>
          <cell r="HD261">
            <v>0</v>
          </cell>
          <cell r="HE261">
            <v>0</v>
          </cell>
          <cell r="HF261">
            <v>0</v>
          </cell>
          <cell r="HG261">
            <v>0</v>
          </cell>
          <cell r="HH261">
            <v>0</v>
          </cell>
          <cell r="HI261">
            <v>0</v>
          </cell>
          <cell r="HJ261">
            <v>0</v>
          </cell>
          <cell r="HK261">
            <v>0</v>
          </cell>
          <cell r="HL261">
            <v>0</v>
          </cell>
          <cell r="HM261">
            <v>0</v>
          </cell>
          <cell r="HN261">
            <v>0</v>
          </cell>
          <cell r="HO261">
            <v>0</v>
          </cell>
          <cell r="HP261">
            <v>0</v>
          </cell>
          <cell r="HQ261">
            <v>0</v>
          </cell>
          <cell r="HR261">
            <v>0</v>
          </cell>
          <cell r="HS261">
            <v>0</v>
          </cell>
          <cell r="HT261">
            <v>0</v>
          </cell>
          <cell r="HU261">
            <v>0</v>
          </cell>
          <cell r="HV261">
            <v>0</v>
          </cell>
          <cell r="HW261">
            <v>0</v>
          </cell>
          <cell r="HX261">
            <v>0</v>
          </cell>
          <cell r="HY261">
            <v>0</v>
          </cell>
          <cell r="HZ261">
            <v>0</v>
          </cell>
          <cell r="IA261">
            <v>0</v>
          </cell>
          <cell r="IB261">
            <v>0</v>
          </cell>
          <cell r="IC261">
            <v>0</v>
          </cell>
          <cell r="ID261">
            <v>0</v>
          </cell>
          <cell r="IE261">
            <v>0</v>
          </cell>
          <cell r="IF261">
            <v>0</v>
          </cell>
          <cell r="IG261">
            <v>0</v>
          </cell>
          <cell r="IH261">
            <v>0</v>
          </cell>
          <cell r="II261">
            <v>0</v>
          </cell>
          <cell r="IJ261">
            <v>0</v>
          </cell>
          <cell r="IK261">
            <v>0</v>
          </cell>
          <cell r="IL261">
            <v>0</v>
          </cell>
          <cell r="IM261">
            <v>0</v>
          </cell>
          <cell r="IN261">
            <v>0</v>
          </cell>
          <cell r="IO261">
            <v>0</v>
          </cell>
          <cell r="IP261">
            <v>0</v>
          </cell>
          <cell r="IQ261">
            <v>0</v>
          </cell>
          <cell r="IR261">
            <v>0</v>
          </cell>
          <cell r="IS261">
            <v>0</v>
          </cell>
          <cell r="IT261">
            <v>0</v>
          </cell>
          <cell r="IU261">
            <v>0</v>
          </cell>
          <cell r="IV261">
            <v>0</v>
          </cell>
          <cell r="IW261">
            <v>0</v>
          </cell>
          <cell r="IX261">
            <v>0</v>
          </cell>
          <cell r="IY261">
            <v>0</v>
          </cell>
          <cell r="IZ261">
            <v>0</v>
          </cell>
          <cell r="JA261">
            <v>0</v>
          </cell>
        </row>
        <row r="262">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cell r="BM262">
            <v>0</v>
          </cell>
          <cell r="BN262">
            <v>0</v>
          </cell>
          <cell r="BO262">
            <v>0</v>
          </cell>
          <cell r="BP262">
            <v>0</v>
          </cell>
          <cell r="BQ262">
            <v>0</v>
          </cell>
          <cell r="BR262">
            <v>0</v>
          </cell>
          <cell r="BS262">
            <v>0</v>
          </cell>
          <cell r="BT262">
            <v>0</v>
          </cell>
          <cell r="BU262">
            <v>0</v>
          </cell>
          <cell r="BV262">
            <v>0</v>
          </cell>
          <cell r="BW262">
            <v>0</v>
          </cell>
          <cell r="BX262">
            <v>0</v>
          </cell>
          <cell r="BY262">
            <v>0</v>
          </cell>
          <cell r="BZ262">
            <v>0</v>
          </cell>
          <cell r="CA262">
            <v>0</v>
          </cell>
          <cell r="CB262">
            <v>0</v>
          </cell>
          <cell r="CC262">
            <v>0</v>
          </cell>
          <cell r="CD262">
            <v>0</v>
          </cell>
          <cell r="CE262">
            <v>0</v>
          </cell>
          <cell r="CF262">
            <v>0</v>
          </cell>
          <cell r="CG262">
            <v>0</v>
          </cell>
          <cell r="CH262">
            <v>0</v>
          </cell>
          <cell r="CI262">
            <v>0</v>
          </cell>
          <cell r="CJ262">
            <v>0</v>
          </cell>
          <cell r="CK262">
            <v>0</v>
          </cell>
          <cell r="CL262">
            <v>0</v>
          </cell>
          <cell r="CM262">
            <v>0</v>
          </cell>
          <cell r="CN262">
            <v>0</v>
          </cell>
          <cell r="CO262">
            <v>0</v>
          </cell>
          <cell r="CP262">
            <v>0</v>
          </cell>
          <cell r="CQ262">
            <v>0</v>
          </cell>
          <cell r="CR262">
            <v>0</v>
          </cell>
          <cell r="CS262">
            <v>0</v>
          </cell>
          <cell r="CT262">
            <v>0</v>
          </cell>
          <cell r="CU262">
            <v>0</v>
          </cell>
          <cell r="CV262">
            <v>0</v>
          </cell>
          <cell r="CW262">
            <v>0</v>
          </cell>
          <cell r="CX262">
            <v>0</v>
          </cell>
          <cell r="CY262">
            <v>0</v>
          </cell>
          <cell r="CZ262">
            <v>0</v>
          </cell>
          <cell r="DA262">
            <v>0</v>
          </cell>
          <cell r="DB262">
            <v>0</v>
          </cell>
          <cell r="DC262">
            <v>0</v>
          </cell>
          <cell r="DD262">
            <v>0</v>
          </cell>
          <cell r="DE262">
            <v>0</v>
          </cell>
          <cell r="DF262">
            <v>0</v>
          </cell>
          <cell r="DG262">
            <v>0</v>
          </cell>
          <cell r="DH262">
            <v>0</v>
          </cell>
          <cell r="DI262">
            <v>0</v>
          </cell>
          <cell r="DJ262">
            <v>0</v>
          </cell>
          <cell r="DK262">
            <v>0</v>
          </cell>
          <cell r="DL262">
            <v>0</v>
          </cell>
          <cell r="DM262">
            <v>0</v>
          </cell>
          <cell r="DN262">
            <v>0</v>
          </cell>
          <cell r="DO262">
            <v>0</v>
          </cell>
          <cell r="DP262">
            <v>0</v>
          </cell>
          <cell r="DQ262">
            <v>0</v>
          </cell>
          <cell r="DR262">
            <v>0</v>
          </cell>
          <cell r="DS262">
            <v>0</v>
          </cell>
          <cell r="DT262">
            <v>0</v>
          </cell>
          <cell r="DU262">
            <v>0</v>
          </cell>
          <cell r="DV262">
            <v>0</v>
          </cell>
          <cell r="DW262">
            <v>0</v>
          </cell>
          <cell r="DX262">
            <v>0</v>
          </cell>
          <cell r="DY262">
            <v>0</v>
          </cell>
          <cell r="DZ262">
            <v>0</v>
          </cell>
          <cell r="EA262">
            <v>0</v>
          </cell>
          <cell r="EB262">
            <v>0</v>
          </cell>
          <cell r="EC262">
            <v>0</v>
          </cell>
          <cell r="ED262">
            <v>0</v>
          </cell>
          <cell r="EE262">
            <v>0</v>
          </cell>
          <cell r="EF262">
            <v>0</v>
          </cell>
          <cell r="EG262">
            <v>0</v>
          </cell>
          <cell r="EH262">
            <v>0</v>
          </cell>
          <cell r="EI262">
            <v>0</v>
          </cell>
          <cell r="EJ262">
            <v>0</v>
          </cell>
          <cell r="EK262">
            <v>0</v>
          </cell>
          <cell r="EL262">
            <v>0</v>
          </cell>
          <cell r="EM262">
            <v>0</v>
          </cell>
          <cell r="EN262">
            <v>0</v>
          </cell>
          <cell r="EO262">
            <v>0</v>
          </cell>
          <cell r="EP262">
            <v>0</v>
          </cell>
          <cell r="EQ262">
            <v>0</v>
          </cell>
          <cell r="ER262">
            <v>0</v>
          </cell>
          <cell r="ES262">
            <v>0</v>
          </cell>
          <cell r="ET262">
            <v>0</v>
          </cell>
          <cell r="EU262">
            <v>0</v>
          </cell>
          <cell r="EV262">
            <v>0</v>
          </cell>
          <cell r="EW262">
            <v>0</v>
          </cell>
          <cell r="EX262">
            <v>0</v>
          </cell>
          <cell r="EY262">
            <v>0</v>
          </cell>
          <cell r="EZ262">
            <v>0</v>
          </cell>
          <cell r="FA262">
            <v>0</v>
          </cell>
          <cell r="FB262">
            <v>0</v>
          </cell>
          <cell r="FC262">
            <v>0</v>
          </cell>
          <cell r="FD262">
            <v>0</v>
          </cell>
          <cell r="FE262">
            <v>0</v>
          </cell>
          <cell r="FF262">
            <v>0</v>
          </cell>
          <cell r="FG262">
            <v>0</v>
          </cell>
          <cell r="FH262">
            <v>0</v>
          </cell>
          <cell r="FI262">
            <v>0</v>
          </cell>
          <cell r="FJ262">
            <v>0</v>
          </cell>
          <cell r="FK262">
            <v>0</v>
          </cell>
          <cell r="FL262">
            <v>0</v>
          </cell>
          <cell r="FM262">
            <v>0</v>
          </cell>
          <cell r="FN262">
            <v>0</v>
          </cell>
          <cell r="FO262">
            <v>0</v>
          </cell>
          <cell r="FP262">
            <v>0</v>
          </cell>
          <cell r="FQ262">
            <v>0</v>
          </cell>
          <cell r="FR262">
            <v>0</v>
          </cell>
          <cell r="FS262">
            <v>0</v>
          </cell>
          <cell r="FT262">
            <v>0</v>
          </cell>
          <cell r="FU262">
            <v>0</v>
          </cell>
          <cell r="FV262">
            <v>0</v>
          </cell>
          <cell r="FW262">
            <v>0</v>
          </cell>
          <cell r="FX262">
            <v>0</v>
          </cell>
          <cell r="FY262">
            <v>0</v>
          </cell>
          <cell r="FZ262">
            <v>0</v>
          </cell>
          <cell r="GA262">
            <v>0</v>
          </cell>
          <cell r="GB262">
            <v>0</v>
          </cell>
          <cell r="GC262">
            <v>0</v>
          </cell>
          <cell r="GD262">
            <v>0</v>
          </cell>
          <cell r="GE262">
            <v>0</v>
          </cell>
          <cell r="GF262">
            <v>0</v>
          </cell>
          <cell r="GG262">
            <v>0</v>
          </cell>
          <cell r="GH262">
            <v>0</v>
          </cell>
          <cell r="GI262">
            <v>0</v>
          </cell>
          <cell r="GJ262">
            <v>0</v>
          </cell>
          <cell r="GK262">
            <v>0</v>
          </cell>
          <cell r="GL262">
            <v>0</v>
          </cell>
          <cell r="GM262">
            <v>0</v>
          </cell>
          <cell r="GN262">
            <v>0</v>
          </cell>
          <cell r="GO262">
            <v>0</v>
          </cell>
          <cell r="GP262">
            <v>0</v>
          </cell>
          <cell r="GQ262">
            <v>0</v>
          </cell>
          <cell r="GR262">
            <v>0</v>
          </cell>
          <cell r="GS262">
            <v>0</v>
          </cell>
          <cell r="GT262">
            <v>0</v>
          </cell>
          <cell r="GU262">
            <v>0</v>
          </cell>
          <cell r="GV262">
            <v>0</v>
          </cell>
          <cell r="GW262">
            <v>0</v>
          </cell>
          <cell r="GX262">
            <v>0</v>
          </cell>
          <cell r="GY262">
            <v>0</v>
          </cell>
          <cell r="GZ262">
            <v>0</v>
          </cell>
          <cell r="HA262">
            <v>0</v>
          </cell>
          <cell r="HB262">
            <v>0</v>
          </cell>
          <cell r="HC262">
            <v>0</v>
          </cell>
          <cell r="HD262">
            <v>0</v>
          </cell>
          <cell r="HE262">
            <v>0</v>
          </cell>
          <cell r="HF262">
            <v>0</v>
          </cell>
          <cell r="HG262">
            <v>0</v>
          </cell>
          <cell r="HH262">
            <v>0</v>
          </cell>
          <cell r="HI262">
            <v>0</v>
          </cell>
          <cell r="HJ262">
            <v>0</v>
          </cell>
          <cell r="HK262">
            <v>0</v>
          </cell>
          <cell r="HL262">
            <v>0</v>
          </cell>
          <cell r="HM262">
            <v>0</v>
          </cell>
          <cell r="HN262">
            <v>0</v>
          </cell>
          <cell r="HO262">
            <v>0</v>
          </cell>
          <cell r="HP262">
            <v>0</v>
          </cell>
          <cell r="HQ262">
            <v>0</v>
          </cell>
          <cell r="HR262">
            <v>0</v>
          </cell>
          <cell r="HS262">
            <v>0</v>
          </cell>
          <cell r="HT262">
            <v>0</v>
          </cell>
          <cell r="HU262">
            <v>0</v>
          </cell>
          <cell r="HV262">
            <v>0</v>
          </cell>
          <cell r="HW262">
            <v>0</v>
          </cell>
          <cell r="HX262">
            <v>0</v>
          </cell>
          <cell r="HY262">
            <v>0</v>
          </cell>
          <cell r="HZ262">
            <v>0</v>
          </cell>
          <cell r="IA262">
            <v>0</v>
          </cell>
          <cell r="IB262">
            <v>0</v>
          </cell>
          <cell r="IC262">
            <v>0</v>
          </cell>
          <cell r="ID262">
            <v>0</v>
          </cell>
          <cell r="IE262">
            <v>0</v>
          </cell>
          <cell r="IF262">
            <v>0</v>
          </cell>
          <cell r="IG262">
            <v>0</v>
          </cell>
          <cell r="IH262">
            <v>0</v>
          </cell>
          <cell r="II262">
            <v>0</v>
          </cell>
          <cell r="IJ262">
            <v>0</v>
          </cell>
          <cell r="IK262">
            <v>0</v>
          </cell>
          <cell r="IL262">
            <v>0</v>
          </cell>
          <cell r="IM262">
            <v>0</v>
          </cell>
          <cell r="IN262">
            <v>0</v>
          </cell>
          <cell r="IO262">
            <v>0</v>
          </cell>
          <cell r="IP262">
            <v>0</v>
          </cell>
          <cell r="IQ262">
            <v>0</v>
          </cell>
          <cell r="IR262">
            <v>0</v>
          </cell>
          <cell r="IS262">
            <v>0</v>
          </cell>
          <cell r="IT262">
            <v>0</v>
          </cell>
          <cell r="IU262">
            <v>0</v>
          </cell>
          <cell r="IV262">
            <v>0</v>
          </cell>
          <cell r="IW262">
            <v>0</v>
          </cell>
          <cell r="IX262">
            <v>0</v>
          </cell>
          <cell r="IY262">
            <v>0</v>
          </cell>
          <cell r="IZ262">
            <v>0</v>
          </cell>
          <cell r="JA262">
            <v>0</v>
          </cell>
        </row>
        <row r="263">
          <cell r="L263">
            <v>0.48868699999999998</v>
          </cell>
          <cell r="M263">
            <v>3.5587879999999998</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cell r="BM263">
            <v>0</v>
          </cell>
          <cell r="BN263">
            <v>0</v>
          </cell>
          <cell r="BO263">
            <v>0</v>
          </cell>
          <cell r="BP263">
            <v>0</v>
          </cell>
          <cell r="BQ263">
            <v>0</v>
          </cell>
          <cell r="BR263">
            <v>0</v>
          </cell>
          <cell r="BS263">
            <v>0</v>
          </cell>
          <cell r="BT263">
            <v>0</v>
          </cell>
          <cell r="BU263">
            <v>0</v>
          </cell>
          <cell r="BV263">
            <v>0</v>
          </cell>
          <cell r="BW263">
            <v>0</v>
          </cell>
          <cell r="BX263">
            <v>0</v>
          </cell>
          <cell r="BY263">
            <v>0</v>
          </cell>
          <cell r="BZ263">
            <v>0</v>
          </cell>
          <cell r="CA263">
            <v>0</v>
          </cell>
          <cell r="CB263">
            <v>0</v>
          </cell>
          <cell r="CC263">
            <v>0</v>
          </cell>
          <cell r="CD263">
            <v>0</v>
          </cell>
          <cell r="CE263">
            <v>0</v>
          </cell>
          <cell r="CF263">
            <v>0</v>
          </cell>
          <cell r="CG263">
            <v>0</v>
          </cell>
          <cell r="CH263">
            <v>0</v>
          </cell>
          <cell r="CI263">
            <v>0</v>
          </cell>
          <cell r="CJ263">
            <v>0</v>
          </cell>
          <cell r="CK263">
            <v>0</v>
          </cell>
          <cell r="CL263">
            <v>0</v>
          </cell>
          <cell r="CM263">
            <v>0</v>
          </cell>
          <cell r="CN263">
            <v>0</v>
          </cell>
          <cell r="CO263">
            <v>0</v>
          </cell>
          <cell r="CP263">
            <v>0</v>
          </cell>
          <cell r="CQ263">
            <v>0</v>
          </cell>
          <cell r="CR263">
            <v>0</v>
          </cell>
          <cell r="CS263">
            <v>0</v>
          </cell>
          <cell r="CT263">
            <v>0</v>
          </cell>
          <cell r="CU263">
            <v>0</v>
          </cell>
          <cell r="CV263">
            <v>0</v>
          </cell>
          <cell r="CW263">
            <v>0</v>
          </cell>
          <cell r="CX263">
            <v>0</v>
          </cell>
          <cell r="CY263">
            <v>0</v>
          </cell>
          <cell r="CZ263">
            <v>0</v>
          </cell>
          <cell r="DA263">
            <v>0</v>
          </cell>
          <cell r="DB263">
            <v>0</v>
          </cell>
          <cell r="DC263">
            <v>0</v>
          </cell>
          <cell r="DD263">
            <v>0</v>
          </cell>
          <cell r="DE263">
            <v>0</v>
          </cell>
          <cell r="DF263">
            <v>0</v>
          </cell>
          <cell r="DG263">
            <v>0</v>
          </cell>
          <cell r="DH263">
            <v>0</v>
          </cell>
          <cell r="DI263">
            <v>0</v>
          </cell>
          <cell r="DJ263">
            <v>0</v>
          </cell>
          <cell r="DK263">
            <v>0</v>
          </cell>
          <cell r="DL263">
            <v>0</v>
          </cell>
          <cell r="DM263">
            <v>0</v>
          </cell>
          <cell r="DN263">
            <v>0</v>
          </cell>
          <cell r="DO263">
            <v>0</v>
          </cell>
          <cell r="DP263">
            <v>0</v>
          </cell>
          <cell r="DQ263">
            <v>0</v>
          </cell>
          <cell r="DR263">
            <v>0</v>
          </cell>
          <cell r="DS263">
            <v>0</v>
          </cell>
          <cell r="DT263">
            <v>0</v>
          </cell>
          <cell r="DU263">
            <v>0</v>
          </cell>
          <cell r="DV263">
            <v>0</v>
          </cell>
          <cell r="DW263">
            <v>0</v>
          </cell>
          <cell r="DX263">
            <v>0</v>
          </cell>
          <cell r="DY263">
            <v>0</v>
          </cell>
          <cell r="DZ263">
            <v>0</v>
          </cell>
          <cell r="EA263">
            <v>0</v>
          </cell>
          <cell r="EB263">
            <v>0</v>
          </cell>
          <cell r="EC263">
            <v>0</v>
          </cell>
          <cell r="ED263">
            <v>0</v>
          </cell>
          <cell r="EE263">
            <v>0</v>
          </cell>
          <cell r="EF263">
            <v>0</v>
          </cell>
          <cell r="EG263">
            <v>0</v>
          </cell>
          <cell r="EH263">
            <v>0</v>
          </cell>
          <cell r="EI263">
            <v>0</v>
          </cell>
          <cell r="EJ263">
            <v>0</v>
          </cell>
          <cell r="EK263">
            <v>0</v>
          </cell>
          <cell r="EL263">
            <v>0</v>
          </cell>
          <cell r="EM263">
            <v>0</v>
          </cell>
          <cell r="EN263">
            <v>0</v>
          </cell>
          <cell r="EO263">
            <v>0</v>
          </cell>
          <cell r="EP263">
            <v>0</v>
          </cell>
          <cell r="EQ263">
            <v>0</v>
          </cell>
          <cell r="ER263">
            <v>0</v>
          </cell>
          <cell r="ES263">
            <v>0</v>
          </cell>
          <cell r="ET263">
            <v>0</v>
          </cell>
          <cell r="EU263">
            <v>0</v>
          </cell>
          <cell r="EV263">
            <v>0</v>
          </cell>
          <cell r="EW263">
            <v>0</v>
          </cell>
          <cell r="EX263">
            <v>0</v>
          </cell>
          <cell r="EY263">
            <v>0</v>
          </cell>
          <cell r="EZ263">
            <v>0</v>
          </cell>
          <cell r="FA263">
            <v>0</v>
          </cell>
          <cell r="FB263">
            <v>0</v>
          </cell>
          <cell r="FC263">
            <v>0</v>
          </cell>
          <cell r="FD263">
            <v>0</v>
          </cell>
          <cell r="FE263">
            <v>0</v>
          </cell>
          <cell r="FF263">
            <v>0</v>
          </cell>
          <cell r="FG263">
            <v>0</v>
          </cell>
          <cell r="FH263">
            <v>0</v>
          </cell>
          <cell r="FI263">
            <v>0</v>
          </cell>
          <cell r="FJ263">
            <v>0</v>
          </cell>
          <cell r="FK263">
            <v>0</v>
          </cell>
          <cell r="FL263">
            <v>0</v>
          </cell>
          <cell r="FM263">
            <v>0</v>
          </cell>
          <cell r="FN263">
            <v>0</v>
          </cell>
          <cell r="FO263">
            <v>0</v>
          </cell>
          <cell r="FP263">
            <v>0</v>
          </cell>
          <cell r="FQ263">
            <v>0</v>
          </cell>
          <cell r="FR263">
            <v>0</v>
          </cell>
          <cell r="FS263">
            <v>0</v>
          </cell>
          <cell r="FT263">
            <v>0</v>
          </cell>
          <cell r="FU263">
            <v>0</v>
          </cell>
          <cell r="FV263">
            <v>0</v>
          </cell>
          <cell r="FW263">
            <v>0</v>
          </cell>
          <cell r="FX263">
            <v>0</v>
          </cell>
          <cell r="FY263">
            <v>0</v>
          </cell>
          <cell r="FZ263">
            <v>0</v>
          </cell>
          <cell r="GA263">
            <v>0</v>
          </cell>
          <cell r="GB263">
            <v>0</v>
          </cell>
          <cell r="GC263">
            <v>0</v>
          </cell>
          <cell r="GD263">
            <v>0</v>
          </cell>
          <cell r="GE263">
            <v>0</v>
          </cell>
          <cell r="GF263">
            <v>0</v>
          </cell>
          <cell r="GG263">
            <v>0</v>
          </cell>
          <cell r="GH263">
            <v>0</v>
          </cell>
          <cell r="GI263">
            <v>0</v>
          </cell>
          <cell r="GJ263">
            <v>0</v>
          </cell>
          <cell r="GK263">
            <v>0</v>
          </cell>
          <cell r="GL263">
            <v>0</v>
          </cell>
          <cell r="GM263">
            <v>0</v>
          </cell>
          <cell r="GN263">
            <v>0</v>
          </cell>
          <cell r="GO263">
            <v>0</v>
          </cell>
          <cell r="GP263">
            <v>0</v>
          </cell>
          <cell r="GQ263">
            <v>0</v>
          </cell>
          <cell r="GR263">
            <v>0</v>
          </cell>
          <cell r="GS263">
            <v>0</v>
          </cell>
          <cell r="GT263">
            <v>0</v>
          </cell>
          <cell r="GU263">
            <v>0</v>
          </cell>
          <cell r="GV263">
            <v>0</v>
          </cell>
          <cell r="GW263">
            <v>0</v>
          </cell>
          <cell r="GX263">
            <v>0</v>
          </cell>
          <cell r="GY263">
            <v>0</v>
          </cell>
          <cell r="GZ263">
            <v>0</v>
          </cell>
          <cell r="HA263">
            <v>0</v>
          </cell>
          <cell r="HB263">
            <v>0</v>
          </cell>
          <cell r="HC263">
            <v>0</v>
          </cell>
          <cell r="HD263">
            <v>0</v>
          </cell>
          <cell r="HE263">
            <v>0</v>
          </cell>
          <cell r="HF263">
            <v>0</v>
          </cell>
          <cell r="HG263">
            <v>0</v>
          </cell>
          <cell r="HH263">
            <v>0</v>
          </cell>
          <cell r="HI263">
            <v>0</v>
          </cell>
          <cell r="HJ263">
            <v>0</v>
          </cell>
          <cell r="HK263">
            <v>0</v>
          </cell>
          <cell r="HL263">
            <v>0</v>
          </cell>
          <cell r="HM263">
            <v>0</v>
          </cell>
          <cell r="HN263">
            <v>0</v>
          </cell>
          <cell r="HO263">
            <v>0</v>
          </cell>
          <cell r="HP263">
            <v>0</v>
          </cell>
          <cell r="HQ263">
            <v>0</v>
          </cell>
          <cell r="HR263">
            <v>0</v>
          </cell>
          <cell r="HS263">
            <v>0</v>
          </cell>
          <cell r="HT263">
            <v>0</v>
          </cell>
          <cell r="HU263">
            <v>0</v>
          </cell>
          <cell r="HV263">
            <v>0</v>
          </cell>
          <cell r="HW263">
            <v>0</v>
          </cell>
          <cell r="HX263">
            <v>0</v>
          </cell>
          <cell r="HY263">
            <v>0</v>
          </cell>
          <cell r="HZ263">
            <v>0</v>
          </cell>
          <cell r="IA263">
            <v>0</v>
          </cell>
          <cell r="IB263">
            <v>0</v>
          </cell>
          <cell r="IC263">
            <v>0</v>
          </cell>
          <cell r="ID263">
            <v>0</v>
          </cell>
          <cell r="IE263">
            <v>0</v>
          </cell>
          <cell r="IF263">
            <v>0</v>
          </cell>
          <cell r="IG263">
            <v>0</v>
          </cell>
          <cell r="IH263">
            <v>0</v>
          </cell>
          <cell r="II263">
            <v>0</v>
          </cell>
          <cell r="IJ263">
            <v>0</v>
          </cell>
          <cell r="IK263">
            <v>0</v>
          </cell>
          <cell r="IL263">
            <v>0</v>
          </cell>
          <cell r="IM263">
            <v>0</v>
          </cell>
          <cell r="IN263">
            <v>0</v>
          </cell>
          <cell r="IO263">
            <v>0</v>
          </cell>
          <cell r="IP263">
            <v>0</v>
          </cell>
          <cell r="IQ263">
            <v>0</v>
          </cell>
          <cell r="IR263">
            <v>0</v>
          </cell>
          <cell r="IS263">
            <v>0</v>
          </cell>
          <cell r="IT263">
            <v>0</v>
          </cell>
          <cell r="IU263">
            <v>0</v>
          </cell>
          <cell r="IV263">
            <v>0</v>
          </cell>
          <cell r="IW263">
            <v>0</v>
          </cell>
          <cell r="IX263">
            <v>0</v>
          </cell>
          <cell r="IY263">
            <v>0</v>
          </cell>
          <cell r="IZ263">
            <v>0</v>
          </cell>
          <cell r="JA263">
            <v>0</v>
          </cell>
        </row>
        <row r="264">
          <cell r="L264">
            <v>0</v>
          </cell>
          <cell r="M264">
            <v>0.48110599999999998</v>
          </cell>
          <cell r="N264">
            <v>3.85554</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cell r="BM264">
            <v>0</v>
          </cell>
          <cell r="BN264">
            <v>0</v>
          </cell>
          <cell r="BO264">
            <v>0</v>
          </cell>
          <cell r="BP264">
            <v>0</v>
          </cell>
          <cell r="BQ264">
            <v>0</v>
          </cell>
          <cell r="BR264">
            <v>0</v>
          </cell>
          <cell r="BS264">
            <v>0</v>
          </cell>
          <cell r="BT264">
            <v>0</v>
          </cell>
          <cell r="BU264">
            <v>0</v>
          </cell>
          <cell r="BV264">
            <v>0</v>
          </cell>
          <cell r="BW264">
            <v>0</v>
          </cell>
          <cell r="BX264">
            <v>0</v>
          </cell>
          <cell r="BY264">
            <v>0</v>
          </cell>
          <cell r="BZ264">
            <v>0</v>
          </cell>
          <cell r="CA264">
            <v>0</v>
          </cell>
          <cell r="CB264">
            <v>0</v>
          </cell>
          <cell r="CC264">
            <v>0</v>
          </cell>
          <cell r="CD264">
            <v>0</v>
          </cell>
          <cell r="CE264">
            <v>0</v>
          </cell>
          <cell r="CF264">
            <v>0</v>
          </cell>
          <cell r="CG264">
            <v>0</v>
          </cell>
          <cell r="CH264">
            <v>0</v>
          </cell>
          <cell r="CI264">
            <v>0</v>
          </cell>
          <cell r="CJ264">
            <v>0</v>
          </cell>
          <cell r="CK264">
            <v>0</v>
          </cell>
          <cell r="CL264">
            <v>0</v>
          </cell>
          <cell r="CM264">
            <v>0</v>
          </cell>
          <cell r="CN264">
            <v>0</v>
          </cell>
          <cell r="CO264">
            <v>0</v>
          </cell>
          <cell r="CP264">
            <v>0</v>
          </cell>
          <cell r="CQ264">
            <v>0</v>
          </cell>
          <cell r="CR264">
            <v>0</v>
          </cell>
          <cell r="CS264">
            <v>0</v>
          </cell>
          <cell r="CT264">
            <v>0</v>
          </cell>
          <cell r="CU264">
            <v>0</v>
          </cell>
          <cell r="CV264">
            <v>0</v>
          </cell>
          <cell r="CW264">
            <v>0</v>
          </cell>
          <cell r="CX264">
            <v>0</v>
          </cell>
          <cell r="CY264">
            <v>0</v>
          </cell>
          <cell r="CZ264">
            <v>0</v>
          </cell>
          <cell r="DA264">
            <v>0</v>
          </cell>
          <cell r="DB264">
            <v>0</v>
          </cell>
          <cell r="DC264">
            <v>0</v>
          </cell>
          <cell r="DD264">
            <v>0</v>
          </cell>
          <cell r="DE264">
            <v>0</v>
          </cell>
          <cell r="DF264">
            <v>0</v>
          </cell>
          <cell r="DG264">
            <v>0</v>
          </cell>
          <cell r="DH264">
            <v>0</v>
          </cell>
          <cell r="DI264">
            <v>0</v>
          </cell>
          <cell r="DJ264">
            <v>0</v>
          </cell>
          <cell r="DK264">
            <v>0</v>
          </cell>
          <cell r="DL264">
            <v>0</v>
          </cell>
          <cell r="DM264">
            <v>0</v>
          </cell>
          <cell r="DN264">
            <v>0</v>
          </cell>
          <cell r="DO264">
            <v>0</v>
          </cell>
          <cell r="DP264">
            <v>0</v>
          </cell>
          <cell r="DQ264">
            <v>0</v>
          </cell>
          <cell r="DR264">
            <v>0</v>
          </cell>
          <cell r="DS264">
            <v>0</v>
          </cell>
          <cell r="DT264">
            <v>0</v>
          </cell>
          <cell r="DU264">
            <v>0</v>
          </cell>
          <cell r="DV264">
            <v>0</v>
          </cell>
          <cell r="DW264">
            <v>0</v>
          </cell>
          <cell r="DX264">
            <v>0</v>
          </cell>
          <cell r="DY264">
            <v>0</v>
          </cell>
          <cell r="DZ264">
            <v>0</v>
          </cell>
          <cell r="EA264">
            <v>0</v>
          </cell>
          <cell r="EB264">
            <v>0</v>
          </cell>
          <cell r="EC264">
            <v>0</v>
          </cell>
          <cell r="ED264">
            <v>0</v>
          </cell>
          <cell r="EE264">
            <v>0</v>
          </cell>
          <cell r="EF264">
            <v>0</v>
          </cell>
          <cell r="EG264">
            <v>0</v>
          </cell>
          <cell r="EH264">
            <v>0</v>
          </cell>
          <cell r="EI264">
            <v>0</v>
          </cell>
          <cell r="EJ264">
            <v>0</v>
          </cell>
          <cell r="EK264">
            <v>0</v>
          </cell>
          <cell r="EL264">
            <v>0</v>
          </cell>
          <cell r="EM264">
            <v>0</v>
          </cell>
          <cell r="EN264">
            <v>0</v>
          </cell>
          <cell r="EO264">
            <v>0</v>
          </cell>
          <cell r="EP264">
            <v>0</v>
          </cell>
          <cell r="EQ264">
            <v>0</v>
          </cell>
          <cell r="ER264">
            <v>0</v>
          </cell>
          <cell r="ES264">
            <v>0</v>
          </cell>
          <cell r="ET264">
            <v>0</v>
          </cell>
          <cell r="EU264">
            <v>0</v>
          </cell>
          <cell r="EV264">
            <v>0</v>
          </cell>
          <cell r="EW264">
            <v>0</v>
          </cell>
          <cell r="EX264">
            <v>0</v>
          </cell>
          <cell r="EY264">
            <v>0</v>
          </cell>
          <cell r="EZ264">
            <v>0</v>
          </cell>
          <cell r="FA264">
            <v>0</v>
          </cell>
          <cell r="FB264">
            <v>0</v>
          </cell>
          <cell r="FC264">
            <v>0</v>
          </cell>
          <cell r="FD264">
            <v>0</v>
          </cell>
          <cell r="FE264">
            <v>0</v>
          </cell>
          <cell r="FF264">
            <v>0</v>
          </cell>
          <cell r="FG264">
            <v>0</v>
          </cell>
          <cell r="FH264">
            <v>0</v>
          </cell>
          <cell r="FI264">
            <v>0</v>
          </cell>
          <cell r="FJ264">
            <v>0</v>
          </cell>
          <cell r="FK264">
            <v>0</v>
          </cell>
          <cell r="FL264">
            <v>0</v>
          </cell>
          <cell r="FM264">
            <v>0</v>
          </cell>
          <cell r="FN264">
            <v>0</v>
          </cell>
          <cell r="FO264">
            <v>0</v>
          </cell>
          <cell r="FP264">
            <v>0</v>
          </cell>
          <cell r="FQ264">
            <v>0</v>
          </cell>
          <cell r="FR264">
            <v>0</v>
          </cell>
          <cell r="FS264">
            <v>0</v>
          </cell>
          <cell r="FT264">
            <v>0</v>
          </cell>
          <cell r="FU264">
            <v>0</v>
          </cell>
          <cell r="FV264">
            <v>0</v>
          </cell>
          <cell r="FW264">
            <v>0</v>
          </cell>
          <cell r="FX264">
            <v>0</v>
          </cell>
          <cell r="FY264">
            <v>0</v>
          </cell>
          <cell r="FZ264">
            <v>0</v>
          </cell>
          <cell r="GA264">
            <v>0</v>
          </cell>
          <cell r="GB264">
            <v>0</v>
          </cell>
          <cell r="GC264">
            <v>0</v>
          </cell>
          <cell r="GD264">
            <v>0</v>
          </cell>
          <cell r="GE264">
            <v>0</v>
          </cell>
          <cell r="GF264">
            <v>0</v>
          </cell>
          <cell r="GG264">
            <v>0</v>
          </cell>
          <cell r="GH264">
            <v>0</v>
          </cell>
          <cell r="GI264">
            <v>0</v>
          </cell>
          <cell r="GJ264">
            <v>0</v>
          </cell>
          <cell r="GK264">
            <v>0</v>
          </cell>
          <cell r="GL264">
            <v>0</v>
          </cell>
          <cell r="GM264">
            <v>0</v>
          </cell>
          <cell r="GN264">
            <v>0</v>
          </cell>
          <cell r="GO264">
            <v>0</v>
          </cell>
          <cell r="GP264">
            <v>0</v>
          </cell>
          <cell r="GQ264">
            <v>0</v>
          </cell>
          <cell r="GR264">
            <v>0</v>
          </cell>
          <cell r="GS264">
            <v>0</v>
          </cell>
          <cell r="GT264">
            <v>0</v>
          </cell>
          <cell r="GU264">
            <v>0</v>
          </cell>
          <cell r="GV264">
            <v>0</v>
          </cell>
          <cell r="GW264">
            <v>0</v>
          </cell>
          <cell r="GX264">
            <v>0</v>
          </cell>
          <cell r="GY264">
            <v>0</v>
          </cell>
          <cell r="GZ264">
            <v>0</v>
          </cell>
          <cell r="HA264">
            <v>0</v>
          </cell>
          <cell r="HB264">
            <v>0</v>
          </cell>
          <cell r="HC264">
            <v>0</v>
          </cell>
          <cell r="HD264">
            <v>0</v>
          </cell>
          <cell r="HE264">
            <v>0</v>
          </cell>
          <cell r="HF264">
            <v>0</v>
          </cell>
          <cell r="HG264">
            <v>0</v>
          </cell>
          <cell r="HH264">
            <v>0</v>
          </cell>
          <cell r="HI264">
            <v>0</v>
          </cell>
          <cell r="HJ264">
            <v>0</v>
          </cell>
          <cell r="HK264">
            <v>0</v>
          </cell>
          <cell r="HL264">
            <v>0</v>
          </cell>
          <cell r="HM264">
            <v>0</v>
          </cell>
          <cell r="HN264">
            <v>0</v>
          </cell>
          <cell r="HO264">
            <v>0</v>
          </cell>
          <cell r="HP264">
            <v>0</v>
          </cell>
          <cell r="HQ264">
            <v>0</v>
          </cell>
          <cell r="HR264">
            <v>0</v>
          </cell>
          <cell r="HS264">
            <v>0</v>
          </cell>
          <cell r="HT264">
            <v>0</v>
          </cell>
          <cell r="HU264">
            <v>0</v>
          </cell>
          <cell r="HV264">
            <v>0</v>
          </cell>
          <cell r="HW264">
            <v>0</v>
          </cell>
          <cell r="HX264">
            <v>0</v>
          </cell>
          <cell r="HY264">
            <v>0</v>
          </cell>
          <cell r="HZ264">
            <v>0</v>
          </cell>
          <cell r="IA264">
            <v>0</v>
          </cell>
          <cell r="IB264">
            <v>0</v>
          </cell>
          <cell r="IC264">
            <v>0</v>
          </cell>
          <cell r="ID264">
            <v>0</v>
          </cell>
          <cell r="IE264">
            <v>0</v>
          </cell>
          <cell r="IF264">
            <v>0</v>
          </cell>
          <cell r="IG264">
            <v>0</v>
          </cell>
          <cell r="IH264">
            <v>0</v>
          </cell>
          <cell r="II264">
            <v>0</v>
          </cell>
          <cell r="IJ264">
            <v>0</v>
          </cell>
          <cell r="IK264">
            <v>0</v>
          </cell>
          <cell r="IL264">
            <v>0</v>
          </cell>
          <cell r="IM264">
            <v>0</v>
          </cell>
          <cell r="IN264">
            <v>0</v>
          </cell>
          <cell r="IO264">
            <v>0</v>
          </cell>
          <cell r="IP264">
            <v>0</v>
          </cell>
          <cell r="IQ264">
            <v>0</v>
          </cell>
          <cell r="IR264">
            <v>0</v>
          </cell>
          <cell r="IS264">
            <v>0</v>
          </cell>
          <cell r="IT264">
            <v>0</v>
          </cell>
          <cell r="IU264">
            <v>0</v>
          </cell>
          <cell r="IV264">
            <v>0</v>
          </cell>
          <cell r="IW264">
            <v>0</v>
          </cell>
          <cell r="IX264">
            <v>0</v>
          </cell>
          <cell r="IY264">
            <v>0</v>
          </cell>
          <cell r="IZ264">
            <v>0</v>
          </cell>
          <cell r="JA264">
            <v>0</v>
          </cell>
        </row>
        <row r="265">
          <cell r="L265">
            <v>1.1654180000000001</v>
          </cell>
          <cell r="M265">
            <v>5.6902999999999997</v>
          </cell>
          <cell r="N265">
            <v>6.6354259999999998</v>
          </cell>
          <cell r="O265">
            <v>2.3916569999999999</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cell r="BM265">
            <v>0</v>
          </cell>
          <cell r="BN265">
            <v>0</v>
          </cell>
          <cell r="BO265">
            <v>0</v>
          </cell>
          <cell r="BP265">
            <v>0</v>
          </cell>
          <cell r="BQ265">
            <v>0</v>
          </cell>
          <cell r="BR265">
            <v>0</v>
          </cell>
          <cell r="BS265">
            <v>0</v>
          </cell>
          <cell r="BT265">
            <v>0</v>
          </cell>
          <cell r="BU265">
            <v>0</v>
          </cell>
          <cell r="BV265">
            <v>0</v>
          </cell>
          <cell r="BW265">
            <v>0</v>
          </cell>
          <cell r="BX265">
            <v>0</v>
          </cell>
          <cell r="BY265">
            <v>0</v>
          </cell>
          <cell r="BZ265">
            <v>0</v>
          </cell>
          <cell r="CA265">
            <v>0</v>
          </cell>
          <cell r="CB265">
            <v>0</v>
          </cell>
          <cell r="CC265">
            <v>0</v>
          </cell>
          <cell r="CD265">
            <v>0</v>
          </cell>
          <cell r="CE265">
            <v>0</v>
          </cell>
          <cell r="CF265">
            <v>0</v>
          </cell>
          <cell r="CG265">
            <v>0</v>
          </cell>
          <cell r="CH265">
            <v>0</v>
          </cell>
          <cell r="CI265">
            <v>0</v>
          </cell>
          <cell r="CJ265">
            <v>0</v>
          </cell>
          <cell r="CK265">
            <v>0</v>
          </cell>
          <cell r="CL265">
            <v>0</v>
          </cell>
          <cell r="CM265">
            <v>0</v>
          </cell>
          <cell r="CN265">
            <v>0</v>
          </cell>
          <cell r="CO265">
            <v>0</v>
          </cell>
          <cell r="CP265">
            <v>0</v>
          </cell>
          <cell r="CQ265">
            <v>0</v>
          </cell>
          <cell r="CR265">
            <v>0</v>
          </cell>
          <cell r="CS265">
            <v>0</v>
          </cell>
          <cell r="CT265">
            <v>0</v>
          </cell>
          <cell r="CU265">
            <v>0</v>
          </cell>
          <cell r="CV265">
            <v>0</v>
          </cell>
          <cell r="CW265">
            <v>0</v>
          </cell>
          <cell r="CX265">
            <v>0</v>
          </cell>
          <cell r="CY265">
            <v>0</v>
          </cell>
          <cell r="CZ265">
            <v>0</v>
          </cell>
          <cell r="DA265">
            <v>0</v>
          </cell>
          <cell r="DB265">
            <v>0</v>
          </cell>
          <cell r="DC265">
            <v>0</v>
          </cell>
          <cell r="DD265">
            <v>0</v>
          </cell>
          <cell r="DE265">
            <v>0</v>
          </cell>
          <cell r="DF265">
            <v>0</v>
          </cell>
          <cell r="DG265">
            <v>0</v>
          </cell>
          <cell r="DH265">
            <v>0</v>
          </cell>
          <cell r="DI265">
            <v>0</v>
          </cell>
          <cell r="DJ265">
            <v>0</v>
          </cell>
          <cell r="DK265">
            <v>0</v>
          </cell>
          <cell r="DL265">
            <v>0</v>
          </cell>
          <cell r="DM265">
            <v>0</v>
          </cell>
          <cell r="DN265">
            <v>0</v>
          </cell>
          <cell r="DO265">
            <v>0</v>
          </cell>
          <cell r="DP265">
            <v>0</v>
          </cell>
          <cell r="DQ265">
            <v>0</v>
          </cell>
          <cell r="DR265">
            <v>0</v>
          </cell>
          <cell r="DS265">
            <v>0</v>
          </cell>
          <cell r="DT265">
            <v>0</v>
          </cell>
          <cell r="DU265">
            <v>0</v>
          </cell>
          <cell r="DV265">
            <v>0</v>
          </cell>
          <cell r="DW265">
            <v>0</v>
          </cell>
          <cell r="DX265">
            <v>0</v>
          </cell>
          <cell r="DY265">
            <v>0</v>
          </cell>
          <cell r="DZ265">
            <v>0</v>
          </cell>
          <cell r="EA265">
            <v>0</v>
          </cell>
          <cell r="EB265">
            <v>0</v>
          </cell>
          <cell r="EC265">
            <v>0</v>
          </cell>
          <cell r="ED265">
            <v>0</v>
          </cell>
          <cell r="EE265">
            <v>0</v>
          </cell>
          <cell r="EF265">
            <v>0</v>
          </cell>
          <cell r="EG265">
            <v>0</v>
          </cell>
          <cell r="EH265">
            <v>0</v>
          </cell>
          <cell r="EI265">
            <v>0</v>
          </cell>
          <cell r="EJ265">
            <v>0</v>
          </cell>
          <cell r="EK265">
            <v>0</v>
          </cell>
          <cell r="EL265">
            <v>0</v>
          </cell>
          <cell r="EM265">
            <v>0</v>
          </cell>
          <cell r="EN265">
            <v>0</v>
          </cell>
          <cell r="EO265">
            <v>0</v>
          </cell>
          <cell r="EP265">
            <v>0</v>
          </cell>
          <cell r="EQ265">
            <v>0</v>
          </cell>
          <cell r="ER265">
            <v>0</v>
          </cell>
          <cell r="ES265">
            <v>0</v>
          </cell>
          <cell r="ET265">
            <v>0</v>
          </cell>
          <cell r="EU265">
            <v>0</v>
          </cell>
          <cell r="EV265">
            <v>0</v>
          </cell>
          <cell r="EW265">
            <v>0</v>
          </cell>
          <cell r="EX265">
            <v>0</v>
          </cell>
          <cell r="EY265">
            <v>0</v>
          </cell>
          <cell r="EZ265">
            <v>0</v>
          </cell>
          <cell r="FA265">
            <v>0</v>
          </cell>
          <cell r="FB265">
            <v>0</v>
          </cell>
          <cell r="FC265">
            <v>0</v>
          </cell>
          <cell r="FD265">
            <v>0</v>
          </cell>
          <cell r="FE265">
            <v>0</v>
          </cell>
          <cell r="FF265">
            <v>0</v>
          </cell>
          <cell r="FG265">
            <v>0</v>
          </cell>
          <cell r="FH265">
            <v>0</v>
          </cell>
          <cell r="FI265">
            <v>0</v>
          </cell>
          <cell r="FJ265">
            <v>0</v>
          </cell>
          <cell r="FK265">
            <v>0</v>
          </cell>
          <cell r="FL265">
            <v>0</v>
          </cell>
          <cell r="FM265">
            <v>0</v>
          </cell>
          <cell r="FN265">
            <v>0</v>
          </cell>
          <cell r="FO265">
            <v>0</v>
          </cell>
          <cell r="FP265">
            <v>0</v>
          </cell>
          <cell r="FQ265">
            <v>0</v>
          </cell>
          <cell r="FR265">
            <v>0</v>
          </cell>
          <cell r="FS265">
            <v>0</v>
          </cell>
          <cell r="FT265">
            <v>0</v>
          </cell>
          <cell r="FU265">
            <v>0</v>
          </cell>
          <cell r="FV265">
            <v>0</v>
          </cell>
          <cell r="FW265">
            <v>0</v>
          </cell>
          <cell r="FX265">
            <v>0</v>
          </cell>
          <cell r="FY265">
            <v>0</v>
          </cell>
          <cell r="FZ265">
            <v>0</v>
          </cell>
          <cell r="GA265">
            <v>0</v>
          </cell>
          <cell r="GB265">
            <v>0</v>
          </cell>
          <cell r="GC265">
            <v>0</v>
          </cell>
          <cell r="GD265">
            <v>0</v>
          </cell>
          <cell r="GE265">
            <v>0</v>
          </cell>
          <cell r="GF265">
            <v>0</v>
          </cell>
          <cell r="GG265">
            <v>0</v>
          </cell>
          <cell r="GH265">
            <v>0</v>
          </cell>
          <cell r="GI265">
            <v>0</v>
          </cell>
          <cell r="GJ265">
            <v>0</v>
          </cell>
          <cell r="GK265">
            <v>0</v>
          </cell>
          <cell r="GL265">
            <v>0</v>
          </cell>
          <cell r="GM265">
            <v>0</v>
          </cell>
          <cell r="GN265">
            <v>0</v>
          </cell>
          <cell r="GO265">
            <v>0</v>
          </cell>
          <cell r="GP265">
            <v>0</v>
          </cell>
          <cell r="GQ265">
            <v>0</v>
          </cell>
          <cell r="GR265">
            <v>0</v>
          </cell>
          <cell r="GS265">
            <v>0</v>
          </cell>
          <cell r="GT265">
            <v>0</v>
          </cell>
          <cell r="GU265">
            <v>0</v>
          </cell>
          <cell r="GV265">
            <v>0</v>
          </cell>
          <cell r="GW265">
            <v>0</v>
          </cell>
          <cell r="GX265">
            <v>0</v>
          </cell>
          <cell r="GY265">
            <v>0</v>
          </cell>
          <cell r="GZ265">
            <v>0</v>
          </cell>
          <cell r="HA265">
            <v>0</v>
          </cell>
          <cell r="HB265">
            <v>0</v>
          </cell>
          <cell r="HC265">
            <v>0</v>
          </cell>
          <cell r="HD265">
            <v>0</v>
          </cell>
          <cell r="HE265">
            <v>0</v>
          </cell>
          <cell r="HF265">
            <v>0</v>
          </cell>
          <cell r="HG265">
            <v>0</v>
          </cell>
          <cell r="HH265">
            <v>0</v>
          </cell>
          <cell r="HI265">
            <v>0</v>
          </cell>
          <cell r="HJ265">
            <v>0</v>
          </cell>
          <cell r="HK265">
            <v>0</v>
          </cell>
          <cell r="HL265">
            <v>0</v>
          </cell>
          <cell r="HM265">
            <v>0</v>
          </cell>
          <cell r="HN265">
            <v>0</v>
          </cell>
          <cell r="HO265">
            <v>0</v>
          </cell>
          <cell r="HP265">
            <v>0</v>
          </cell>
          <cell r="HQ265">
            <v>0</v>
          </cell>
          <cell r="HR265">
            <v>0</v>
          </cell>
          <cell r="HS265">
            <v>0</v>
          </cell>
          <cell r="HT265">
            <v>0</v>
          </cell>
          <cell r="HU265">
            <v>0</v>
          </cell>
          <cell r="HV265">
            <v>0</v>
          </cell>
          <cell r="HW265">
            <v>0</v>
          </cell>
          <cell r="HX265">
            <v>0</v>
          </cell>
          <cell r="HY265">
            <v>0</v>
          </cell>
          <cell r="HZ265">
            <v>0</v>
          </cell>
          <cell r="IA265">
            <v>0</v>
          </cell>
          <cell r="IB265">
            <v>0</v>
          </cell>
          <cell r="IC265">
            <v>0</v>
          </cell>
          <cell r="ID265">
            <v>0</v>
          </cell>
          <cell r="IE265">
            <v>0</v>
          </cell>
          <cell r="IF265">
            <v>0</v>
          </cell>
          <cell r="IG265">
            <v>0</v>
          </cell>
          <cell r="IH265">
            <v>0</v>
          </cell>
          <cell r="II265">
            <v>0</v>
          </cell>
          <cell r="IJ265">
            <v>0</v>
          </cell>
          <cell r="IK265">
            <v>0</v>
          </cell>
          <cell r="IL265">
            <v>0</v>
          </cell>
          <cell r="IM265">
            <v>0</v>
          </cell>
          <cell r="IN265">
            <v>0</v>
          </cell>
          <cell r="IO265">
            <v>0</v>
          </cell>
          <cell r="IP265">
            <v>0</v>
          </cell>
          <cell r="IQ265">
            <v>0</v>
          </cell>
          <cell r="IR265">
            <v>0</v>
          </cell>
          <cell r="IS265">
            <v>0</v>
          </cell>
          <cell r="IT265">
            <v>0</v>
          </cell>
          <cell r="IU265">
            <v>0</v>
          </cell>
          <cell r="IV265">
            <v>0</v>
          </cell>
          <cell r="IW265">
            <v>0</v>
          </cell>
          <cell r="IX265">
            <v>0</v>
          </cell>
          <cell r="IY265">
            <v>0</v>
          </cell>
          <cell r="IZ265">
            <v>0</v>
          </cell>
          <cell r="JA265">
            <v>0</v>
          </cell>
        </row>
        <row r="266">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cell r="BM266">
            <v>0</v>
          </cell>
          <cell r="BN266">
            <v>0</v>
          </cell>
          <cell r="BO266">
            <v>0</v>
          </cell>
          <cell r="BP266">
            <v>0</v>
          </cell>
          <cell r="BQ266">
            <v>0</v>
          </cell>
          <cell r="BR266">
            <v>0</v>
          </cell>
          <cell r="BS266">
            <v>0</v>
          </cell>
          <cell r="BT266">
            <v>0</v>
          </cell>
          <cell r="BU266">
            <v>0</v>
          </cell>
          <cell r="BV266">
            <v>0</v>
          </cell>
          <cell r="BW266">
            <v>0</v>
          </cell>
          <cell r="BX266">
            <v>0</v>
          </cell>
          <cell r="BY266">
            <v>0</v>
          </cell>
          <cell r="BZ266">
            <v>0</v>
          </cell>
          <cell r="CA266">
            <v>0</v>
          </cell>
          <cell r="CB266">
            <v>0</v>
          </cell>
          <cell r="CC266">
            <v>0</v>
          </cell>
          <cell r="CD266">
            <v>0</v>
          </cell>
          <cell r="CE266">
            <v>0</v>
          </cell>
          <cell r="CF266">
            <v>0</v>
          </cell>
          <cell r="CG266">
            <v>0</v>
          </cell>
          <cell r="CH266">
            <v>0</v>
          </cell>
          <cell r="CI266">
            <v>0</v>
          </cell>
          <cell r="CJ266">
            <v>0</v>
          </cell>
          <cell r="CK266">
            <v>0</v>
          </cell>
          <cell r="CL266">
            <v>0</v>
          </cell>
          <cell r="CM266">
            <v>0</v>
          </cell>
          <cell r="CN266">
            <v>0</v>
          </cell>
          <cell r="CO266">
            <v>0</v>
          </cell>
          <cell r="CP266">
            <v>0</v>
          </cell>
          <cell r="CQ266">
            <v>0</v>
          </cell>
          <cell r="CR266">
            <v>0</v>
          </cell>
          <cell r="CS266">
            <v>0</v>
          </cell>
          <cell r="CT266">
            <v>0</v>
          </cell>
          <cell r="CU266">
            <v>0</v>
          </cell>
          <cell r="CV266">
            <v>0</v>
          </cell>
          <cell r="CW266">
            <v>0</v>
          </cell>
          <cell r="CX266">
            <v>0</v>
          </cell>
          <cell r="CY266">
            <v>0</v>
          </cell>
          <cell r="CZ266">
            <v>0</v>
          </cell>
          <cell r="DA266">
            <v>0</v>
          </cell>
          <cell r="DB266">
            <v>0</v>
          </cell>
          <cell r="DC266">
            <v>0</v>
          </cell>
          <cell r="DD266">
            <v>0</v>
          </cell>
          <cell r="DE266">
            <v>0</v>
          </cell>
          <cell r="DF266">
            <v>0</v>
          </cell>
          <cell r="DG266">
            <v>0</v>
          </cell>
          <cell r="DH266">
            <v>0</v>
          </cell>
          <cell r="DI266">
            <v>0</v>
          </cell>
          <cell r="DJ266">
            <v>0</v>
          </cell>
          <cell r="DK266">
            <v>0</v>
          </cell>
          <cell r="DL266">
            <v>0</v>
          </cell>
          <cell r="DM266">
            <v>0</v>
          </cell>
          <cell r="DN266">
            <v>0</v>
          </cell>
          <cell r="DO266">
            <v>0</v>
          </cell>
          <cell r="DP266">
            <v>0</v>
          </cell>
          <cell r="DQ266">
            <v>0</v>
          </cell>
          <cell r="DR266">
            <v>0</v>
          </cell>
          <cell r="DS266">
            <v>0</v>
          </cell>
          <cell r="DT266">
            <v>0</v>
          </cell>
          <cell r="DU266">
            <v>0</v>
          </cell>
          <cell r="DV266">
            <v>0</v>
          </cell>
          <cell r="DW266">
            <v>0</v>
          </cell>
          <cell r="DX266">
            <v>0</v>
          </cell>
          <cell r="DY266">
            <v>0</v>
          </cell>
          <cell r="DZ266">
            <v>0</v>
          </cell>
          <cell r="EA266">
            <v>0</v>
          </cell>
          <cell r="EB266">
            <v>0</v>
          </cell>
          <cell r="EC266">
            <v>0</v>
          </cell>
          <cell r="ED266">
            <v>0</v>
          </cell>
          <cell r="EE266">
            <v>0</v>
          </cell>
          <cell r="EF266">
            <v>0</v>
          </cell>
          <cell r="EG266">
            <v>0</v>
          </cell>
          <cell r="EH266">
            <v>0</v>
          </cell>
          <cell r="EI266">
            <v>0</v>
          </cell>
          <cell r="EJ266">
            <v>0</v>
          </cell>
          <cell r="EK266">
            <v>0</v>
          </cell>
          <cell r="EL266">
            <v>0</v>
          </cell>
          <cell r="EM266">
            <v>0</v>
          </cell>
          <cell r="EN266">
            <v>0</v>
          </cell>
          <cell r="EO266">
            <v>0</v>
          </cell>
          <cell r="EP266">
            <v>0</v>
          </cell>
          <cell r="EQ266">
            <v>0</v>
          </cell>
          <cell r="ER266">
            <v>0</v>
          </cell>
          <cell r="ES266">
            <v>0</v>
          </cell>
          <cell r="ET266">
            <v>0</v>
          </cell>
          <cell r="EU266">
            <v>0</v>
          </cell>
          <cell r="EV266">
            <v>0</v>
          </cell>
          <cell r="EW266">
            <v>0</v>
          </cell>
          <cell r="EX266">
            <v>0</v>
          </cell>
          <cell r="EY266">
            <v>0</v>
          </cell>
          <cell r="EZ266">
            <v>0</v>
          </cell>
          <cell r="FA266">
            <v>0</v>
          </cell>
          <cell r="FB266">
            <v>0</v>
          </cell>
          <cell r="FC266">
            <v>0</v>
          </cell>
          <cell r="FD266">
            <v>0</v>
          </cell>
          <cell r="FE266">
            <v>0</v>
          </cell>
          <cell r="FF266">
            <v>0</v>
          </cell>
          <cell r="FG266">
            <v>0</v>
          </cell>
          <cell r="FH266">
            <v>0</v>
          </cell>
          <cell r="FI266">
            <v>0</v>
          </cell>
          <cell r="FJ266">
            <v>0</v>
          </cell>
          <cell r="FK266">
            <v>0</v>
          </cell>
          <cell r="FL266">
            <v>0</v>
          </cell>
          <cell r="FM266">
            <v>0</v>
          </cell>
          <cell r="FN266">
            <v>0</v>
          </cell>
          <cell r="FO266">
            <v>0</v>
          </cell>
          <cell r="FP266">
            <v>0</v>
          </cell>
          <cell r="FQ266">
            <v>0</v>
          </cell>
          <cell r="FR266">
            <v>0</v>
          </cell>
          <cell r="FS266">
            <v>0</v>
          </cell>
          <cell r="FT266">
            <v>0</v>
          </cell>
          <cell r="FU266">
            <v>0</v>
          </cell>
          <cell r="FV266">
            <v>0</v>
          </cell>
          <cell r="FW266">
            <v>0</v>
          </cell>
          <cell r="FX266">
            <v>0</v>
          </cell>
          <cell r="FY266">
            <v>0</v>
          </cell>
          <cell r="FZ266">
            <v>0</v>
          </cell>
          <cell r="GA266">
            <v>0</v>
          </cell>
          <cell r="GB266">
            <v>0</v>
          </cell>
          <cell r="GC266">
            <v>0</v>
          </cell>
          <cell r="GD266">
            <v>0</v>
          </cell>
          <cell r="GE266">
            <v>0</v>
          </cell>
          <cell r="GF266">
            <v>0</v>
          </cell>
          <cell r="GG266">
            <v>0</v>
          </cell>
          <cell r="GH266">
            <v>0</v>
          </cell>
          <cell r="GI266">
            <v>0</v>
          </cell>
          <cell r="GJ266">
            <v>0</v>
          </cell>
          <cell r="GK266">
            <v>0</v>
          </cell>
          <cell r="GL266">
            <v>0</v>
          </cell>
          <cell r="GM266">
            <v>0</v>
          </cell>
          <cell r="GN266">
            <v>0</v>
          </cell>
          <cell r="GO266">
            <v>0</v>
          </cell>
          <cell r="GP266">
            <v>0</v>
          </cell>
          <cell r="GQ266">
            <v>0</v>
          </cell>
          <cell r="GR266">
            <v>0</v>
          </cell>
          <cell r="GS266">
            <v>0</v>
          </cell>
          <cell r="GT266">
            <v>0</v>
          </cell>
          <cell r="GU266">
            <v>0</v>
          </cell>
          <cell r="GV266">
            <v>0</v>
          </cell>
          <cell r="GW266">
            <v>0</v>
          </cell>
          <cell r="GX266">
            <v>0</v>
          </cell>
          <cell r="GY266">
            <v>0</v>
          </cell>
          <cell r="GZ266">
            <v>0</v>
          </cell>
          <cell r="HA266">
            <v>0</v>
          </cell>
          <cell r="HB266">
            <v>0</v>
          </cell>
          <cell r="HC266">
            <v>0</v>
          </cell>
          <cell r="HD266">
            <v>0</v>
          </cell>
          <cell r="HE266">
            <v>0</v>
          </cell>
          <cell r="HF266">
            <v>0</v>
          </cell>
          <cell r="HG266">
            <v>0</v>
          </cell>
          <cell r="HH266">
            <v>0</v>
          </cell>
          <cell r="HI266">
            <v>0</v>
          </cell>
          <cell r="HJ266">
            <v>0</v>
          </cell>
          <cell r="HK266">
            <v>0</v>
          </cell>
          <cell r="HL266">
            <v>0</v>
          </cell>
          <cell r="HM266">
            <v>0</v>
          </cell>
          <cell r="HN266">
            <v>0</v>
          </cell>
          <cell r="HO266">
            <v>0</v>
          </cell>
          <cell r="HP266">
            <v>0</v>
          </cell>
          <cell r="HQ266">
            <v>0</v>
          </cell>
          <cell r="HR266">
            <v>0</v>
          </cell>
          <cell r="HS266">
            <v>0</v>
          </cell>
          <cell r="HT266">
            <v>0</v>
          </cell>
          <cell r="HU266">
            <v>0</v>
          </cell>
          <cell r="HV266">
            <v>0</v>
          </cell>
          <cell r="HW266">
            <v>0</v>
          </cell>
          <cell r="HX266">
            <v>0</v>
          </cell>
          <cell r="HY266">
            <v>0</v>
          </cell>
          <cell r="HZ266">
            <v>0</v>
          </cell>
          <cell r="IA266">
            <v>0</v>
          </cell>
          <cell r="IB266">
            <v>0</v>
          </cell>
          <cell r="IC266">
            <v>0</v>
          </cell>
          <cell r="ID266">
            <v>0</v>
          </cell>
          <cell r="IE266">
            <v>0</v>
          </cell>
          <cell r="IF266">
            <v>0</v>
          </cell>
          <cell r="IG266">
            <v>0</v>
          </cell>
          <cell r="IH266">
            <v>0</v>
          </cell>
          <cell r="II266">
            <v>0</v>
          </cell>
          <cell r="IJ266">
            <v>0</v>
          </cell>
          <cell r="IK266">
            <v>0</v>
          </cell>
          <cell r="IL266">
            <v>0</v>
          </cell>
          <cell r="IM266">
            <v>0</v>
          </cell>
          <cell r="IN266">
            <v>0</v>
          </cell>
          <cell r="IO266">
            <v>0</v>
          </cell>
          <cell r="IP266">
            <v>0</v>
          </cell>
          <cell r="IQ266">
            <v>0</v>
          </cell>
          <cell r="IR266">
            <v>0</v>
          </cell>
          <cell r="IS266">
            <v>0</v>
          </cell>
          <cell r="IT266">
            <v>0</v>
          </cell>
          <cell r="IU266">
            <v>0</v>
          </cell>
          <cell r="IV266">
            <v>0</v>
          </cell>
          <cell r="IW266">
            <v>0</v>
          </cell>
          <cell r="IX266">
            <v>0</v>
          </cell>
          <cell r="IY266">
            <v>0</v>
          </cell>
          <cell r="IZ266">
            <v>0</v>
          </cell>
          <cell r="JA266">
            <v>0</v>
          </cell>
        </row>
        <row r="267">
          <cell r="L267">
            <v>0</v>
          </cell>
          <cell r="M267">
            <v>0</v>
          </cell>
          <cell r="N267">
            <v>7.0437750000000001</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cell r="BM267">
            <v>0</v>
          </cell>
          <cell r="BN267">
            <v>0</v>
          </cell>
          <cell r="BO267">
            <v>0</v>
          </cell>
          <cell r="BP267">
            <v>0</v>
          </cell>
          <cell r="BQ267">
            <v>0</v>
          </cell>
          <cell r="BR267">
            <v>0</v>
          </cell>
          <cell r="BS267">
            <v>0</v>
          </cell>
          <cell r="BT267">
            <v>0</v>
          </cell>
          <cell r="BU267">
            <v>0</v>
          </cell>
          <cell r="BV267">
            <v>0</v>
          </cell>
          <cell r="BW267">
            <v>0</v>
          </cell>
          <cell r="BX267">
            <v>0</v>
          </cell>
          <cell r="BY267">
            <v>0</v>
          </cell>
          <cell r="BZ267">
            <v>0</v>
          </cell>
          <cell r="CA267">
            <v>0</v>
          </cell>
          <cell r="CB267">
            <v>0</v>
          </cell>
          <cell r="CC267">
            <v>0</v>
          </cell>
          <cell r="CD267">
            <v>0</v>
          </cell>
          <cell r="CE267">
            <v>0</v>
          </cell>
          <cell r="CF267">
            <v>0</v>
          </cell>
          <cell r="CG267">
            <v>0</v>
          </cell>
          <cell r="CH267">
            <v>0</v>
          </cell>
          <cell r="CI267">
            <v>0</v>
          </cell>
          <cell r="CJ267">
            <v>0</v>
          </cell>
          <cell r="CK267">
            <v>0</v>
          </cell>
          <cell r="CL267">
            <v>0</v>
          </cell>
          <cell r="CM267">
            <v>0</v>
          </cell>
          <cell r="CN267">
            <v>0</v>
          </cell>
          <cell r="CO267">
            <v>0</v>
          </cell>
          <cell r="CP267">
            <v>0</v>
          </cell>
          <cell r="CQ267">
            <v>0</v>
          </cell>
          <cell r="CR267">
            <v>0</v>
          </cell>
          <cell r="CS267">
            <v>0</v>
          </cell>
          <cell r="CT267">
            <v>0</v>
          </cell>
          <cell r="CU267">
            <v>0</v>
          </cell>
          <cell r="CV267">
            <v>0</v>
          </cell>
          <cell r="CW267">
            <v>0</v>
          </cell>
          <cell r="CX267">
            <v>0</v>
          </cell>
          <cell r="CY267">
            <v>0</v>
          </cell>
          <cell r="CZ267">
            <v>0</v>
          </cell>
          <cell r="DA267">
            <v>0</v>
          </cell>
          <cell r="DB267">
            <v>0</v>
          </cell>
          <cell r="DC267">
            <v>0</v>
          </cell>
          <cell r="DD267">
            <v>0</v>
          </cell>
          <cell r="DE267">
            <v>0</v>
          </cell>
          <cell r="DF267">
            <v>0</v>
          </cell>
          <cell r="DG267">
            <v>0</v>
          </cell>
          <cell r="DH267">
            <v>0</v>
          </cell>
          <cell r="DI267">
            <v>0</v>
          </cell>
          <cell r="DJ267">
            <v>0</v>
          </cell>
          <cell r="DK267">
            <v>0</v>
          </cell>
          <cell r="DL267">
            <v>0</v>
          </cell>
          <cell r="DM267">
            <v>0</v>
          </cell>
          <cell r="DN267">
            <v>0</v>
          </cell>
          <cell r="DO267">
            <v>0</v>
          </cell>
          <cell r="DP267">
            <v>0</v>
          </cell>
          <cell r="DQ267">
            <v>0</v>
          </cell>
          <cell r="DR267">
            <v>0</v>
          </cell>
          <cell r="DS267">
            <v>0</v>
          </cell>
          <cell r="DT267">
            <v>0</v>
          </cell>
          <cell r="DU267">
            <v>0</v>
          </cell>
          <cell r="DV267">
            <v>0</v>
          </cell>
          <cell r="DW267">
            <v>0</v>
          </cell>
          <cell r="DX267">
            <v>0</v>
          </cell>
          <cell r="DY267">
            <v>0</v>
          </cell>
          <cell r="DZ267">
            <v>0</v>
          </cell>
          <cell r="EA267">
            <v>0</v>
          </cell>
          <cell r="EB267">
            <v>0</v>
          </cell>
          <cell r="EC267">
            <v>0</v>
          </cell>
          <cell r="ED267">
            <v>0</v>
          </cell>
          <cell r="EE267">
            <v>0</v>
          </cell>
          <cell r="EF267">
            <v>0</v>
          </cell>
          <cell r="EG267">
            <v>0</v>
          </cell>
          <cell r="EH267">
            <v>0</v>
          </cell>
          <cell r="EI267">
            <v>0</v>
          </cell>
          <cell r="EJ267">
            <v>0</v>
          </cell>
          <cell r="EK267">
            <v>0</v>
          </cell>
          <cell r="EL267">
            <v>0</v>
          </cell>
          <cell r="EM267">
            <v>0</v>
          </cell>
          <cell r="EN267">
            <v>0</v>
          </cell>
          <cell r="EO267">
            <v>0</v>
          </cell>
          <cell r="EP267">
            <v>0</v>
          </cell>
          <cell r="EQ267">
            <v>0</v>
          </cell>
          <cell r="ER267">
            <v>0</v>
          </cell>
          <cell r="ES267">
            <v>0</v>
          </cell>
          <cell r="ET267">
            <v>0</v>
          </cell>
          <cell r="EU267">
            <v>0</v>
          </cell>
          <cell r="EV267">
            <v>0</v>
          </cell>
          <cell r="EW267">
            <v>0</v>
          </cell>
          <cell r="EX267">
            <v>0</v>
          </cell>
          <cell r="EY267">
            <v>0</v>
          </cell>
          <cell r="EZ267">
            <v>0</v>
          </cell>
          <cell r="FA267">
            <v>0</v>
          </cell>
          <cell r="FB267">
            <v>0</v>
          </cell>
          <cell r="FC267">
            <v>0</v>
          </cell>
          <cell r="FD267">
            <v>0</v>
          </cell>
          <cell r="FE267">
            <v>0</v>
          </cell>
          <cell r="FF267">
            <v>0</v>
          </cell>
          <cell r="FG267">
            <v>0</v>
          </cell>
          <cell r="FH267">
            <v>0</v>
          </cell>
          <cell r="FI267">
            <v>0</v>
          </cell>
          <cell r="FJ267">
            <v>0</v>
          </cell>
          <cell r="FK267">
            <v>0</v>
          </cell>
          <cell r="FL267">
            <v>0</v>
          </cell>
          <cell r="FM267">
            <v>0</v>
          </cell>
          <cell r="FN267">
            <v>0</v>
          </cell>
          <cell r="FO267">
            <v>0</v>
          </cell>
          <cell r="FP267">
            <v>0</v>
          </cell>
          <cell r="FQ267">
            <v>0</v>
          </cell>
          <cell r="FR267">
            <v>0</v>
          </cell>
          <cell r="FS267">
            <v>0</v>
          </cell>
          <cell r="FT267">
            <v>0</v>
          </cell>
          <cell r="FU267">
            <v>0</v>
          </cell>
          <cell r="FV267">
            <v>0</v>
          </cell>
          <cell r="FW267">
            <v>0</v>
          </cell>
          <cell r="FX267">
            <v>0</v>
          </cell>
          <cell r="FY267">
            <v>0</v>
          </cell>
          <cell r="FZ267">
            <v>0</v>
          </cell>
          <cell r="GA267">
            <v>0</v>
          </cell>
          <cell r="GB267">
            <v>0</v>
          </cell>
          <cell r="GC267">
            <v>0</v>
          </cell>
          <cell r="GD267">
            <v>0</v>
          </cell>
          <cell r="GE267">
            <v>0</v>
          </cell>
          <cell r="GF267">
            <v>0</v>
          </cell>
          <cell r="GG267">
            <v>0</v>
          </cell>
          <cell r="GH267">
            <v>0</v>
          </cell>
          <cell r="GI267">
            <v>0</v>
          </cell>
          <cell r="GJ267">
            <v>0</v>
          </cell>
          <cell r="GK267">
            <v>0</v>
          </cell>
          <cell r="GL267">
            <v>0</v>
          </cell>
          <cell r="GM267">
            <v>0</v>
          </cell>
          <cell r="GN267">
            <v>0</v>
          </cell>
          <cell r="GO267">
            <v>0</v>
          </cell>
          <cell r="GP267">
            <v>0</v>
          </cell>
          <cell r="GQ267">
            <v>0</v>
          </cell>
          <cell r="GR267">
            <v>0</v>
          </cell>
          <cell r="GS267">
            <v>0</v>
          </cell>
          <cell r="GT267">
            <v>0</v>
          </cell>
          <cell r="GU267">
            <v>0</v>
          </cell>
          <cell r="GV267">
            <v>0</v>
          </cell>
          <cell r="GW267">
            <v>0</v>
          </cell>
          <cell r="GX267">
            <v>0</v>
          </cell>
          <cell r="GY267">
            <v>0</v>
          </cell>
          <cell r="GZ267">
            <v>0</v>
          </cell>
          <cell r="HA267">
            <v>0</v>
          </cell>
          <cell r="HB267">
            <v>0</v>
          </cell>
          <cell r="HC267">
            <v>0</v>
          </cell>
          <cell r="HD267">
            <v>0</v>
          </cell>
          <cell r="HE267">
            <v>0</v>
          </cell>
          <cell r="HF267">
            <v>0</v>
          </cell>
          <cell r="HG267">
            <v>0</v>
          </cell>
          <cell r="HH267">
            <v>0</v>
          </cell>
          <cell r="HI267">
            <v>0</v>
          </cell>
          <cell r="HJ267">
            <v>0</v>
          </cell>
          <cell r="HK267">
            <v>0</v>
          </cell>
          <cell r="HL267">
            <v>0</v>
          </cell>
          <cell r="HM267">
            <v>0</v>
          </cell>
          <cell r="HN267">
            <v>0</v>
          </cell>
          <cell r="HO267">
            <v>0</v>
          </cell>
          <cell r="HP267">
            <v>0</v>
          </cell>
          <cell r="HQ267">
            <v>0</v>
          </cell>
          <cell r="HR267">
            <v>0</v>
          </cell>
          <cell r="HS267">
            <v>0</v>
          </cell>
          <cell r="HT267">
            <v>0</v>
          </cell>
          <cell r="HU267">
            <v>0</v>
          </cell>
          <cell r="HV267">
            <v>0</v>
          </cell>
          <cell r="HW267">
            <v>0</v>
          </cell>
          <cell r="HX267">
            <v>0</v>
          </cell>
          <cell r="HY267">
            <v>0</v>
          </cell>
          <cell r="HZ267">
            <v>0</v>
          </cell>
          <cell r="IA267">
            <v>0</v>
          </cell>
          <cell r="IB267">
            <v>0</v>
          </cell>
          <cell r="IC267">
            <v>0</v>
          </cell>
          <cell r="ID267">
            <v>0</v>
          </cell>
          <cell r="IE267">
            <v>0</v>
          </cell>
          <cell r="IF267">
            <v>0</v>
          </cell>
          <cell r="IG267">
            <v>0</v>
          </cell>
          <cell r="IH267">
            <v>0</v>
          </cell>
          <cell r="II267">
            <v>0</v>
          </cell>
          <cell r="IJ267">
            <v>0</v>
          </cell>
          <cell r="IK267">
            <v>0</v>
          </cell>
          <cell r="IL267">
            <v>0</v>
          </cell>
          <cell r="IM267">
            <v>0</v>
          </cell>
          <cell r="IN267">
            <v>0</v>
          </cell>
          <cell r="IO267">
            <v>0</v>
          </cell>
          <cell r="IP267">
            <v>0</v>
          </cell>
          <cell r="IQ267">
            <v>0</v>
          </cell>
          <cell r="IR267">
            <v>0</v>
          </cell>
          <cell r="IS267">
            <v>0</v>
          </cell>
          <cell r="IT267">
            <v>0</v>
          </cell>
          <cell r="IU267">
            <v>0</v>
          </cell>
          <cell r="IV267">
            <v>0</v>
          </cell>
          <cell r="IW267">
            <v>0</v>
          </cell>
          <cell r="IX267">
            <v>0</v>
          </cell>
          <cell r="IY267">
            <v>0</v>
          </cell>
          <cell r="IZ267">
            <v>0</v>
          </cell>
          <cell r="JA267">
            <v>0</v>
          </cell>
        </row>
        <row r="271">
          <cell r="C271">
            <v>1</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7.1227260000000001</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cell r="BM271">
            <v>0</v>
          </cell>
          <cell r="BN271">
            <v>0</v>
          </cell>
          <cell r="BO271">
            <v>0</v>
          </cell>
          <cell r="BP271">
            <v>0</v>
          </cell>
          <cell r="BQ271">
            <v>0</v>
          </cell>
          <cell r="BR271">
            <v>0</v>
          </cell>
          <cell r="BS271">
            <v>0</v>
          </cell>
          <cell r="BT271">
            <v>0</v>
          </cell>
          <cell r="BU271">
            <v>0</v>
          </cell>
          <cell r="BV271">
            <v>0</v>
          </cell>
          <cell r="BW271">
            <v>0</v>
          </cell>
          <cell r="BX271">
            <v>0</v>
          </cell>
          <cell r="BY271">
            <v>0</v>
          </cell>
          <cell r="BZ271">
            <v>0</v>
          </cell>
          <cell r="CA271">
            <v>0</v>
          </cell>
          <cell r="CB271">
            <v>0</v>
          </cell>
          <cell r="CC271">
            <v>0</v>
          </cell>
          <cell r="CD271">
            <v>0</v>
          </cell>
          <cell r="CE271">
            <v>0</v>
          </cell>
          <cell r="CF271">
            <v>0</v>
          </cell>
          <cell r="CG271">
            <v>0</v>
          </cell>
          <cell r="CH271">
            <v>0</v>
          </cell>
          <cell r="CI271">
            <v>0</v>
          </cell>
          <cell r="CJ271">
            <v>0</v>
          </cell>
          <cell r="CK271">
            <v>0</v>
          </cell>
          <cell r="CL271">
            <v>0</v>
          </cell>
          <cell r="CM271">
            <v>0</v>
          </cell>
          <cell r="CN271">
            <v>0</v>
          </cell>
          <cell r="CO271">
            <v>0</v>
          </cell>
          <cell r="CP271">
            <v>0</v>
          </cell>
          <cell r="CQ271">
            <v>0</v>
          </cell>
          <cell r="CR271">
            <v>0</v>
          </cell>
          <cell r="CS271">
            <v>0</v>
          </cell>
          <cell r="CT271">
            <v>0</v>
          </cell>
          <cell r="CU271">
            <v>0</v>
          </cell>
          <cell r="CV271">
            <v>0</v>
          </cell>
          <cell r="CW271">
            <v>0</v>
          </cell>
          <cell r="CX271">
            <v>0</v>
          </cell>
          <cell r="CY271">
            <v>0</v>
          </cell>
          <cell r="CZ271">
            <v>0</v>
          </cell>
          <cell r="DA271">
            <v>0</v>
          </cell>
          <cell r="DB271">
            <v>0</v>
          </cell>
          <cell r="DC271">
            <v>0</v>
          </cell>
          <cell r="DD271">
            <v>0</v>
          </cell>
          <cell r="DE271">
            <v>0</v>
          </cell>
          <cell r="DF271">
            <v>0</v>
          </cell>
          <cell r="DG271">
            <v>0</v>
          </cell>
          <cell r="DH271">
            <v>0</v>
          </cell>
          <cell r="DI271">
            <v>0</v>
          </cell>
          <cell r="DJ271">
            <v>0</v>
          </cell>
          <cell r="DK271">
            <v>0</v>
          </cell>
          <cell r="DL271">
            <v>0</v>
          </cell>
          <cell r="DM271">
            <v>0</v>
          </cell>
          <cell r="DN271">
            <v>0</v>
          </cell>
          <cell r="DO271">
            <v>0</v>
          </cell>
          <cell r="DP271">
            <v>0</v>
          </cell>
          <cell r="DQ271">
            <v>0</v>
          </cell>
          <cell r="DR271">
            <v>0</v>
          </cell>
          <cell r="DS271">
            <v>0</v>
          </cell>
          <cell r="DT271">
            <v>0</v>
          </cell>
          <cell r="DU271">
            <v>0</v>
          </cell>
          <cell r="DV271">
            <v>0</v>
          </cell>
          <cell r="DW271">
            <v>0</v>
          </cell>
          <cell r="DX271">
            <v>0</v>
          </cell>
          <cell r="DY271">
            <v>0</v>
          </cell>
          <cell r="DZ271">
            <v>0</v>
          </cell>
          <cell r="EA271">
            <v>0</v>
          </cell>
          <cell r="EB271">
            <v>0</v>
          </cell>
          <cell r="EC271">
            <v>0</v>
          </cell>
          <cell r="ED271">
            <v>0</v>
          </cell>
          <cell r="EE271">
            <v>0</v>
          </cell>
          <cell r="EF271">
            <v>0</v>
          </cell>
          <cell r="EG271">
            <v>0</v>
          </cell>
          <cell r="EH271">
            <v>0</v>
          </cell>
          <cell r="EI271">
            <v>0</v>
          </cell>
          <cell r="EJ271">
            <v>0</v>
          </cell>
          <cell r="EK271">
            <v>0</v>
          </cell>
          <cell r="EL271">
            <v>0</v>
          </cell>
          <cell r="EM271">
            <v>0</v>
          </cell>
          <cell r="EN271">
            <v>0</v>
          </cell>
          <cell r="EO271">
            <v>0</v>
          </cell>
          <cell r="EP271">
            <v>0</v>
          </cell>
          <cell r="EQ271">
            <v>0</v>
          </cell>
          <cell r="ER271">
            <v>0</v>
          </cell>
          <cell r="ES271">
            <v>0</v>
          </cell>
          <cell r="ET271">
            <v>0</v>
          </cell>
          <cell r="EU271">
            <v>0</v>
          </cell>
          <cell r="EV271">
            <v>0</v>
          </cell>
          <cell r="EW271">
            <v>0</v>
          </cell>
          <cell r="EX271">
            <v>0</v>
          </cell>
          <cell r="EY271">
            <v>0</v>
          </cell>
          <cell r="EZ271">
            <v>0</v>
          </cell>
          <cell r="FA271">
            <v>0</v>
          </cell>
          <cell r="FB271">
            <v>0</v>
          </cell>
          <cell r="FC271">
            <v>0</v>
          </cell>
          <cell r="FD271">
            <v>0</v>
          </cell>
          <cell r="FE271">
            <v>0</v>
          </cell>
          <cell r="FF271">
            <v>0</v>
          </cell>
          <cell r="FG271">
            <v>0</v>
          </cell>
          <cell r="FH271">
            <v>0</v>
          </cell>
          <cell r="FI271">
            <v>0</v>
          </cell>
          <cell r="FJ271">
            <v>0</v>
          </cell>
          <cell r="FK271">
            <v>0</v>
          </cell>
          <cell r="FL271">
            <v>0</v>
          </cell>
          <cell r="FM271">
            <v>0</v>
          </cell>
          <cell r="FN271">
            <v>0</v>
          </cell>
          <cell r="FO271">
            <v>0</v>
          </cell>
          <cell r="FP271">
            <v>0</v>
          </cell>
          <cell r="FQ271">
            <v>0</v>
          </cell>
          <cell r="FR271">
            <v>0</v>
          </cell>
          <cell r="FS271">
            <v>0</v>
          </cell>
          <cell r="FT271">
            <v>0</v>
          </cell>
          <cell r="FU271">
            <v>0</v>
          </cell>
          <cell r="FV271">
            <v>0</v>
          </cell>
          <cell r="FW271">
            <v>0</v>
          </cell>
          <cell r="FX271">
            <v>0</v>
          </cell>
          <cell r="FY271">
            <v>0</v>
          </cell>
          <cell r="FZ271">
            <v>0</v>
          </cell>
          <cell r="GA271">
            <v>0</v>
          </cell>
          <cell r="GB271">
            <v>0</v>
          </cell>
          <cell r="GC271">
            <v>0</v>
          </cell>
          <cell r="GD271">
            <v>0</v>
          </cell>
          <cell r="GE271">
            <v>0</v>
          </cell>
          <cell r="GF271">
            <v>0</v>
          </cell>
          <cell r="GG271">
            <v>0</v>
          </cell>
          <cell r="GH271">
            <v>0</v>
          </cell>
          <cell r="GI271">
            <v>0</v>
          </cell>
          <cell r="GJ271">
            <v>0</v>
          </cell>
          <cell r="GK271">
            <v>0</v>
          </cell>
          <cell r="GL271">
            <v>0</v>
          </cell>
          <cell r="GM271">
            <v>0</v>
          </cell>
          <cell r="GN271">
            <v>0</v>
          </cell>
          <cell r="GO271">
            <v>0</v>
          </cell>
          <cell r="GP271">
            <v>0</v>
          </cell>
          <cell r="GQ271">
            <v>0</v>
          </cell>
          <cell r="GR271">
            <v>0</v>
          </cell>
          <cell r="GS271">
            <v>0</v>
          </cell>
          <cell r="GT271">
            <v>0</v>
          </cell>
          <cell r="GU271">
            <v>0</v>
          </cell>
          <cell r="GV271">
            <v>0</v>
          </cell>
          <cell r="GW271">
            <v>0</v>
          </cell>
          <cell r="GX271">
            <v>0</v>
          </cell>
          <cell r="GY271">
            <v>0</v>
          </cell>
          <cell r="GZ271">
            <v>0</v>
          </cell>
          <cell r="HA271">
            <v>0</v>
          </cell>
          <cell r="HB271">
            <v>0</v>
          </cell>
          <cell r="HC271">
            <v>0</v>
          </cell>
          <cell r="HD271">
            <v>0</v>
          </cell>
          <cell r="HE271">
            <v>0</v>
          </cell>
          <cell r="HF271">
            <v>0</v>
          </cell>
          <cell r="HG271">
            <v>0</v>
          </cell>
          <cell r="HH271">
            <v>0</v>
          </cell>
          <cell r="HI271">
            <v>0</v>
          </cell>
          <cell r="HJ271">
            <v>0</v>
          </cell>
          <cell r="HK271">
            <v>0</v>
          </cell>
          <cell r="HL271">
            <v>0</v>
          </cell>
          <cell r="HM271">
            <v>0</v>
          </cell>
          <cell r="HN271">
            <v>0</v>
          </cell>
          <cell r="HO271">
            <v>0</v>
          </cell>
          <cell r="HP271">
            <v>0</v>
          </cell>
          <cell r="HQ271">
            <v>0</v>
          </cell>
          <cell r="HR271">
            <v>0</v>
          </cell>
          <cell r="HS271">
            <v>0</v>
          </cell>
          <cell r="HT271">
            <v>0</v>
          </cell>
          <cell r="HU271">
            <v>0</v>
          </cell>
          <cell r="HV271">
            <v>0</v>
          </cell>
          <cell r="HW271">
            <v>0</v>
          </cell>
          <cell r="HX271">
            <v>0</v>
          </cell>
          <cell r="HY271">
            <v>0</v>
          </cell>
          <cell r="HZ271">
            <v>0</v>
          </cell>
          <cell r="IA271">
            <v>0</v>
          </cell>
          <cell r="IB271">
            <v>0</v>
          </cell>
          <cell r="IC271">
            <v>0</v>
          </cell>
          <cell r="ID271">
            <v>0</v>
          </cell>
          <cell r="IE271">
            <v>0</v>
          </cell>
          <cell r="IF271">
            <v>0</v>
          </cell>
          <cell r="IG271">
            <v>0</v>
          </cell>
          <cell r="IH271">
            <v>0</v>
          </cell>
          <cell r="II271">
            <v>0</v>
          </cell>
          <cell r="IJ271">
            <v>0</v>
          </cell>
          <cell r="IK271">
            <v>0</v>
          </cell>
          <cell r="IL271">
            <v>0</v>
          </cell>
          <cell r="IM271">
            <v>0</v>
          </cell>
          <cell r="IN271">
            <v>0</v>
          </cell>
          <cell r="IO271">
            <v>0</v>
          </cell>
          <cell r="IP271">
            <v>0</v>
          </cell>
          <cell r="IQ271">
            <v>0</v>
          </cell>
          <cell r="IR271">
            <v>0</v>
          </cell>
          <cell r="IS271">
            <v>0</v>
          </cell>
          <cell r="IT271">
            <v>0</v>
          </cell>
          <cell r="IU271">
            <v>0</v>
          </cell>
          <cell r="IV271">
            <v>0</v>
          </cell>
          <cell r="IW271">
            <v>0</v>
          </cell>
          <cell r="IX271">
            <v>0</v>
          </cell>
          <cell r="IY271">
            <v>0</v>
          </cell>
          <cell r="IZ271">
            <v>0</v>
          </cell>
          <cell r="JA271">
            <v>0</v>
          </cell>
        </row>
        <row r="277">
          <cell r="G277">
            <v>0</v>
          </cell>
        </row>
        <row r="285">
          <cell r="F285">
            <v>1</v>
          </cell>
        </row>
        <row r="297">
          <cell r="D297" t="str">
            <v>PT Pertamina EP Cepu ADK</v>
          </cell>
        </row>
        <row r="298">
          <cell r="D298" t="str">
            <v>Partner 2</v>
          </cell>
        </row>
        <row r="299">
          <cell r="D299" t="str">
            <v>Partner 3</v>
          </cell>
        </row>
        <row r="300">
          <cell r="D300" t="str">
            <v>Partner 4</v>
          </cell>
        </row>
        <row r="301">
          <cell r="D301" t="str">
            <v>Partner 5</v>
          </cell>
        </row>
        <row r="302">
          <cell r="D302" t="str">
            <v>Partner 6</v>
          </cell>
        </row>
        <row r="303">
          <cell r="D303" t="str">
            <v>Partner 7</v>
          </cell>
        </row>
        <row r="304">
          <cell r="D304" t="str">
            <v>Partner 8</v>
          </cell>
        </row>
        <row r="305">
          <cell r="D305" t="str">
            <v>Partner 9</v>
          </cell>
        </row>
        <row r="306">
          <cell r="D306" t="str">
            <v>Partner 10</v>
          </cell>
        </row>
        <row r="311">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cell r="BM311">
            <v>0</v>
          </cell>
          <cell r="BN311">
            <v>0</v>
          </cell>
          <cell r="BO311">
            <v>0</v>
          </cell>
          <cell r="BP311">
            <v>0</v>
          </cell>
          <cell r="BQ311">
            <v>0</v>
          </cell>
          <cell r="BR311">
            <v>0</v>
          </cell>
          <cell r="BS311">
            <v>0</v>
          </cell>
          <cell r="BT311">
            <v>0</v>
          </cell>
          <cell r="BU311">
            <v>0</v>
          </cell>
          <cell r="BV311">
            <v>0</v>
          </cell>
          <cell r="BW311">
            <v>0</v>
          </cell>
          <cell r="BX311">
            <v>0</v>
          </cell>
          <cell r="BY311">
            <v>0</v>
          </cell>
          <cell r="BZ311">
            <v>0</v>
          </cell>
          <cell r="CA311">
            <v>0</v>
          </cell>
          <cell r="CB311">
            <v>0</v>
          </cell>
          <cell r="CC311">
            <v>0</v>
          </cell>
          <cell r="CD311">
            <v>0</v>
          </cell>
          <cell r="CE311">
            <v>0</v>
          </cell>
          <cell r="CF311">
            <v>0</v>
          </cell>
          <cell r="CG311">
            <v>0</v>
          </cell>
          <cell r="CH311">
            <v>0</v>
          </cell>
          <cell r="CI311">
            <v>0</v>
          </cell>
          <cell r="CJ311">
            <v>0</v>
          </cell>
          <cell r="CK311">
            <v>0</v>
          </cell>
          <cell r="CL311">
            <v>0</v>
          </cell>
          <cell r="CM311">
            <v>0</v>
          </cell>
          <cell r="CN311">
            <v>0</v>
          </cell>
          <cell r="CO311">
            <v>0</v>
          </cell>
          <cell r="CP311">
            <v>0</v>
          </cell>
          <cell r="CQ311">
            <v>0</v>
          </cell>
          <cell r="CR311">
            <v>0</v>
          </cell>
          <cell r="CS311">
            <v>0</v>
          </cell>
          <cell r="CT311">
            <v>0</v>
          </cell>
          <cell r="CU311">
            <v>0</v>
          </cell>
          <cell r="CV311">
            <v>0</v>
          </cell>
          <cell r="CW311">
            <v>0</v>
          </cell>
          <cell r="CX311">
            <v>0</v>
          </cell>
          <cell r="CY311">
            <v>0</v>
          </cell>
          <cell r="CZ311">
            <v>0</v>
          </cell>
          <cell r="DA311">
            <v>0</v>
          </cell>
          <cell r="DB311">
            <v>0</v>
          </cell>
          <cell r="DC311">
            <v>0</v>
          </cell>
          <cell r="DD311">
            <v>0</v>
          </cell>
          <cell r="DE311">
            <v>0</v>
          </cell>
          <cell r="DF311">
            <v>0</v>
          </cell>
          <cell r="DG311">
            <v>0</v>
          </cell>
          <cell r="DH311">
            <v>0</v>
          </cell>
          <cell r="DI311">
            <v>0</v>
          </cell>
          <cell r="DJ311">
            <v>0</v>
          </cell>
          <cell r="DK311">
            <v>0</v>
          </cell>
          <cell r="DL311">
            <v>0</v>
          </cell>
          <cell r="DM311">
            <v>0</v>
          </cell>
          <cell r="DN311">
            <v>0</v>
          </cell>
          <cell r="DO311">
            <v>0</v>
          </cell>
          <cell r="DP311">
            <v>0</v>
          </cell>
          <cell r="DQ311">
            <v>0</v>
          </cell>
          <cell r="DR311">
            <v>0</v>
          </cell>
          <cell r="DS311">
            <v>0</v>
          </cell>
          <cell r="DT311">
            <v>0</v>
          </cell>
          <cell r="DU311">
            <v>0</v>
          </cell>
          <cell r="DV311">
            <v>0</v>
          </cell>
          <cell r="DW311">
            <v>0</v>
          </cell>
          <cell r="DX311">
            <v>0</v>
          </cell>
          <cell r="DY311">
            <v>0</v>
          </cell>
          <cell r="DZ311">
            <v>0</v>
          </cell>
          <cell r="EA311">
            <v>0</v>
          </cell>
          <cell r="EB311">
            <v>0</v>
          </cell>
          <cell r="EC311">
            <v>0</v>
          </cell>
          <cell r="ED311">
            <v>0</v>
          </cell>
          <cell r="EE311">
            <v>0</v>
          </cell>
          <cell r="EF311">
            <v>0</v>
          </cell>
          <cell r="EG311">
            <v>0</v>
          </cell>
          <cell r="EH311">
            <v>0</v>
          </cell>
          <cell r="EI311">
            <v>0</v>
          </cell>
          <cell r="EJ311">
            <v>0</v>
          </cell>
          <cell r="EK311">
            <v>0</v>
          </cell>
          <cell r="EL311">
            <v>0</v>
          </cell>
          <cell r="EM311">
            <v>0</v>
          </cell>
          <cell r="EN311">
            <v>0</v>
          </cell>
          <cell r="EO311">
            <v>0</v>
          </cell>
          <cell r="EP311">
            <v>0</v>
          </cell>
          <cell r="EQ311">
            <v>0</v>
          </cell>
          <cell r="ER311">
            <v>0</v>
          </cell>
          <cell r="ES311">
            <v>0</v>
          </cell>
          <cell r="ET311">
            <v>0</v>
          </cell>
          <cell r="EU311">
            <v>0</v>
          </cell>
          <cell r="EV311">
            <v>0</v>
          </cell>
          <cell r="EW311">
            <v>0</v>
          </cell>
          <cell r="EX311">
            <v>0</v>
          </cell>
          <cell r="EY311">
            <v>0</v>
          </cell>
          <cell r="EZ311">
            <v>0</v>
          </cell>
          <cell r="FA311">
            <v>0</v>
          </cell>
          <cell r="FB311">
            <v>0</v>
          </cell>
          <cell r="FC311">
            <v>0</v>
          </cell>
          <cell r="FD311">
            <v>0</v>
          </cell>
          <cell r="FE311">
            <v>0</v>
          </cell>
          <cell r="FF311">
            <v>0</v>
          </cell>
          <cell r="FG311">
            <v>0</v>
          </cell>
          <cell r="FH311">
            <v>0</v>
          </cell>
          <cell r="FI311">
            <v>0</v>
          </cell>
          <cell r="FJ311">
            <v>0</v>
          </cell>
          <cell r="FK311">
            <v>0</v>
          </cell>
          <cell r="FL311">
            <v>0</v>
          </cell>
          <cell r="FM311">
            <v>0</v>
          </cell>
          <cell r="FN311">
            <v>0</v>
          </cell>
          <cell r="FO311">
            <v>0</v>
          </cell>
          <cell r="FP311">
            <v>0</v>
          </cell>
          <cell r="FQ311">
            <v>0</v>
          </cell>
          <cell r="FR311">
            <v>0</v>
          </cell>
          <cell r="FS311">
            <v>0</v>
          </cell>
          <cell r="FT311">
            <v>0</v>
          </cell>
          <cell r="FU311">
            <v>0</v>
          </cell>
          <cell r="FV311">
            <v>0</v>
          </cell>
          <cell r="FW311">
            <v>0</v>
          </cell>
          <cell r="FX311">
            <v>0</v>
          </cell>
          <cell r="FY311">
            <v>0</v>
          </cell>
          <cell r="FZ311">
            <v>0</v>
          </cell>
          <cell r="GA311">
            <v>0</v>
          </cell>
          <cell r="GB311">
            <v>0</v>
          </cell>
          <cell r="GC311">
            <v>0</v>
          </cell>
          <cell r="GD311">
            <v>0</v>
          </cell>
          <cell r="GE311">
            <v>0</v>
          </cell>
          <cell r="GF311">
            <v>0</v>
          </cell>
          <cell r="GG311">
            <v>0</v>
          </cell>
          <cell r="GH311">
            <v>0</v>
          </cell>
          <cell r="GI311">
            <v>0</v>
          </cell>
          <cell r="GJ311">
            <v>0</v>
          </cell>
          <cell r="GK311">
            <v>0</v>
          </cell>
          <cell r="GL311">
            <v>0</v>
          </cell>
          <cell r="GM311">
            <v>0</v>
          </cell>
          <cell r="GN311">
            <v>0</v>
          </cell>
          <cell r="GO311">
            <v>0</v>
          </cell>
          <cell r="GP311">
            <v>0</v>
          </cell>
          <cell r="GQ311">
            <v>0</v>
          </cell>
          <cell r="GR311">
            <v>0</v>
          </cell>
          <cell r="GS311">
            <v>0</v>
          </cell>
          <cell r="GT311">
            <v>0</v>
          </cell>
          <cell r="GU311">
            <v>0</v>
          </cell>
          <cell r="GV311">
            <v>0</v>
          </cell>
          <cell r="GW311">
            <v>0</v>
          </cell>
          <cell r="GX311">
            <v>0</v>
          </cell>
          <cell r="GY311">
            <v>0</v>
          </cell>
          <cell r="GZ311">
            <v>0</v>
          </cell>
          <cell r="HA311">
            <v>0</v>
          </cell>
          <cell r="HB311">
            <v>0</v>
          </cell>
          <cell r="HC311">
            <v>0</v>
          </cell>
          <cell r="HD311">
            <v>0</v>
          </cell>
          <cell r="HE311">
            <v>0</v>
          </cell>
          <cell r="HF311">
            <v>0</v>
          </cell>
          <cell r="HG311">
            <v>0</v>
          </cell>
          <cell r="HH311">
            <v>0</v>
          </cell>
          <cell r="HI311">
            <v>0</v>
          </cell>
          <cell r="HJ311">
            <v>0</v>
          </cell>
          <cell r="HK311">
            <v>0</v>
          </cell>
          <cell r="HL311">
            <v>0</v>
          </cell>
          <cell r="HM311">
            <v>0</v>
          </cell>
          <cell r="HN311">
            <v>0</v>
          </cell>
          <cell r="HO311">
            <v>0</v>
          </cell>
          <cell r="HP311">
            <v>0</v>
          </cell>
          <cell r="HQ311">
            <v>0</v>
          </cell>
          <cell r="HR311">
            <v>0</v>
          </cell>
          <cell r="HS311">
            <v>0</v>
          </cell>
          <cell r="HT311">
            <v>0</v>
          </cell>
          <cell r="HU311">
            <v>0</v>
          </cell>
          <cell r="HV311">
            <v>0</v>
          </cell>
          <cell r="HW311">
            <v>0</v>
          </cell>
          <cell r="HX311">
            <v>0</v>
          </cell>
          <cell r="HY311">
            <v>0</v>
          </cell>
          <cell r="HZ311">
            <v>0</v>
          </cell>
          <cell r="IA311">
            <v>0</v>
          </cell>
          <cell r="IB311">
            <v>0</v>
          </cell>
          <cell r="IC311">
            <v>0</v>
          </cell>
          <cell r="ID311">
            <v>0</v>
          </cell>
          <cell r="IE311">
            <v>0</v>
          </cell>
          <cell r="IF311">
            <v>0</v>
          </cell>
          <cell r="IG311">
            <v>0</v>
          </cell>
          <cell r="IH311">
            <v>0</v>
          </cell>
          <cell r="II311">
            <v>0</v>
          </cell>
          <cell r="IJ311">
            <v>0</v>
          </cell>
          <cell r="IK311">
            <v>0</v>
          </cell>
          <cell r="IL311">
            <v>0</v>
          </cell>
          <cell r="IM311">
            <v>0</v>
          </cell>
          <cell r="IN311">
            <v>0</v>
          </cell>
          <cell r="IO311">
            <v>0</v>
          </cell>
          <cell r="IP311">
            <v>0</v>
          </cell>
          <cell r="IQ311">
            <v>0</v>
          </cell>
          <cell r="IR311">
            <v>0</v>
          </cell>
          <cell r="IS311">
            <v>0</v>
          </cell>
          <cell r="IT311">
            <v>0</v>
          </cell>
          <cell r="IU311">
            <v>0</v>
          </cell>
          <cell r="IV311">
            <v>0</v>
          </cell>
          <cell r="IW311">
            <v>0</v>
          </cell>
          <cell r="IX311">
            <v>0</v>
          </cell>
          <cell r="IY311">
            <v>0</v>
          </cell>
          <cell r="IZ311">
            <v>0</v>
          </cell>
          <cell r="JA311">
            <v>0</v>
          </cell>
        </row>
        <row r="312">
          <cell r="L312">
            <v>1</v>
          </cell>
          <cell r="M312">
            <v>1</v>
          </cell>
          <cell r="N312">
            <v>1</v>
          </cell>
          <cell r="O312">
            <v>1</v>
          </cell>
          <cell r="P312">
            <v>1</v>
          </cell>
          <cell r="Q312">
            <v>1</v>
          </cell>
          <cell r="R312">
            <v>1</v>
          </cell>
          <cell r="S312">
            <v>1</v>
          </cell>
          <cell r="T312">
            <v>1</v>
          </cell>
          <cell r="U312">
            <v>1</v>
          </cell>
          <cell r="V312">
            <v>1</v>
          </cell>
          <cell r="W312">
            <v>1</v>
          </cell>
          <cell r="X312">
            <v>1</v>
          </cell>
          <cell r="Y312">
            <v>1</v>
          </cell>
          <cell r="Z312">
            <v>1</v>
          </cell>
          <cell r="AA312">
            <v>1</v>
          </cell>
          <cell r="AB312">
            <v>1</v>
          </cell>
          <cell r="AC312">
            <v>1</v>
          </cell>
          <cell r="AD312">
            <v>1</v>
          </cell>
          <cell r="AE312">
            <v>1</v>
          </cell>
          <cell r="AF312">
            <v>1</v>
          </cell>
          <cell r="AG312">
            <v>1</v>
          </cell>
          <cell r="AH312">
            <v>1</v>
          </cell>
          <cell r="AI312">
            <v>1</v>
          </cell>
          <cell r="AJ312">
            <v>1</v>
          </cell>
          <cell r="AK312">
            <v>1</v>
          </cell>
          <cell r="AL312">
            <v>1</v>
          </cell>
          <cell r="AM312">
            <v>1</v>
          </cell>
          <cell r="AN312">
            <v>1</v>
          </cell>
          <cell r="AO312">
            <v>1</v>
          </cell>
          <cell r="AP312">
            <v>1</v>
          </cell>
          <cell r="AQ312">
            <v>1</v>
          </cell>
          <cell r="AR312">
            <v>1</v>
          </cell>
          <cell r="AS312">
            <v>1</v>
          </cell>
          <cell r="AT312">
            <v>1</v>
          </cell>
          <cell r="AU312">
            <v>1</v>
          </cell>
          <cell r="AV312">
            <v>1</v>
          </cell>
          <cell r="AW312">
            <v>1</v>
          </cell>
          <cell r="AX312">
            <v>1</v>
          </cell>
          <cell r="AY312">
            <v>1</v>
          </cell>
          <cell r="AZ312">
            <v>1</v>
          </cell>
          <cell r="BA312">
            <v>1</v>
          </cell>
          <cell r="BB312">
            <v>1</v>
          </cell>
          <cell r="BC312">
            <v>1</v>
          </cell>
          <cell r="BD312">
            <v>1</v>
          </cell>
          <cell r="BE312">
            <v>1</v>
          </cell>
          <cell r="BF312">
            <v>1</v>
          </cell>
          <cell r="BG312">
            <v>1</v>
          </cell>
          <cell r="BH312">
            <v>1</v>
          </cell>
          <cell r="BI312">
            <v>1</v>
          </cell>
          <cell r="BJ312">
            <v>1</v>
          </cell>
          <cell r="BK312">
            <v>1</v>
          </cell>
          <cell r="BL312">
            <v>1</v>
          </cell>
          <cell r="BM312">
            <v>1</v>
          </cell>
          <cell r="BN312">
            <v>1</v>
          </cell>
          <cell r="BO312">
            <v>1</v>
          </cell>
          <cell r="BP312">
            <v>1</v>
          </cell>
          <cell r="BQ312">
            <v>1</v>
          </cell>
          <cell r="BR312">
            <v>1</v>
          </cell>
          <cell r="BS312">
            <v>1</v>
          </cell>
          <cell r="BT312">
            <v>1</v>
          </cell>
          <cell r="BU312">
            <v>1</v>
          </cell>
          <cell r="BV312">
            <v>1</v>
          </cell>
          <cell r="BW312">
            <v>1</v>
          </cell>
          <cell r="BX312">
            <v>1</v>
          </cell>
          <cell r="BY312">
            <v>1</v>
          </cell>
          <cell r="BZ312">
            <v>1</v>
          </cell>
          <cell r="CA312">
            <v>1</v>
          </cell>
          <cell r="CB312">
            <v>1</v>
          </cell>
          <cell r="CC312">
            <v>1</v>
          </cell>
          <cell r="CD312">
            <v>1</v>
          </cell>
          <cell r="CE312">
            <v>1</v>
          </cell>
          <cell r="CF312">
            <v>1</v>
          </cell>
          <cell r="CG312">
            <v>1</v>
          </cell>
          <cell r="CH312">
            <v>1</v>
          </cell>
          <cell r="CI312">
            <v>1</v>
          </cell>
          <cell r="CJ312">
            <v>1</v>
          </cell>
          <cell r="CK312">
            <v>1</v>
          </cell>
          <cell r="CL312">
            <v>1</v>
          </cell>
          <cell r="CM312">
            <v>1</v>
          </cell>
          <cell r="CN312">
            <v>1</v>
          </cell>
          <cell r="CO312">
            <v>1</v>
          </cell>
          <cell r="CP312">
            <v>1</v>
          </cell>
          <cell r="CQ312">
            <v>1</v>
          </cell>
          <cell r="CR312">
            <v>1</v>
          </cell>
          <cell r="CS312">
            <v>1</v>
          </cell>
          <cell r="CT312">
            <v>1</v>
          </cell>
          <cell r="CU312">
            <v>1</v>
          </cell>
          <cell r="CV312">
            <v>1</v>
          </cell>
          <cell r="CW312">
            <v>1</v>
          </cell>
          <cell r="CX312">
            <v>1</v>
          </cell>
          <cell r="CY312">
            <v>1</v>
          </cell>
          <cell r="CZ312">
            <v>1</v>
          </cell>
          <cell r="DA312">
            <v>1</v>
          </cell>
          <cell r="DB312">
            <v>1</v>
          </cell>
          <cell r="DC312">
            <v>1</v>
          </cell>
          <cell r="DD312">
            <v>1</v>
          </cell>
          <cell r="DE312">
            <v>1</v>
          </cell>
          <cell r="DF312">
            <v>1</v>
          </cell>
          <cell r="DG312">
            <v>1</v>
          </cell>
          <cell r="DH312">
            <v>1</v>
          </cell>
          <cell r="DI312">
            <v>1</v>
          </cell>
          <cell r="DJ312">
            <v>1</v>
          </cell>
          <cell r="DK312">
            <v>1</v>
          </cell>
          <cell r="DL312">
            <v>1</v>
          </cell>
          <cell r="DM312">
            <v>1</v>
          </cell>
          <cell r="DN312">
            <v>1</v>
          </cell>
          <cell r="DO312">
            <v>1</v>
          </cell>
          <cell r="DP312">
            <v>1</v>
          </cell>
          <cell r="DQ312">
            <v>1</v>
          </cell>
          <cell r="DR312">
            <v>1</v>
          </cell>
          <cell r="DS312">
            <v>1</v>
          </cell>
          <cell r="DT312">
            <v>1</v>
          </cell>
          <cell r="DU312">
            <v>1</v>
          </cell>
          <cell r="DV312">
            <v>1</v>
          </cell>
          <cell r="DW312">
            <v>1</v>
          </cell>
          <cell r="DX312">
            <v>1</v>
          </cell>
          <cell r="DY312">
            <v>1</v>
          </cell>
          <cell r="DZ312">
            <v>1</v>
          </cell>
          <cell r="EA312">
            <v>1</v>
          </cell>
          <cell r="EB312">
            <v>1</v>
          </cell>
          <cell r="EC312">
            <v>1</v>
          </cell>
          <cell r="ED312">
            <v>1</v>
          </cell>
          <cell r="EE312">
            <v>1</v>
          </cell>
          <cell r="EF312">
            <v>1</v>
          </cell>
          <cell r="EG312">
            <v>1</v>
          </cell>
          <cell r="EH312">
            <v>1</v>
          </cell>
          <cell r="EI312">
            <v>1</v>
          </cell>
          <cell r="EJ312">
            <v>1</v>
          </cell>
          <cell r="EK312">
            <v>1</v>
          </cell>
          <cell r="EL312">
            <v>1</v>
          </cell>
          <cell r="EM312">
            <v>1</v>
          </cell>
          <cell r="EN312">
            <v>1</v>
          </cell>
          <cell r="EO312">
            <v>1</v>
          </cell>
          <cell r="EP312">
            <v>1</v>
          </cell>
          <cell r="EQ312">
            <v>1</v>
          </cell>
          <cell r="ER312">
            <v>1</v>
          </cell>
          <cell r="ES312">
            <v>1</v>
          </cell>
          <cell r="ET312">
            <v>1</v>
          </cell>
          <cell r="EU312">
            <v>1</v>
          </cell>
          <cell r="EV312">
            <v>1</v>
          </cell>
          <cell r="EW312">
            <v>1</v>
          </cell>
          <cell r="EX312">
            <v>1</v>
          </cell>
          <cell r="EY312">
            <v>1</v>
          </cell>
          <cell r="EZ312">
            <v>1</v>
          </cell>
          <cell r="FA312">
            <v>1</v>
          </cell>
          <cell r="FB312">
            <v>1</v>
          </cell>
          <cell r="FC312">
            <v>1</v>
          </cell>
          <cell r="FD312">
            <v>1</v>
          </cell>
          <cell r="FE312">
            <v>1</v>
          </cell>
          <cell r="FF312">
            <v>1</v>
          </cell>
          <cell r="FG312">
            <v>1</v>
          </cell>
          <cell r="FH312">
            <v>1</v>
          </cell>
          <cell r="FI312">
            <v>1</v>
          </cell>
          <cell r="FJ312">
            <v>1</v>
          </cell>
          <cell r="FK312">
            <v>1</v>
          </cell>
          <cell r="FL312">
            <v>1</v>
          </cell>
          <cell r="FM312">
            <v>1</v>
          </cell>
          <cell r="FN312">
            <v>1</v>
          </cell>
          <cell r="FO312">
            <v>1</v>
          </cell>
          <cell r="FP312">
            <v>1</v>
          </cell>
          <cell r="FQ312">
            <v>1</v>
          </cell>
          <cell r="FR312">
            <v>1</v>
          </cell>
          <cell r="FS312">
            <v>1</v>
          </cell>
          <cell r="FT312">
            <v>1</v>
          </cell>
          <cell r="FU312">
            <v>1</v>
          </cell>
          <cell r="FV312">
            <v>1</v>
          </cell>
          <cell r="FW312">
            <v>1</v>
          </cell>
          <cell r="FX312">
            <v>1</v>
          </cell>
          <cell r="FY312">
            <v>1</v>
          </cell>
          <cell r="FZ312">
            <v>1</v>
          </cell>
          <cell r="GA312">
            <v>1</v>
          </cell>
          <cell r="GB312">
            <v>1</v>
          </cell>
          <cell r="GC312">
            <v>1</v>
          </cell>
          <cell r="GD312">
            <v>1</v>
          </cell>
          <cell r="GE312">
            <v>1</v>
          </cell>
          <cell r="GF312">
            <v>1</v>
          </cell>
          <cell r="GG312">
            <v>1</v>
          </cell>
          <cell r="GH312">
            <v>1</v>
          </cell>
          <cell r="GI312">
            <v>1</v>
          </cell>
          <cell r="GJ312">
            <v>1</v>
          </cell>
          <cell r="GK312">
            <v>1</v>
          </cell>
          <cell r="GL312">
            <v>1</v>
          </cell>
          <cell r="GM312">
            <v>1</v>
          </cell>
          <cell r="GN312">
            <v>1</v>
          </cell>
          <cell r="GO312">
            <v>1</v>
          </cell>
          <cell r="GP312">
            <v>1</v>
          </cell>
          <cell r="GQ312">
            <v>1</v>
          </cell>
          <cell r="GR312">
            <v>1</v>
          </cell>
          <cell r="GS312">
            <v>1</v>
          </cell>
          <cell r="GT312">
            <v>1</v>
          </cell>
          <cell r="GU312">
            <v>1</v>
          </cell>
          <cell r="GV312">
            <v>1</v>
          </cell>
          <cell r="GW312">
            <v>1</v>
          </cell>
          <cell r="GX312">
            <v>1</v>
          </cell>
          <cell r="GY312">
            <v>1</v>
          </cell>
          <cell r="GZ312">
            <v>1</v>
          </cell>
          <cell r="HA312">
            <v>1</v>
          </cell>
          <cell r="HB312">
            <v>1</v>
          </cell>
          <cell r="HC312">
            <v>1</v>
          </cell>
          <cell r="HD312">
            <v>1</v>
          </cell>
          <cell r="HE312">
            <v>1</v>
          </cell>
          <cell r="HF312">
            <v>1</v>
          </cell>
          <cell r="HG312">
            <v>1</v>
          </cell>
          <cell r="HH312">
            <v>1</v>
          </cell>
          <cell r="HI312">
            <v>1</v>
          </cell>
          <cell r="HJ312">
            <v>1</v>
          </cell>
          <cell r="HK312">
            <v>1</v>
          </cell>
          <cell r="HL312">
            <v>1</v>
          </cell>
          <cell r="HM312">
            <v>1</v>
          </cell>
          <cell r="HN312">
            <v>1</v>
          </cell>
          <cell r="HO312">
            <v>1</v>
          </cell>
          <cell r="HP312">
            <v>1</v>
          </cell>
          <cell r="HQ312">
            <v>1</v>
          </cell>
          <cell r="HR312">
            <v>1</v>
          </cell>
          <cell r="HS312">
            <v>1</v>
          </cell>
          <cell r="HT312">
            <v>1</v>
          </cell>
          <cell r="HU312">
            <v>1</v>
          </cell>
          <cell r="HV312">
            <v>1</v>
          </cell>
          <cell r="HW312">
            <v>1</v>
          </cell>
          <cell r="HX312">
            <v>1</v>
          </cell>
          <cell r="HY312">
            <v>1</v>
          </cell>
          <cell r="HZ312">
            <v>1</v>
          </cell>
          <cell r="IA312">
            <v>1</v>
          </cell>
          <cell r="IB312">
            <v>1</v>
          </cell>
          <cell r="IC312">
            <v>1</v>
          </cell>
          <cell r="ID312">
            <v>1</v>
          </cell>
          <cell r="IE312">
            <v>1</v>
          </cell>
          <cell r="IF312">
            <v>1</v>
          </cell>
          <cell r="IG312">
            <v>1</v>
          </cell>
          <cell r="IH312">
            <v>1</v>
          </cell>
          <cell r="II312">
            <v>1</v>
          </cell>
          <cell r="IJ312">
            <v>1</v>
          </cell>
          <cell r="IK312">
            <v>1</v>
          </cell>
          <cell r="IL312">
            <v>1</v>
          </cell>
          <cell r="IM312">
            <v>1</v>
          </cell>
          <cell r="IN312">
            <v>1</v>
          </cell>
          <cell r="IO312">
            <v>1</v>
          </cell>
          <cell r="IP312">
            <v>1</v>
          </cell>
          <cell r="IQ312">
            <v>1</v>
          </cell>
          <cell r="IR312">
            <v>1</v>
          </cell>
          <cell r="IS312">
            <v>1</v>
          </cell>
          <cell r="IT312">
            <v>1</v>
          </cell>
          <cell r="IU312">
            <v>1</v>
          </cell>
          <cell r="IV312">
            <v>1</v>
          </cell>
          <cell r="IW312">
            <v>1</v>
          </cell>
          <cell r="IX312">
            <v>1</v>
          </cell>
          <cell r="IY312">
            <v>1</v>
          </cell>
          <cell r="IZ312">
            <v>1</v>
          </cell>
          <cell r="JA312">
            <v>1</v>
          </cell>
        </row>
        <row r="315">
          <cell r="G315">
            <v>0</v>
          </cell>
          <cell r="H315">
            <v>1</v>
          </cell>
        </row>
        <row r="316">
          <cell r="G316">
            <v>0</v>
          </cell>
          <cell r="H316">
            <v>1</v>
          </cell>
        </row>
        <row r="317">
          <cell r="G317">
            <v>0</v>
          </cell>
          <cell r="H317">
            <v>0</v>
          </cell>
        </row>
        <row r="318">
          <cell r="G318">
            <v>0</v>
          </cell>
          <cell r="H318">
            <v>1</v>
          </cell>
        </row>
        <row r="319">
          <cell r="G319">
            <v>0</v>
          </cell>
          <cell r="H319">
            <v>0</v>
          </cell>
        </row>
        <row r="321">
          <cell r="L321">
            <v>1</v>
          </cell>
          <cell r="M321">
            <v>1</v>
          </cell>
          <cell r="N321">
            <v>1</v>
          </cell>
          <cell r="O321">
            <v>1</v>
          </cell>
          <cell r="P321">
            <v>1</v>
          </cell>
          <cell r="Q321">
            <v>1</v>
          </cell>
          <cell r="R321">
            <v>1</v>
          </cell>
          <cell r="S321">
            <v>1</v>
          </cell>
          <cell r="T321">
            <v>1</v>
          </cell>
          <cell r="U321">
            <v>1</v>
          </cell>
          <cell r="V321">
            <v>1</v>
          </cell>
          <cell r="W321">
            <v>1</v>
          </cell>
          <cell r="X321">
            <v>1</v>
          </cell>
          <cell r="Y321">
            <v>1</v>
          </cell>
          <cell r="Z321">
            <v>1</v>
          </cell>
          <cell r="AA321">
            <v>1</v>
          </cell>
          <cell r="AB321">
            <v>1</v>
          </cell>
          <cell r="AC321">
            <v>1</v>
          </cell>
          <cell r="AD321">
            <v>1</v>
          </cell>
          <cell r="AE321">
            <v>1</v>
          </cell>
          <cell r="AF321">
            <v>1</v>
          </cell>
          <cell r="AG321">
            <v>1</v>
          </cell>
          <cell r="AH321">
            <v>1</v>
          </cell>
          <cell r="AI321">
            <v>1</v>
          </cell>
          <cell r="AJ321">
            <v>1</v>
          </cell>
          <cell r="AK321">
            <v>1</v>
          </cell>
          <cell r="AL321">
            <v>1</v>
          </cell>
          <cell r="AM321">
            <v>1</v>
          </cell>
          <cell r="AN321">
            <v>1</v>
          </cell>
          <cell r="AO321">
            <v>1</v>
          </cell>
          <cell r="AP321">
            <v>1</v>
          </cell>
          <cell r="AQ321">
            <v>1</v>
          </cell>
          <cell r="AR321">
            <v>1</v>
          </cell>
          <cell r="AS321">
            <v>1</v>
          </cell>
          <cell r="AT321">
            <v>1</v>
          </cell>
          <cell r="AU321">
            <v>1</v>
          </cell>
          <cell r="AV321">
            <v>1</v>
          </cell>
          <cell r="AW321">
            <v>1</v>
          </cell>
          <cell r="AX321">
            <v>1</v>
          </cell>
          <cell r="AY321">
            <v>1</v>
          </cell>
          <cell r="AZ321">
            <v>1</v>
          </cell>
          <cell r="BA321">
            <v>1</v>
          </cell>
          <cell r="BB321">
            <v>1</v>
          </cell>
          <cell r="BC321">
            <v>1</v>
          </cell>
          <cell r="BD321">
            <v>1</v>
          </cell>
          <cell r="BE321">
            <v>1</v>
          </cell>
          <cell r="BF321">
            <v>1</v>
          </cell>
          <cell r="BG321">
            <v>1</v>
          </cell>
          <cell r="BH321">
            <v>1</v>
          </cell>
          <cell r="BI321">
            <v>1</v>
          </cell>
          <cell r="BJ321">
            <v>1</v>
          </cell>
          <cell r="BK321">
            <v>1</v>
          </cell>
          <cell r="BL321">
            <v>1</v>
          </cell>
          <cell r="BM321">
            <v>1</v>
          </cell>
          <cell r="BN321">
            <v>1</v>
          </cell>
          <cell r="BO321">
            <v>1</v>
          </cell>
          <cell r="BP321">
            <v>1</v>
          </cell>
          <cell r="BQ321">
            <v>1</v>
          </cell>
          <cell r="BR321">
            <v>1</v>
          </cell>
          <cell r="BS321">
            <v>1</v>
          </cell>
          <cell r="BT321">
            <v>1</v>
          </cell>
          <cell r="BU321">
            <v>1</v>
          </cell>
          <cell r="BV321">
            <v>1</v>
          </cell>
          <cell r="BW321">
            <v>1</v>
          </cell>
          <cell r="BX321">
            <v>1</v>
          </cell>
          <cell r="BY321">
            <v>1</v>
          </cell>
          <cell r="BZ321">
            <v>1</v>
          </cell>
          <cell r="CA321">
            <v>1</v>
          </cell>
          <cell r="CB321">
            <v>1</v>
          </cell>
          <cell r="CC321">
            <v>1</v>
          </cell>
          <cell r="CD321">
            <v>1</v>
          </cell>
          <cell r="CE321">
            <v>1</v>
          </cell>
          <cell r="CF321">
            <v>1</v>
          </cell>
          <cell r="CG321">
            <v>1</v>
          </cell>
          <cell r="CH321">
            <v>1</v>
          </cell>
          <cell r="CI321">
            <v>1</v>
          </cell>
          <cell r="CJ321">
            <v>1</v>
          </cell>
          <cell r="CK321">
            <v>1</v>
          </cell>
          <cell r="CL321">
            <v>1</v>
          </cell>
          <cell r="CM321">
            <v>1</v>
          </cell>
          <cell r="CN321">
            <v>1</v>
          </cell>
          <cell r="CO321">
            <v>1</v>
          </cell>
          <cell r="CP321">
            <v>1</v>
          </cell>
          <cell r="CQ321">
            <v>1</v>
          </cell>
          <cell r="CR321">
            <v>1</v>
          </cell>
          <cell r="CS321">
            <v>1</v>
          </cell>
          <cell r="CT321">
            <v>1</v>
          </cell>
          <cell r="CU321">
            <v>1</v>
          </cell>
          <cell r="CV321">
            <v>1</v>
          </cell>
          <cell r="CW321">
            <v>1</v>
          </cell>
          <cell r="CX321">
            <v>1</v>
          </cell>
          <cell r="CY321">
            <v>1</v>
          </cell>
          <cell r="CZ321">
            <v>1</v>
          </cell>
          <cell r="DA321">
            <v>1</v>
          </cell>
          <cell r="DB321">
            <v>1</v>
          </cell>
          <cell r="DC321">
            <v>1</v>
          </cell>
          <cell r="DD321">
            <v>1</v>
          </cell>
          <cell r="DE321">
            <v>1</v>
          </cell>
          <cell r="DF321">
            <v>1</v>
          </cell>
          <cell r="DG321">
            <v>1</v>
          </cell>
          <cell r="DH321">
            <v>1</v>
          </cell>
          <cell r="DI321">
            <v>1</v>
          </cell>
          <cell r="DJ321">
            <v>1</v>
          </cell>
          <cell r="DK321">
            <v>1</v>
          </cell>
          <cell r="DL321">
            <v>1</v>
          </cell>
          <cell r="DM321">
            <v>1</v>
          </cell>
          <cell r="DN321">
            <v>1</v>
          </cell>
          <cell r="DO321">
            <v>1</v>
          </cell>
          <cell r="DP321">
            <v>1</v>
          </cell>
          <cell r="DQ321">
            <v>1</v>
          </cell>
          <cell r="DR321">
            <v>1</v>
          </cell>
          <cell r="DS321">
            <v>1</v>
          </cell>
          <cell r="DT321">
            <v>1</v>
          </cell>
          <cell r="DU321">
            <v>1</v>
          </cell>
          <cell r="DV321">
            <v>1</v>
          </cell>
          <cell r="DW321">
            <v>1</v>
          </cell>
          <cell r="DX321">
            <v>1</v>
          </cell>
          <cell r="DY321">
            <v>1</v>
          </cell>
          <cell r="DZ321">
            <v>1</v>
          </cell>
          <cell r="EA321">
            <v>1</v>
          </cell>
          <cell r="EB321">
            <v>1</v>
          </cell>
          <cell r="EC321">
            <v>1</v>
          </cell>
          <cell r="ED321">
            <v>1</v>
          </cell>
          <cell r="EE321">
            <v>1</v>
          </cell>
          <cell r="EF321">
            <v>1</v>
          </cell>
          <cell r="EG321">
            <v>1</v>
          </cell>
          <cell r="EH321">
            <v>1</v>
          </cell>
          <cell r="EI321">
            <v>1</v>
          </cell>
          <cell r="EJ321">
            <v>1</v>
          </cell>
          <cell r="EK321">
            <v>1</v>
          </cell>
          <cell r="EL321">
            <v>1</v>
          </cell>
          <cell r="EM321">
            <v>1</v>
          </cell>
          <cell r="EN321">
            <v>1</v>
          </cell>
          <cell r="EO321">
            <v>1</v>
          </cell>
          <cell r="EP321">
            <v>1</v>
          </cell>
          <cell r="EQ321">
            <v>1</v>
          </cell>
          <cell r="ER321">
            <v>1</v>
          </cell>
          <cell r="ES321">
            <v>1</v>
          </cell>
          <cell r="ET321">
            <v>1</v>
          </cell>
          <cell r="EU321">
            <v>1</v>
          </cell>
          <cell r="EV321">
            <v>1</v>
          </cell>
          <cell r="EW321">
            <v>1</v>
          </cell>
          <cell r="EX321">
            <v>1</v>
          </cell>
          <cell r="EY321">
            <v>1</v>
          </cell>
          <cell r="EZ321">
            <v>1</v>
          </cell>
          <cell r="FA321">
            <v>1</v>
          </cell>
          <cell r="FB321">
            <v>1</v>
          </cell>
          <cell r="FC321">
            <v>1</v>
          </cell>
          <cell r="FD321">
            <v>1</v>
          </cell>
          <cell r="FE321">
            <v>1</v>
          </cell>
          <cell r="FF321">
            <v>1</v>
          </cell>
          <cell r="FG321">
            <v>1</v>
          </cell>
          <cell r="FH321">
            <v>1</v>
          </cell>
          <cell r="FI321">
            <v>1</v>
          </cell>
          <cell r="FJ321">
            <v>1</v>
          </cell>
          <cell r="FK321">
            <v>1</v>
          </cell>
          <cell r="FL321">
            <v>1</v>
          </cell>
          <cell r="FM321">
            <v>1</v>
          </cell>
          <cell r="FN321">
            <v>1</v>
          </cell>
          <cell r="FO321">
            <v>1</v>
          </cell>
          <cell r="FP321">
            <v>1</v>
          </cell>
          <cell r="FQ321">
            <v>1</v>
          </cell>
          <cell r="FR321">
            <v>1</v>
          </cell>
          <cell r="FS321">
            <v>1</v>
          </cell>
          <cell r="FT321">
            <v>1</v>
          </cell>
          <cell r="FU321">
            <v>1</v>
          </cell>
          <cell r="FV321">
            <v>1</v>
          </cell>
          <cell r="FW321">
            <v>1</v>
          </cell>
          <cell r="FX321">
            <v>1</v>
          </cell>
          <cell r="FY321">
            <v>1</v>
          </cell>
          <cell r="FZ321">
            <v>1</v>
          </cell>
          <cell r="GA321">
            <v>1</v>
          </cell>
          <cell r="GB321">
            <v>1</v>
          </cell>
          <cell r="GC321">
            <v>1</v>
          </cell>
          <cell r="GD321">
            <v>1</v>
          </cell>
          <cell r="GE321">
            <v>1</v>
          </cell>
          <cell r="GF321">
            <v>1</v>
          </cell>
          <cell r="GG321">
            <v>1</v>
          </cell>
          <cell r="GH321">
            <v>1</v>
          </cell>
          <cell r="GI321">
            <v>1</v>
          </cell>
          <cell r="GJ321">
            <v>1</v>
          </cell>
          <cell r="GK321">
            <v>1</v>
          </cell>
          <cell r="GL321">
            <v>1</v>
          </cell>
          <cell r="GM321">
            <v>1</v>
          </cell>
          <cell r="GN321">
            <v>1</v>
          </cell>
          <cell r="GO321">
            <v>1</v>
          </cell>
          <cell r="GP321">
            <v>1</v>
          </cell>
          <cell r="GQ321">
            <v>1</v>
          </cell>
          <cell r="GR321">
            <v>1</v>
          </cell>
          <cell r="GS321">
            <v>1</v>
          </cell>
          <cell r="GT321">
            <v>1</v>
          </cell>
          <cell r="GU321">
            <v>1</v>
          </cell>
          <cell r="GV321">
            <v>1</v>
          </cell>
          <cell r="GW321">
            <v>1</v>
          </cell>
          <cell r="GX321">
            <v>1</v>
          </cell>
          <cell r="GY321">
            <v>1</v>
          </cell>
          <cell r="GZ321">
            <v>1</v>
          </cell>
          <cell r="HA321">
            <v>1</v>
          </cell>
          <cell r="HB321">
            <v>1</v>
          </cell>
          <cell r="HC321">
            <v>1</v>
          </cell>
          <cell r="HD321">
            <v>1</v>
          </cell>
          <cell r="HE321">
            <v>1</v>
          </cell>
          <cell r="HF321">
            <v>1</v>
          </cell>
          <cell r="HG321">
            <v>1</v>
          </cell>
          <cell r="HH321">
            <v>1</v>
          </cell>
          <cell r="HI321">
            <v>1</v>
          </cell>
          <cell r="HJ321">
            <v>1</v>
          </cell>
          <cell r="HK321">
            <v>1</v>
          </cell>
          <cell r="HL321">
            <v>1</v>
          </cell>
          <cell r="HM321">
            <v>1</v>
          </cell>
          <cell r="HN321">
            <v>1</v>
          </cell>
          <cell r="HO321">
            <v>1</v>
          </cell>
          <cell r="HP321">
            <v>1</v>
          </cell>
          <cell r="HQ321">
            <v>1</v>
          </cell>
          <cell r="HR321">
            <v>1</v>
          </cell>
          <cell r="HS321">
            <v>1</v>
          </cell>
          <cell r="HT321">
            <v>1</v>
          </cell>
          <cell r="HU321">
            <v>1</v>
          </cell>
          <cell r="HV321">
            <v>1</v>
          </cell>
          <cell r="HW321">
            <v>1</v>
          </cell>
          <cell r="HX321">
            <v>1</v>
          </cell>
          <cell r="HY321">
            <v>1</v>
          </cell>
          <cell r="HZ321">
            <v>1</v>
          </cell>
          <cell r="IA321">
            <v>1</v>
          </cell>
          <cell r="IB321">
            <v>1</v>
          </cell>
          <cell r="IC321">
            <v>1</v>
          </cell>
          <cell r="ID321">
            <v>1</v>
          </cell>
          <cell r="IE321">
            <v>1</v>
          </cell>
          <cell r="IF321">
            <v>1</v>
          </cell>
          <cell r="IG321">
            <v>1</v>
          </cell>
          <cell r="IH321">
            <v>1</v>
          </cell>
          <cell r="II321">
            <v>1</v>
          </cell>
          <cell r="IJ321">
            <v>1</v>
          </cell>
          <cell r="IK321">
            <v>1</v>
          </cell>
          <cell r="IL321">
            <v>1</v>
          </cell>
          <cell r="IM321">
            <v>1</v>
          </cell>
          <cell r="IN321">
            <v>1</v>
          </cell>
          <cell r="IO321">
            <v>1</v>
          </cell>
          <cell r="IP321">
            <v>1</v>
          </cell>
          <cell r="IQ321">
            <v>1</v>
          </cell>
          <cell r="IR321">
            <v>1</v>
          </cell>
          <cell r="IS321">
            <v>1</v>
          </cell>
          <cell r="IT321">
            <v>1</v>
          </cell>
          <cell r="IU321">
            <v>1</v>
          </cell>
          <cell r="IV321">
            <v>1</v>
          </cell>
          <cell r="IW321">
            <v>1</v>
          </cell>
          <cell r="IX321">
            <v>1</v>
          </cell>
          <cell r="IY321">
            <v>1</v>
          </cell>
          <cell r="IZ321">
            <v>1</v>
          </cell>
          <cell r="JA321">
            <v>1</v>
          </cell>
        </row>
        <row r="322">
          <cell r="L322">
            <v>1</v>
          </cell>
          <cell r="M322">
            <v>1</v>
          </cell>
          <cell r="N322">
            <v>1</v>
          </cell>
          <cell r="O322">
            <v>1</v>
          </cell>
          <cell r="P322">
            <v>1</v>
          </cell>
          <cell r="Q322">
            <v>1</v>
          </cell>
          <cell r="R322">
            <v>1</v>
          </cell>
          <cell r="S322">
            <v>1</v>
          </cell>
          <cell r="T322">
            <v>1</v>
          </cell>
          <cell r="U322">
            <v>1</v>
          </cell>
          <cell r="V322">
            <v>1</v>
          </cell>
          <cell r="W322">
            <v>1</v>
          </cell>
          <cell r="X322">
            <v>1</v>
          </cell>
          <cell r="Y322">
            <v>1</v>
          </cell>
          <cell r="Z322">
            <v>1</v>
          </cell>
          <cell r="AA322">
            <v>1</v>
          </cell>
          <cell r="AB322">
            <v>1</v>
          </cell>
          <cell r="AC322">
            <v>1</v>
          </cell>
          <cell r="AD322">
            <v>1</v>
          </cell>
          <cell r="AE322">
            <v>1</v>
          </cell>
          <cell r="AF322">
            <v>1</v>
          </cell>
          <cell r="AG322">
            <v>1</v>
          </cell>
          <cell r="AH322">
            <v>1</v>
          </cell>
          <cell r="AI322">
            <v>1</v>
          </cell>
          <cell r="AJ322">
            <v>1</v>
          </cell>
          <cell r="AK322">
            <v>1</v>
          </cell>
          <cell r="AL322">
            <v>1</v>
          </cell>
          <cell r="AM322">
            <v>1</v>
          </cell>
          <cell r="AN322">
            <v>1</v>
          </cell>
          <cell r="AO322">
            <v>1</v>
          </cell>
          <cell r="AP322">
            <v>1</v>
          </cell>
          <cell r="AQ322">
            <v>1</v>
          </cell>
          <cell r="AR322">
            <v>1</v>
          </cell>
          <cell r="AS322">
            <v>1</v>
          </cell>
          <cell r="AT322">
            <v>1</v>
          </cell>
          <cell r="AU322">
            <v>1</v>
          </cell>
          <cell r="AV322">
            <v>1</v>
          </cell>
          <cell r="AW322">
            <v>1</v>
          </cell>
          <cell r="AX322">
            <v>1</v>
          </cell>
          <cell r="AY322">
            <v>1</v>
          </cell>
          <cell r="AZ322">
            <v>1</v>
          </cell>
          <cell r="BA322">
            <v>1</v>
          </cell>
          <cell r="BB322">
            <v>1</v>
          </cell>
          <cell r="BC322">
            <v>1</v>
          </cell>
          <cell r="BD322">
            <v>1</v>
          </cell>
          <cell r="BE322">
            <v>1</v>
          </cell>
          <cell r="BF322">
            <v>1</v>
          </cell>
          <cell r="BG322">
            <v>1</v>
          </cell>
          <cell r="BH322">
            <v>1</v>
          </cell>
          <cell r="BI322">
            <v>1</v>
          </cell>
          <cell r="BJ322">
            <v>1</v>
          </cell>
          <cell r="BK322">
            <v>1</v>
          </cell>
          <cell r="BL322">
            <v>1</v>
          </cell>
          <cell r="BM322">
            <v>1</v>
          </cell>
          <cell r="BN322">
            <v>1</v>
          </cell>
          <cell r="BO322">
            <v>1</v>
          </cell>
          <cell r="BP322">
            <v>1</v>
          </cell>
          <cell r="BQ322">
            <v>1</v>
          </cell>
          <cell r="BR322">
            <v>1</v>
          </cell>
          <cell r="BS322">
            <v>1</v>
          </cell>
          <cell r="BT322">
            <v>1</v>
          </cell>
          <cell r="BU322">
            <v>1</v>
          </cell>
          <cell r="BV322">
            <v>1</v>
          </cell>
          <cell r="BW322">
            <v>1</v>
          </cell>
          <cell r="BX322">
            <v>1</v>
          </cell>
          <cell r="BY322">
            <v>1</v>
          </cell>
          <cell r="BZ322">
            <v>1</v>
          </cell>
          <cell r="CA322">
            <v>1</v>
          </cell>
          <cell r="CB322">
            <v>1</v>
          </cell>
          <cell r="CC322">
            <v>1</v>
          </cell>
          <cell r="CD322">
            <v>1</v>
          </cell>
          <cell r="CE322">
            <v>1</v>
          </cell>
          <cell r="CF322">
            <v>1</v>
          </cell>
          <cell r="CG322">
            <v>1</v>
          </cell>
          <cell r="CH322">
            <v>1</v>
          </cell>
          <cell r="CI322">
            <v>1</v>
          </cell>
          <cell r="CJ322">
            <v>1</v>
          </cell>
          <cell r="CK322">
            <v>1</v>
          </cell>
          <cell r="CL322">
            <v>1</v>
          </cell>
          <cell r="CM322">
            <v>1</v>
          </cell>
          <cell r="CN322">
            <v>1</v>
          </cell>
          <cell r="CO322">
            <v>1</v>
          </cell>
          <cell r="CP322">
            <v>1</v>
          </cell>
          <cell r="CQ322">
            <v>1</v>
          </cell>
          <cell r="CR322">
            <v>1</v>
          </cell>
          <cell r="CS322">
            <v>1</v>
          </cell>
          <cell r="CT322">
            <v>1</v>
          </cell>
          <cell r="CU322">
            <v>1</v>
          </cell>
          <cell r="CV322">
            <v>1</v>
          </cell>
          <cell r="CW322">
            <v>1</v>
          </cell>
          <cell r="CX322">
            <v>1</v>
          </cell>
          <cell r="CY322">
            <v>1</v>
          </cell>
          <cell r="CZ322">
            <v>1</v>
          </cell>
          <cell r="DA322">
            <v>1</v>
          </cell>
          <cell r="DB322">
            <v>1</v>
          </cell>
          <cell r="DC322">
            <v>1</v>
          </cell>
          <cell r="DD322">
            <v>1</v>
          </cell>
          <cell r="DE322">
            <v>1</v>
          </cell>
          <cell r="DF322">
            <v>1</v>
          </cell>
          <cell r="DG322">
            <v>1</v>
          </cell>
          <cell r="DH322">
            <v>1</v>
          </cell>
          <cell r="DI322">
            <v>1</v>
          </cell>
          <cell r="DJ322">
            <v>1</v>
          </cell>
          <cell r="DK322">
            <v>1</v>
          </cell>
          <cell r="DL322">
            <v>1</v>
          </cell>
          <cell r="DM322">
            <v>1</v>
          </cell>
          <cell r="DN322">
            <v>1</v>
          </cell>
          <cell r="DO322">
            <v>1</v>
          </cell>
          <cell r="DP322">
            <v>1</v>
          </cell>
          <cell r="DQ322">
            <v>1</v>
          </cell>
          <cell r="DR322">
            <v>1</v>
          </cell>
          <cell r="DS322">
            <v>1</v>
          </cell>
          <cell r="DT322">
            <v>1</v>
          </cell>
          <cell r="DU322">
            <v>1</v>
          </cell>
          <cell r="DV322">
            <v>1</v>
          </cell>
          <cell r="DW322">
            <v>1</v>
          </cell>
          <cell r="DX322">
            <v>1</v>
          </cell>
          <cell r="DY322">
            <v>1</v>
          </cell>
          <cell r="DZ322">
            <v>1</v>
          </cell>
          <cell r="EA322">
            <v>1</v>
          </cell>
          <cell r="EB322">
            <v>1</v>
          </cell>
          <cell r="EC322">
            <v>1</v>
          </cell>
          <cell r="ED322">
            <v>1</v>
          </cell>
          <cell r="EE322">
            <v>1</v>
          </cell>
          <cell r="EF322">
            <v>1</v>
          </cell>
          <cell r="EG322">
            <v>1</v>
          </cell>
          <cell r="EH322">
            <v>1</v>
          </cell>
          <cell r="EI322">
            <v>1</v>
          </cell>
          <cell r="EJ322">
            <v>1</v>
          </cell>
          <cell r="EK322">
            <v>1</v>
          </cell>
          <cell r="EL322">
            <v>1</v>
          </cell>
          <cell r="EM322">
            <v>1</v>
          </cell>
          <cell r="EN322">
            <v>1</v>
          </cell>
          <cell r="EO322">
            <v>1</v>
          </cell>
          <cell r="EP322">
            <v>1</v>
          </cell>
          <cell r="EQ322">
            <v>1</v>
          </cell>
          <cell r="ER322">
            <v>1</v>
          </cell>
          <cell r="ES322">
            <v>1</v>
          </cell>
          <cell r="ET322">
            <v>1</v>
          </cell>
          <cell r="EU322">
            <v>1</v>
          </cell>
          <cell r="EV322">
            <v>1</v>
          </cell>
          <cell r="EW322">
            <v>1</v>
          </cell>
          <cell r="EX322">
            <v>1</v>
          </cell>
          <cell r="EY322">
            <v>1</v>
          </cell>
          <cell r="EZ322">
            <v>1</v>
          </cell>
          <cell r="FA322">
            <v>1</v>
          </cell>
          <cell r="FB322">
            <v>1</v>
          </cell>
          <cell r="FC322">
            <v>1</v>
          </cell>
          <cell r="FD322">
            <v>1</v>
          </cell>
          <cell r="FE322">
            <v>1</v>
          </cell>
          <cell r="FF322">
            <v>1</v>
          </cell>
          <cell r="FG322">
            <v>1</v>
          </cell>
          <cell r="FH322">
            <v>1</v>
          </cell>
          <cell r="FI322">
            <v>1</v>
          </cell>
          <cell r="FJ322">
            <v>1</v>
          </cell>
          <cell r="FK322">
            <v>1</v>
          </cell>
          <cell r="FL322">
            <v>1</v>
          </cell>
          <cell r="FM322">
            <v>1</v>
          </cell>
          <cell r="FN322">
            <v>1</v>
          </cell>
          <cell r="FO322">
            <v>1</v>
          </cell>
          <cell r="FP322">
            <v>1</v>
          </cell>
          <cell r="FQ322">
            <v>1</v>
          </cell>
          <cell r="FR322">
            <v>1</v>
          </cell>
          <cell r="FS322">
            <v>1</v>
          </cell>
          <cell r="FT322">
            <v>1</v>
          </cell>
          <cell r="FU322">
            <v>1</v>
          </cell>
          <cell r="FV322">
            <v>1</v>
          </cell>
          <cell r="FW322">
            <v>1</v>
          </cell>
          <cell r="FX322">
            <v>1</v>
          </cell>
          <cell r="FY322">
            <v>1</v>
          </cell>
          <cell r="FZ322">
            <v>1</v>
          </cell>
          <cell r="GA322">
            <v>1</v>
          </cell>
          <cell r="GB322">
            <v>1</v>
          </cell>
          <cell r="GC322">
            <v>1</v>
          </cell>
          <cell r="GD322">
            <v>1</v>
          </cell>
          <cell r="GE322">
            <v>1</v>
          </cell>
          <cell r="GF322">
            <v>1</v>
          </cell>
          <cell r="GG322">
            <v>1</v>
          </cell>
          <cell r="GH322">
            <v>1</v>
          </cell>
          <cell r="GI322">
            <v>1</v>
          </cell>
          <cell r="GJ322">
            <v>1</v>
          </cell>
          <cell r="GK322">
            <v>1</v>
          </cell>
          <cell r="GL322">
            <v>1</v>
          </cell>
          <cell r="GM322">
            <v>1</v>
          </cell>
          <cell r="GN322">
            <v>1</v>
          </cell>
          <cell r="GO322">
            <v>1</v>
          </cell>
          <cell r="GP322">
            <v>1</v>
          </cell>
          <cell r="GQ322">
            <v>1</v>
          </cell>
          <cell r="GR322">
            <v>1</v>
          </cell>
          <cell r="GS322">
            <v>1</v>
          </cell>
          <cell r="GT322">
            <v>1</v>
          </cell>
          <cell r="GU322">
            <v>1</v>
          </cell>
          <cell r="GV322">
            <v>1</v>
          </cell>
          <cell r="GW322">
            <v>1</v>
          </cell>
          <cell r="GX322">
            <v>1</v>
          </cell>
          <cell r="GY322">
            <v>1</v>
          </cell>
          <cell r="GZ322">
            <v>1</v>
          </cell>
          <cell r="HA322">
            <v>1</v>
          </cell>
          <cell r="HB322">
            <v>1</v>
          </cell>
          <cell r="HC322">
            <v>1</v>
          </cell>
          <cell r="HD322">
            <v>1</v>
          </cell>
          <cell r="HE322">
            <v>1</v>
          </cell>
          <cell r="HF322">
            <v>1</v>
          </cell>
          <cell r="HG322">
            <v>1</v>
          </cell>
          <cell r="HH322">
            <v>1</v>
          </cell>
          <cell r="HI322">
            <v>1</v>
          </cell>
          <cell r="HJ322">
            <v>1</v>
          </cell>
          <cell r="HK322">
            <v>1</v>
          </cell>
          <cell r="HL322">
            <v>1</v>
          </cell>
          <cell r="HM322">
            <v>1</v>
          </cell>
          <cell r="HN322">
            <v>1</v>
          </cell>
          <cell r="HO322">
            <v>1</v>
          </cell>
          <cell r="HP322">
            <v>1</v>
          </cell>
          <cell r="HQ322">
            <v>1</v>
          </cell>
          <cell r="HR322">
            <v>1</v>
          </cell>
          <cell r="HS322">
            <v>1</v>
          </cell>
          <cell r="HT322">
            <v>1</v>
          </cell>
          <cell r="HU322">
            <v>1</v>
          </cell>
          <cell r="HV322">
            <v>1</v>
          </cell>
          <cell r="HW322">
            <v>1</v>
          </cell>
          <cell r="HX322">
            <v>1</v>
          </cell>
          <cell r="HY322">
            <v>1</v>
          </cell>
          <cell r="HZ322">
            <v>1</v>
          </cell>
          <cell r="IA322">
            <v>1</v>
          </cell>
          <cell r="IB322">
            <v>1</v>
          </cell>
          <cell r="IC322">
            <v>1</v>
          </cell>
          <cell r="ID322">
            <v>1</v>
          </cell>
          <cell r="IE322">
            <v>1</v>
          </cell>
          <cell r="IF322">
            <v>1</v>
          </cell>
          <cell r="IG322">
            <v>1</v>
          </cell>
          <cell r="IH322">
            <v>1</v>
          </cell>
          <cell r="II322">
            <v>1</v>
          </cell>
          <cell r="IJ322">
            <v>1</v>
          </cell>
          <cell r="IK322">
            <v>1</v>
          </cell>
          <cell r="IL322">
            <v>1</v>
          </cell>
          <cell r="IM322">
            <v>1</v>
          </cell>
          <cell r="IN322">
            <v>1</v>
          </cell>
          <cell r="IO322">
            <v>1</v>
          </cell>
          <cell r="IP322">
            <v>1</v>
          </cell>
          <cell r="IQ322">
            <v>1</v>
          </cell>
          <cell r="IR322">
            <v>1</v>
          </cell>
          <cell r="IS322">
            <v>1</v>
          </cell>
          <cell r="IT322">
            <v>1</v>
          </cell>
          <cell r="IU322">
            <v>1</v>
          </cell>
          <cell r="IV322">
            <v>1</v>
          </cell>
          <cell r="IW322">
            <v>1</v>
          </cell>
          <cell r="IX322">
            <v>1</v>
          </cell>
          <cell r="IY322">
            <v>1</v>
          </cell>
          <cell r="IZ322">
            <v>1</v>
          </cell>
          <cell r="JA322">
            <v>1</v>
          </cell>
        </row>
        <row r="326">
          <cell r="G326">
            <v>0</v>
          </cell>
        </row>
        <row r="327">
          <cell r="G327">
            <v>0</v>
          </cell>
        </row>
        <row r="328">
          <cell r="G328">
            <v>0</v>
          </cell>
        </row>
        <row r="329">
          <cell r="G329" t="str">
            <v/>
          </cell>
        </row>
        <row r="332">
          <cell r="G332">
            <v>0</v>
          </cell>
        </row>
        <row r="334">
          <cell r="G334">
            <v>15592</v>
          </cell>
        </row>
        <row r="347">
          <cell r="G347">
            <v>1</v>
          </cell>
        </row>
        <row r="350">
          <cell r="G350">
            <v>0</v>
          </cell>
          <cell r="H350">
            <v>55.03</v>
          </cell>
          <cell r="N350">
            <v>0</v>
          </cell>
          <cell r="O350">
            <v>7.4999999999999997E-2</v>
          </cell>
        </row>
        <row r="351">
          <cell r="G351">
            <v>2017</v>
          </cell>
          <cell r="H351">
            <v>55.03</v>
          </cell>
          <cell r="N351">
            <v>40</v>
          </cell>
          <cell r="O351">
            <v>0.05</v>
          </cell>
        </row>
        <row r="352">
          <cell r="G352">
            <v>2018</v>
          </cell>
          <cell r="H352">
            <v>67.47</v>
          </cell>
          <cell r="N352">
            <v>55</v>
          </cell>
          <cell r="O352">
            <v>2.5000000000000001E-2</v>
          </cell>
        </row>
        <row r="353">
          <cell r="G353">
            <v>2019</v>
          </cell>
          <cell r="H353">
            <v>62.38</v>
          </cell>
          <cell r="N353">
            <v>70</v>
          </cell>
          <cell r="O353">
            <v>0</v>
          </cell>
        </row>
        <row r="354">
          <cell r="G354">
            <v>2020</v>
          </cell>
          <cell r="H354">
            <v>40.450000000000003</v>
          </cell>
          <cell r="N354">
            <v>85</v>
          </cell>
          <cell r="O354">
            <v>-2.5000000000000001E-2</v>
          </cell>
        </row>
        <row r="355">
          <cell r="G355">
            <v>2021</v>
          </cell>
          <cell r="H355">
            <v>68.510000000000005</v>
          </cell>
          <cell r="N355">
            <v>100</v>
          </cell>
          <cell r="O355">
            <v>-0.05</v>
          </cell>
        </row>
        <row r="356">
          <cell r="G356">
            <v>2022</v>
          </cell>
          <cell r="H356">
            <v>99.11</v>
          </cell>
          <cell r="N356">
            <v>115</v>
          </cell>
          <cell r="O356">
            <v>-7.4999999999999997E-2</v>
          </cell>
        </row>
        <row r="359">
          <cell r="G359">
            <v>0.02</v>
          </cell>
        </row>
        <row r="364">
          <cell r="G364">
            <v>0</v>
          </cell>
          <cell r="H364">
            <v>0</v>
          </cell>
        </row>
        <row r="365">
          <cell r="G365">
            <v>0</v>
          </cell>
          <cell r="H365">
            <v>0</v>
          </cell>
        </row>
        <row r="366">
          <cell r="G366">
            <v>0</v>
          </cell>
          <cell r="H366">
            <v>0</v>
          </cell>
        </row>
        <row r="367">
          <cell r="G367">
            <v>0</v>
          </cell>
          <cell r="H367">
            <v>0</v>
          </cell>
        </row>
        <row r="371">
          <cell r="G371">
            <v>0</v>
          </cell>
          <cell r="H371">
            <v>0</v>
          </cell>
        </row>
        <row r="372">
          <cell r="G372">
            <v>0</v>
          </cell>
          <cell r="H372">
            <v>0</v>
          </cell>
        </row>
        <row r="373">
          <cell r="G373">
            <v>0</v>
          </cell>
          <cell r="H373">
            <v>0</v>
          </cell>
        </row>
        <row r="376">
          <cell r="G376">
            <v>0.08</v>
          </cell>
        </row>
        <row r="378">
          <cell r="G378">
            <v>0.01</v>
          </cell>
        </row>
        <row r="381">
          <cell r="G381" t="b">
            <v>1</v>
          </cell>
        </row>
        <row r="382">
          <cell r="G382">
            <v>2025</v>
          </cell>
        </row>
        <row r="383">
          <cell r="G383">
            <v>30</v>
          </cell>
        </row>
        <row r="387">
          <cell r="G387">
            <v>0</v>
          </cell>
          <cell r="H387">
            <v>1988</v>
          </cell>
          <cell r="I387">
            <v>1994</v>
          </cell>
        </row>
        <row r="388">
          <cell r="F388">
            <v>0</v>
          </cell>
          <cell r="G388">
            <v>0</v>
          </cell>
          <cell r="H388">
            <v>0.2</v>
          </cell>
          <cell r="I388">
            <v>0.15</v>
          </cell>
        </row>
        <row r="389">
          <cell r="F389">
            <v>200</v>
          </cell>
          <cell r="G389">
            <v>0</v>
          </cell>
          <cell r="H389">
            <v>0.2</v>
          </cell>
          <cell r="I389">
            <v>0.2</v>
          </cell>
        </row>
        <row r="393">
          <cell r="G393">
            <v>0</v>
          </cell>
          <cell r="H393">
            <v>0.2</v>
          </cell>
        </row>
        <row r="394">
          <cell r="G394">
            <v>2006</v>
          </cell>
          <cell r="H394">
            <v>0.1</v>
          </cell>
        </row>
        <row r="395">
          <cell r="G395">
            <v>2009</v>
          </cell>
          <cell r="H395">
            <v>0.2</v>
          </cell>
        </row>
        <row r="396">
          <cell r="G396">
            <v>2017</v>
          </cell>
          <cell r="H396">
            <v>0</v>
          </cell>
        </row>
        <row r="397">
          <cell r="G397">
            <v>2021</v>
          </cell>
          <cell r="H397">
            <v>0</v>
          </cell>
        </row>
        <row r="401">
          <cell r="G401">
            <v>1</v>
          </cell>
        </row>
        <row r="406">
          <cell r="G406">
            <v>0</v>
          </cell>
          <cell r="H406">
            <v>1977</v>
          </cell>
          <cell r="I406">
            <v>1988</v>
          </cell>
          <cell r="J406">
            <v>1989</v>
          </cell>
          <cell r="K406">
            <v>1992</v>
          </cell>
          <cell r="L406">
            <v>1993</v>
          </cell>
        </row>
        <row r="407">
          <cell r="F407">
            <v>0</v>
          </cell>
          <cell r="G407">
            <v>0</v>
          </cell>
          <cell r="H407">
            <v>0.2</v>
          </cell>
          <cell r="I407">
            <v>0.17</v>
          </cell>
          <cell r="J407">
            <v>0.17</v>
          </cell>
          <cell r="K407">
            <v>0.17</v>
          </cell>
          <cell r="L407">
            <v>0</v>
          </cell>
        </row>
        <row r="408">
          <cell r="F408">
            <v>200</v>
          </cell>
          <cell r="G408">
            <v>0</v>
          </cell>
          <cell r="H408">
            <v>0.2</v>
          </cell>
          <cell r="I408">
            <v>0.17</v>
          </cell>
          <cell r="J408">
            <v>1.1000000000000001</v>
          </cell>
          <cell r="K408">
            <v>1.1000000000000001</v>
          </cell>
          <cell r="L408">
            <v>0</v>
          </cell>
        </row>
        <row r="409">
          <cell r="F409">
            <v>1500</v>
          </cell>
          <cell r="G409">
            <v>0</v>
          </cell>
          <cell r="H409">
            <v>0.2</v>
          </cell>
          <cell r="I409">
            <v>0.17</v>
          </cell>
          <cell r="J409">
            <v>1.1000000000000001</v>
          </cell>
          <cell r="K409">
            <v>1.25</v>
          </cell>
          <cell r="L409">
            <v>0</v>
          </cell>
        </row>
        <row r="413">
          <cell r="G413">
            <v>0</v>
          </cell>
          <cell r="H413">
            <v>1977</v>
          </cell>
          <cell r="I413">
            <v>1988</v>
          </cell>
          <cell r="J413">
            <v>1989</v>
          </cell>
          <cell r="K413">
            <v>1992</v>
          </cell>
          <cell r="L413">
            <v>1993</v>
          </cell>
        </row>
        <row r="414">
          <cell r="F414">
            <v>0</v>
          </cell>
          <cell r="G414">
            <v>0</v>
          </cell>
          <cell r="H414">
            <v>0.2</v>
          </cell>
          <cell r="I414">
            <v>0.17</v>
          </cell>
          <cell r="J414">
            <v>0.17</v>
          </cell>
          <cell r="K414">
            <v>0.17</v>
          </cell>
          <cell r="L414">
            <v>0</v>
          </cell>
        </row>
        <row r="415">
          <cell r="F415">
            <v>200</v>
          </cell>
          <cell r="G415">
            <v>0</v>
          </cell>
          <cell r="H415">
            <v>0.2</v>
          </cell>
          <cell r="I415">
            <v>0.17</v>
          </cell>
          <cell r="J415">
            <v>0.55000000000000004</v>
          </cell>
          <cell r="K415">
            <v>1.1000000000000001</v>
          </cell>
          <cell r="L415">
            <v>0</v>
          </cell>
        </row>
        <row r="416">
          <cell r="F416">
            <v>1500</v>
          </cell>
          <cell r="G416">
            <v>0</v>
          </cell>
          <cell r="H416">
            <v>0.2</v>
          </cell>
          <cell r="I416">
            <v>0.17</v>
          </cell>
          <cell r="J416">
            <v>0.55000000000000004</v>
          </cell>
          <cell r="K416">
            <v>1.25</v>
          </cell>
          <cell r="L416">
            <v>0</v>
          </cell>
        </row>
        <row r="421">
          <cell r="H421">
            <v>0</v>
          </cell>
          <cell r="I421">
            <v>0</v>
          </cell>
        </row>
        <row r="422">
          <cell r="H422">
            <v>0</v>
          </cell>
          <cell r="I422">
            <v>0</v>
          </cell>
        </row>
        <row r="426">
          <cell r="H426">
            <v>0</v>
          </cell>
          <cell r="I426">
            <v>0</v>
          </cell>
        </row>
        <row r="427">
          <cell r="H427">
            <v>0</v>
          </cell>
          <cell r="I427">
            <v>0</v>
          </cell>
        </row>
        <row r="432">
          <cell r="G432">
            <v>0</v>
          </cell>
        </row>
        <row r="436">
          <cell r="F436">
            <v>1</v>
          </cell>
        </row>
        <row r="444">
          <cell r="G444">
            <v>0</v>
          </cell>
          <cell r="H444">
            <v>1988</v>
          </cell>
          <cell r="I444">
            <v>1989</v>
          </cell>
          <cell r="J444">
            <v>1992</v>
          </cell>
          <cell r="K444">
            <v>1993</v>
          </cell>
        </row>
        <row r="445">
          <cell r="F445">
            <v>0</v>
          </cell>
          <cell r="G445">
            <v>0.15</v>
          </cell>
          <cell r="H445">
            <v>0.15</v>
          </cell>
          <cell r="I445">
            <v>0.15</v>
          </cell>
          <cell r="J445">
            <v>0.15</v>
          </cell>
          <cell r="K445">
            <v>0.15</v>
          </cell>
        </row>
        <row r="446">
          <cell r="F446">
            <v>200</v>
          </cell>
          <cell r="G446">
            <v>0.15</v>
          </cell>
          <cell r="H446">
            <v>0.15</v>
          </cell>
          <cell r="I446">
            <v>0.2</v>
          </cell>
          <cell r="J446">
            <v>0.2</v>
          </cell>
          <cell r="K446">
            <v>0.35</v>
          </cell>
        </row>
        <row r="447">
          <cell r="F447">
            <v>1500</v>
          </cell>
          <cell r="G447">
            <v>0.15</v>
          </cell>
          <cell r="H447">
            <v>0.15</v>
          </cell>
          <cell r="I447">
            <v>0.2</v>
          </cell>
          <cell r="J447">
            <v>0.25</v>
          </cell>
          <cell r="K447">
            <v>0.35</v>
          </cell>
        </row>
        <row r="451">
          <cell r="G451">
            <v>0</v>
          </cell>
          <cell r="H451">
            <v>1992</v>
          </cell>
        </row>
        <row r="452">
          <cell r="F452">
            <v>0</v>
          </cell>
          <cell r="G452">
            <v>0.3</v>
          </cell>
          <cell r="H452">
            <v>0.35</v>
          </cell>
        </row>
        <row r="453">
          <cell r="F453">
            <v>1500</v>
          </cell>
          <cell r="G453">
            <v>0.3</v>
          </cell>
          <cell r="H453">
            <v>0.4</v>
          </cell>
        </row>
        <row r="457">
          <cell r="H457">
            <v>0</v>
          </cell>
          <cell r="I457">
            <v>2006</v>
          </cell>
        </row>
        <row r="458">
          <cell r="G458">
            <v>0</v>
          </cell>
          <cell r="H458">
            <v>0.35</v>
          </cell>
          <cell r="I458">
            <v>0.35</v>
          </cell>
        </row>
        <row r="459">
          <cell r="G459">
            <v>1000</v>
          </cell>
          <cell r="H459">
            <v>0.35</v>
          </cell>
          <cell r="I459">
            <v>0.35</v>
          </cell>
        </row>
        <row r="462">
          <cell r="H462">
            <v>0</v>
          </cell>
          <cell r="I462">
            <v>2006</v>
          </cell>
        </row>
        <row r="463">
          <cell r="G463">
            <v>0</v>
          </cell>
          <cell r="H463">
            <v>0.4</v>
          </cell>
          <cell r="I463">
            <v>0.4</v>
          </cell>
        </row>
        <row r="464">
          <cell r="G464">
            <v>1000</v>
          </cell>
          <cell r="H464">
            <v>0.4</v>
          </cell>
          <cell r="I464">
            <v>0.4</v>
          </cell>
        </row>
        <row r="472">
          <cell r="G472">
            <v>0.43</v>
          </cell>
        </row>
        <row r="477">
          <cell r="G477">
            <v>0.48</v>
          </cell>
        </row>
        <row r="481">
          <cell r="G481">
            <v>2021</v>
          </cell>
          <cell r="H481">
            <v>2023</v>
          </cell>
        </row>
        <row r="482">
          <cell r="F482" t="str">
            <v>East Kalimantan</v>
          </cell>
          <cell r="G482">
            <v>0.13</v>
          </cell>
          <cell r="H482">
            <v>0.2</v>
          </cell>
        </row>
        <row r="483">
          <cell r="F483" t="str">
            <v>Sanga Sanga</v>
          </cell>
          <cell r="G483">
            <v>0.2</v>
          </cell>
          <cell r="H483">
            <v>0.2</v>
          </cell>
        </row>
        <row r="498">
          <cell r="H498">
            <v>0</v>
          </cell>
        </row>
        <row r="504">
          <cell r="G504">
            <v>85</v>
          </cell>
        </row>
        <row r="510">
          <cell r="G510">
            <v>7</v>
          </cell>
          <cell r="H510">
            <v>0</v>
          </cell>
        </row>
        <row r="511">
          <cell r="G511">
            <v>10</v>
          </cell>
        </row>
        <row r="516">
          <cell r="E516">
            <v>0</v>
          </cell>
          <cell r="G516">
            <v>0</v>
          </cell>
          <cell r="H516">
            <v>0.1</v>
          </cell>
        </row>
        <row r="517">
          <cell r="G517">
            <v>30</v>
          </cell>
          <cell r="H517">
            <v>0.09</v>
          </cell>
        </row>
        <row r="518">
          <cell r="G518">
            <v>60</v>
          </cell>
          <cell r="H518">
            <v>0.08</v>
          </cell>
        </row>
        <row r="519">
          <cell r="G519">
            <v>90</v>
          </cell>
          <cell r="H519">
            <v>0.06</v>
          </cell>
        </row>
        <row r="520">
          <cell r="G520">
            <v>125</v>
          </cell>
          <cell r="H520">
            <v>0.04</v>
          </cell>
        </row>
        <row r="521">
          <cell r="G521">
            <v>175</v>
          </cell>
          <cell r="H521">
            <v>0</v>
          </cell>
        </row>
        <row r="525">
          <cell r="G525">
            <v>0</v>
          </cell>
          <cell r="H525">
            <v>0.45</v>
          </cell>
        </row>
        <row r="526">
          <cell r="G526">
            <v>1985</v>
          </cell>
          <cell r="H526">
            <v>0.35</v>
          </cell>
        </row>
        <row r="527">
          <cell r="G527">
            <v>1995</v>
          </cell>
          <cell r="H527">
            <v>0.3</v>
          </cell>
        </row>
        <row r="528">
          <cell r="G528">
            <v>2009</v>
          </cell>
          <cell r="H528">
            <v>0.28000000000000003</v>
          </cell>
        </row>
        <row r="529">
          <cell r="G529">
            <v>2010</v>
          </cell>
          <cell r="H529">
            <v>0.25</v>
          </cell>
        </row>
        <row r="530">
          <cell r="G530">
            <v>2020</v>
          </cell>
          <cell r="H530">
            <v>0.22</v>
          </cell>
        </row>
        <row r="535">
          <cell r="G535">
            <v>0.25</v>
          </cell>
        </row>
        <row r="536">
          <cell r="G536">
            <v>5</v>
          </cell>
        </row>
        <row r="538">
          <cell r="G538">
            <v>0.2</v>
          </cell>
        </row>
        <row r="542">
          <cell r="G542">
            <v>0</v>
          </cell>
          <cell r="H542">
            <v>0.9</v>
          </cell>
        </row>
        <row r="543">
          <cell r="G543">
            <v>1992</v>
          </cell>
          <cell r="H543">
            <v>0.85</v>
          </cell>
        </row>
        <row r="544">
          <cell r="G544">
            <v>2002</v>
          </cell>
          <cell r="H544">
            <v>0.85</v>
          </cell>
        </row>
        <row r="545">
          <cell r="G545">
            <v>2021</v>
          </cell>
          <cell r="H545">
            <v>1</v>
          </cell>
        </row>
        <row r="550">
          <cell r="F550">
            <v>0</v>
          </cell>
          <cell r="H550">
            <v>1</v>
          </cell>
        </row>
        <row r="551">
          <cell r="F551">
            <v>200</v>
          </cell>
          <cell r="H551">
            <v>0.5</v>
          </cell>
        </row>
        <row r="554">
          <cell r="G554">
            <v>0</v>
          </cell>
        </row>
        <row r="555">
          <cell r="G555">
            <v>0.12</v>
          </cell>
        </row>
        <row r="561">
          <cell r="C561" t="str">
            <v>Bentu</v>
          </cell>
          <cell r="E561">
            <v>0.2</v>
          </cell>
          <cell r="F561">
            <v>0</v>
          </cell>
          <cell r="G561">
            <v>0</v>
          </cell>
          <cell r="H561">
            <v>0.2</v>
          </cell>
          <cell r="I561">
            <v>0.3</v>
          </cell>
          <cell r="J561">
            <v>0.59</v>
          </cell>
          <cell r="K561">
            <v>0.64</v>
          </cell>
          <cell r="L561">
            <v>0.9</v>
          </cell>
          <cell r="N561">
            <v>6</v>
          </cell>
          <cell r="O561">
            <v>20</v>
          </cell>
          <cell r="P561">
            <v>40</v>
          </cell>
          <cell r="V561">
            <v>1</v>
          </cell>
          <cell r="W561">
            <v>5</v>
          </cell>
          <cell r="X561">
            <v>10</v>
          </cell>
        </row>
        <row r="562">
          <cell r="C562" t="str">
            <v>Block A Aceh</v>
          </cell>
          <cell r="E562">
            <v>0.2</v>
          </cell>
          <cell r="F562">
            <v>0</v>
          </cell>
          <cell r="G562">
            <v>0</v>
          </cell>
          <cell r="H562">
            <v>0.19</v>
          </cell>
          <cell r="I562">
            <v>0.44</v>
          </cell>
          <cell r="J562">
            <v>0.43</v>
          </cell>
          <cell r="K562">
            <v>0.48</v>
          </cell>
          <cell r="L562">
            <v>0.85</v>
          </cell>
          <cell r="N562">
            <v>25</v>
          </cell>
          <cell r="O562">
            <v>50</v>
          </cell>
          <cell r="P562">
            <v>100</v>
          </cell>
          <cell r="V562">
            <v>1</v>
          </cell>
          <cell r="W562">
            <v>2</v>
          </cell>
          <cell r="X562">
            <v>4</v>
          </cell>
        </row>
        <row r="563">
          <cell r="C563" t="str">
            <v>Brantas</v>
          </cell>
          <cell r="E563">
            <v>0.2</v>
          </cell>
          <cell r="F563">
            <v>0.17</v>
          </cell>
          <cell r="G563">
            <v>0.17</v>
          </cell>
          <cell r="H563">
            <v>0.15</v>
          </cell>
          <cell r="I563">
            <v>0.3</v>
          </cell>
          <cell r="J563">
            <v>0.47</v>
          </cell>
          <cell r="K563">
            <v>0.52</v>
          </cell>
          <cell r="L563">
            <v>0.9</v>
          </cell>
        </row>
        <row r="564">
          <cell r="C564" t="str">
            <v>Bula</v>
          </cell>
          <cell r="E564">
            <v>0.15</v>
          </cell>
          <cell r="F564">
            <v>0.17</v>
          </cell>
          <cell r="G564">
            <v>0.17</v>
          </cell>
          <cell r="H564">
            <v>0.15</v>
          </cell>
          <cell r="I564">
            <v>0.35</v>
          </cell>
          <cell r="J564">
            <v>0.66500000000000004</v>
          </cell>
          <cell r="K564">
            <v>0.71499999999999997</v>
          </cell>
          <cell r="L564">
            <v>0.9</v>
          </cell>
        </row>
        <row r="565">
          <cell r="C565" t="str">
            <v>Bulu</v>
          </cell>
          <cell r="E565">
            <v>0.1</v>
          </cell>
          <cell r="F565">
            <v>0.1578</v>
          </cell>
          <cell r="G565">
            <v>0</v>
          </cell>
          <cell r="H565">
            <v>0.25</v>
          </cell>
          <cell r="I565">
            <v>0.44</v>
          </cell>
          <cell r="J565">
            <v>0.43</v>
          </cell>
          <cell r="K565">
            <v>0.48</v>
          </cell>
          <cell r="L565">
            <v>0.75</v>
          </cell>
          <cell r="N565">
            <v>50</v>
          </cell>
          <cell r="O565">
            <v>75</v>
          </cell>
          <cell r="P565">
            <v>125</v>
          </cell>
          <cell r="V565">
            <v>0.5</v>
          </cell>
          <cell r="W565">
            <v>1</v>
          </cell>
          <cell r="X565">
            <v>2</v>
          </cell>
        </row>
        <row r="566">
          <cell r="C566" t="str">
            <v>Corridor</v>
          </cell>
          <cell r="E566">
            <v>0.2</v>
          </cell>
          <cell r="F566">
            <v>0.2</v>
          </cell>
          <cell r="G566">
            <v>0.2</v>
          </cell>
          <cell r="H566">
            <v>0.15</v>
          </cell>
          <cell r="I566">
            <v>0.3</v>
          </cell>
          <cell r="J566">
            <v>0.48499999999999999</v>
          </cell>
          <cell r="K566">
            <v>0.53500000000000003</v>
          </cell>
          <cell r="L566">
            <v>0.9</v>
          </cell>
        </row>
        <row r="567">
          <cell r="C567" t="str">
            <v>Duyung</v>
          </cell>
          <cell r="E567">
            <v>0</v>
          </cell>
          <cell r="F567">
            <v>0</v>
          </cell>
          <cell r="G567">
            <v>0</v>
          </cell>
          <cell r="J567">
            <v>0.5</v>
          </cell>
          <cell r="K567">
            <v>0.55000000000000004</v>
          </cell>
          <cell r="L567">
            <v>1</v>
          </cell>
          <cell r="N567">
            <v>10</v>
          </cell>
          <cell r="O567">
            <v>15</v>
          </cell>
          <cell r="P567">
            <v>25</v>
          </cell>
          <cell r="V567">
            <v>1</v>
          </cell>
          <cell r="W567">
            <v>1</v>
          </cell>
          <cell r="X567">
            <v>1</v>
          </cell>
        </row>
        <row r="568">
          <cell r="C568" t="str">
            <v>East Kalimantan</v>
          </cell>
          <cell r="E568">
            <v>0.2</v>
          </cell>
          <cell r="F568">
            <v>0.17</v>
          </cell>
          <cell r="G568">
            <v>0.17</v>
          </cell>
          <cell r="H568">
            <v>0.15</v>
          </cell>
          <cell r="I568">
            <v>0.3</v>
          </cell>
          <cell r="J568">
            <v>0.61</v>
          </cell>
          <cell r="K568">
            <v>0.66</v>
          </cell>
          <cell r="L568">
            <v>0.9</v>
          </cell>
        </row>
        <row r="569">
          <cell r="C569" t="str">
            <v>East Sepinggan</v>
          </cell>
          <cell r="E569">
            <v>0</v>
          </cell>
          <cell r="F569">
            <v>0</v>
          </cell>
          <cell r="G569">
            <v>0</v>
          </cell>
          <cell r="J569">
            <v>0.67</v>
          </cell>
          <cell r="K569">
            <v>0.72</v>
          </cell>
          <cell r="L569">
            <v>1</v>
          </cell>
          <cell r="N569">
            <v>25</v>
          </cell>
          <cell r="O569">
            <v>50</v>
          </cell>
          <cell r="P569">
            <v>75</v>
          </cell>
          <cell r="R569">
            <v>150</v>
          </cell>
          <cell r="S569">
            <v>300</v>
          </cell>
          <cell r="T569">
            <v>450</v>
          </cell>
          <cell r="V569">
            <v>0.25</v>
          </cell>
          <cell r="W569">
            <v>0.25</v>
          </cell>
          <cell r="X569">
            <v>0.25</v>
          </cell>
          <cell r="Z569">
            <v>0.25</v>
          </cell>
          <cell r="AA569">
            <v>0.25</v>
          </cell>
          <cell r="AB569">
            <v>0.25</v>
          </cell>
        </row>
        <row r="570">
          <cell r="C570" t="str">
            <v>Gebang</v>
          </cell>
          <cell r="E570">
            <v>0.2</v>
          </cell>
          <cell r="F570">
            <v>0</v>
          </cell>
          <cell r="G570">
            <v>0</v>
          </cell>
          <cell r="H570">
            <v>0.2</v>
          </cell>
          <cell r="I570">
            <v>0.3</v>
          </cell>
          <cell r="J570">
            <v>0.59</v>
          </cell>
          <cell r="K570">
            <v>0.64</v>
          </cell>
          <cell r="L570">
            <v>0.9</v>
          </cell>
          <cell r="N570">
            <v>0.01</v>
          </cell>
          <cell r="O570">
            <v>3</v>
          </cell>
          <cell r="P570">
            <v>5</v>
          </cell>
          <cell r="Q570">
            <v>7</v>
          </cell>
          <cell r="V570">
            <v>2.5000000000000001E-2</v>
          </cell>
          <cell r="W570">
            <v>0.05</v>
          </cell>
          <cell r="X570">
            <v>0.1</v>
          </cell>
          <cell r="Y570">
            <v>0.17499999999999999</v>
          </cell>
        </row>
        <row r="571">
          <cell r="C571" t="str">
            <v>Jambi Merang</v>
          </cell>
          <cell r="E571">
            <v>0.2</v>
          </cell>
          <cell r="F571">
            <v>0.17</v>
          </cell>
          <cell r="G571">
            <v>0.17</v>
          </cell>
          <cell r="H571">
            <v>0.15</v>
          </cell>
          <cell r="I571">
            <v>0.3</v>
          </cell>
          <cell r="J571">
            <v>0.46500000000000002</v>
          </cell>
          <cell r="K571">
            <v>0.51500000000000001</v>
          </cell>
          <cell r="L571">
            <v>0.9</v>
          </cell>
        </row>
        <row r="572">
          <cell r="C572" t="str">
            <v>Kangean</v>
          </cell>
          <cell r="E572">
            <v>0.2</v>
          </cell>
          <cell r="F572">
            <v>0</v>
          </cell>
          <cell r="G572">
            <v>1.1000000000000001</v>
          </cell>
          <cell r="H572">
            <v>0.15</v>
          </cell>
          <cell r="I572">
            <v>0.28000000000000003</v>
          </cell>
          <cell r="J572">
            <v>0.59</v>
          </cell>
          <cell r="K572">
            <v>0.64</v>
          </cell>
          <cell r="L572">
            <v>0.85</v>
          </cell>
          <cell r="N572">
            <v>180</v>
          </cell>
          <cell r="O572">
            <v>360</v>
          </cell>
          <cell r="V572">
            <v>1</v>
          </cell>
          <cell r="W572">
            <v>1</v>
          </cell>
        </row>
        <row r="573">
          <cell r="C573" t="str">
            <v>Kepala Burung</v>
          </cell>
          <cell r="E573">
            <v>0.15</v>
          </cell>
          <cell r="F573">
            <v>0.17</v>
          </cell>
          <cell r="G573">
            <v>0.17</v>
          </cell>
          <cell r="H573">
            <v>0.15</v>
          </cell>
          <cell r="I573">
            <v>0.35</v>
          </cell>
          <cell r="J573">
            <v>0.48</v>
          </cell>
          <cell r="K573">
            <v>0.53</v>
          </cell>
          <cell r="L573">
            <v>0.9</v>
          </cell>
        </row>
        <row r="574">
          <cell r="C574" t="str">
            <v>Korinci Baru</v>
          </cell>
          <cell r="E574">
            <v>0.2</v>
          </cell>
          <cell r="F574">
            <v>0</v>
          </cell>
          <cell r="G574">
            <v>0</v>
          </cell>
          <cell r="H574">
            <v>0.2</v>
          </cell>
          <cell r="I574">
            <v>0.35</v>
          </cell>
          <cell r="J574">
            <v>0.59</v>
          </cell>
          <cell r="K574">
            <v>0.64</v>
          </cell>
          <cell r="L574">
            <v>0.9</v>
          </cell>
          <cell r="N574">
            <v>10</v>
          </cell>
          <cell r="O574">
            <v>15</v>
          </cell>
          <cell r="P574">
            <v>20</v>
          </cell>
          <cell r="V574">
            <v>1</v>
          </cell>
          <cell r="W574">
            <v>1</v>
          </cell>
          <cell r="X574">
            <v>2</v>
          </cell>
        </row>
        <row r="575">
          <cell r="C575" t="str">
            <v>Malacca Strait</v>
          </cell>
          <cell r="E575">
            <v>0.2</v>
          </cell>
          <cell r="F575">
            <v>0.16</v>
          </cell>
          <cell r="G575">
            <v>0</v>
          </cell>
          <cell r="H575">
            <v>0.15</v>
          </cell>
          <cell r="I575">
            <v>0.35</v>
          </cell>
          <cell r="J575">
            <v>0.59</v>
          </cell>
          <cell r="K575">
            <v>0.64</v>
          </cell>
          <cell r="L575">
            <v>0.85</v>
          </cell>
          <cell r="N575">
            <v>250</v>
          </cell>
          <cell r="O575">
            <v>275</v>
          </cell>
          <cell r="P575">
            <v>325</v>
          </cell>
          <cell r="V575">
            <v>2</v>
          </cell>
          <cell r="W575">
            <v>2</v>
          </cell>
          <cell r="X575">
            <v>4</v>
          </cell>
        </row>
        <row r="576">
          <cell r="C576" t="str">
            <v>North Sumatra</v>
          </cell>
          <cell r="E576">
            <v>0.2</v>
          </cell>
          <cell r="F576">
            <v>0.17</v>
          </cell>
          <cell r="G576">
            <v>0.17</v>
          </cell>
          <cell r="H576">
            <v>0.15</v>
          </cell>
          <cell r="I576">
            <v>0.35</v>
          </cell>
          <cell r="J576">
            <v>0.64500000000000002</v>
          </cell>
          <cell r="K576">
            <v>0.69499999999999995</v>
          </cell>
          <cell r="L576">
            <v>0.9</v>
          </cell>
        </row>
        <row r="577">
          <cell r="C577" t="str">
            <v>Offshore SE Sumatra</v>
          </cell>
          <cell r="E577">
            <v>0.2</v>
          </cell>
          <cell r="F577">
            <v>0.17</v>
          </cell>
          <cell r="G577">
            <v>0.17</v>
          </cell>
          <cell r="H577">
            <v>0.2</v>
          </cell>
          <cell r="I577">
            <v>0.3</v>
          </cell>
          <cell r="J577">
            <v>0.68500000000000005</v>
          </cell>
          <cell r="K577">
            <v>0.73499999999999999</v>
          </cell>
          <cell r="L577">
            <v>0.9</v>
          </cell>
        </row>
        <row r="578">
          <cell r="C578" t="str">
            <v>Ogan Komering</v>
          </cell>
          <cell r="E578">
            <v>0.2</v>
          </cell>
          <cell r="F578">
            <v>0.17</v>
          </cell>
          <cell r="G578">
            <v>0.17</v>
          </cell>
          <cell r="H578">
            <v>0.15</v>
          </cell>
          <cell r="I578">
            <v>0.3</v>
          </cell>
          <cell r="J578">
            <v>0.54</v>
          </cell>
          <cell r="K578">
            <v>0.59</v>
          </cell>
          <cell r="L578">
            <v>0.9</v>
          </cell>
        </row>
        <row r="579">
          <cell r="C579" t="str">
            <v>ONWJ</v>
          </cell>
          <cell r="E579">
            <v>0</v>
          </cell>
          <cell r="F579">
            <v>0</v>
          </cell>
          <cell r="G579">
            <v>0</v>
          </cell>
          <cell r="J579">
            <v>0.57499999999999996</v>
          </cell>
          <cell r="K579">
            <v>0.625</v>
          </cell>
          <cell r="L579">
            <v>1</v>
          </cell>
          <cell r="N579">
            <v>25</v>
          </cell>
          <cell r="O579">
            <v>50</v>
          </cell>
          <cell r="P579">
            <v>75</v>
          </cell>
          <cell r="R579">
            <v>150</v>
          </cell>
          <cell r="S579">
            <v>300</v>
          </cell>
          <cell r="T579">
            <v>450</v>
          </cell>
          <cell r="V579">
            <v>0.25</v>
          </cell>
          <cell r="W579">
            <v>0.25</v>
          </cell>
          <cell r="X579">
            <v>0.25</v>
          </cell>
          <cell r="Z579">
            <v>0.25</v>
          </cell>
          <cell r="AA579">
            <v>0.25</v>
          </cell>
          <cell r="AB579">
            <v>0.25</v>
          </cell>
        </row>
        <row r="580">
          <cell r="C580" t="str">
            <v>Pangkah</v>
          </cell>
          <cell r="E580">
            <v>0.2</v>
          </cell>
          <cell r="F580">
            <v>0.17</v>
          </cell>
          <cell r="G580">
            <v>0.17</v>
          </cell>
          <cell r="H580">
            <v>0.15</v>
          </cell>
          <cell r="I580">
            <v>0.35</v>
          </cell>
          <cell r="J580">
            <v>0.43</v>
          </cell>
          <cell r="K580">
            <v>0.48</v>
          </cell>
          <cell r="L580">
            <v>0.9</v>
          </cell>
        </row>
        <row r="581">
          <cell r="C581" t="str">
            <v>Raja</v>
          </cell>
          <cell r="E581">
            <v>0.2</v>
          </cell>
          <cell r="F581">
            <v>0.17</v>
          </cell>
          <cell r="G581">
            <v>0.17</v>
          </cell>
          <cell r="H581">
            <v>0.15</v>
          </cell>
          <cell r="I581">
            <v>0.3</v>
          </cell>
          <cell r="J581">
            <v>0.46</v>
          </cell>
          <cell r="K581">
            <v>0.51</v>
          </cell>
          <cell r="L581">
            <v>0.9</v>
          </cell>
        </row>
        <row r="582">
          <cell r="C582" t="str">
            <v>Rokan</v>
          </cell>
          <cell r="E582">
            <v>0.2</v>
          </cell>
          <cell r="F582">
            <v>0.17</v>
          </cell>
          <cell r="G582">
            <v>0.17</v>
          </cell>
          <cell r="H582">
            <v>0.15</v>
          </cell>
          <cell r="I582">
            <v>0.3</v>
          </cell>
          <cell r="J582">
            <v>0.61</v>
          </cell>
          <cell r="K582">
            <v>0.66</v>
          </cell>
          <cell r="L582">
            <v>0.9</v>
          </cell>
        </row>
        <row r="583">
          <cell r="C583" t="str">
            <v>Salawati Kepala Burung</v>
          </cell>
          <cell r="E583">
            <v>0.2</v>
          </cell>
          <cell r="F583">
            <v>0.17</v>
          </cell>
          <cell r="G583">
            <v>0.17</v>
          </cell>
          <cell r="H583">
            <v>0.25</v>
          </cell>
          <cell r="I583">
            <v>0.3</v>
          </cell>
          <cell r="J583">
            <v>0.48</v>
          </cell>
          <cell r="K583">
            <v>0.53</v>
          </cell>
          <cell r="L583">
            <v>0.9</v>
          </cell>
        </row>
        <row r="584">
          <cell r="C584" t="str">
            <v>Sanga Sanga</v>
          </cell>
          <cell r="E584">
            <v>0.2</v>
          </cell>
          <cell r="F584">
            <v>0.17</v>
          </cell>
          <cell r="G584">
            <v>0.17</v>
          </cell>
          <cell r="H584">
            <v>0.15</v>
          </cell>
          <cell r="I584">
            <v>0.35</v>
          </cell>
          <cell r="J584">
            <v>0.49</v>
          </cell>
          <cell r="K584">
            <v>0.54</v>
          </cell>
          <cell r="L584">
            <v>0.85</v>
          </cell>
        </row>
        <row r="585">
          <cell r="C585" t="str">
            <v>Seram non-Bula</v>
          </cell>
          <cell r="E585">
            <v>0.15</v>
          </cell>
          <cell r="F585">
            <v>0.17</v>
          </cell>
          <cell r="G585">
            <v>0.17</v>
          </cell>
          <cell r="H585">
            <v>0.15</v>
          </cell>
          <cell r="I585">
            <v>0.35</v>
          </cell>
          <cell r="J585">
            <v>0.72870000000000001</v>
          </cell>
          <cell r="K585">
            <v>0.77870000000000006</v>
          </cell>
          <cell r="L585">
            <v>0.9</v>
          </cell>
        </row>
        <row r="586">
          <cell r="C586" t="str">
            <v>South Jambi B</v>
          </cell>
          <cell r="E586">
            <v>0.2</v>
          </cell>
          <cell r="F586">
            <v>0.17</v>
          </cell>
          <cell r="G586">
            <v>0.17</v>
          </cell>
          <cell r="H586">
            <v>0.15</v>
          </cell>
          <cell r="I586">
            <v>0.3</v>
          </cell>
          <cell r="J586">
            <v>0.48</v>
          </cell>
          <cell r="K586">
            <v>0.53</v>
          </cell>
          <cell r="L586">
            <v>0.9</v>
          </cell>
        </row>
        <row r="587">
          <cell r="C587" t="str">
            <v>Tuban</v>
          </cell>
          <cell r="E587">
            <v>0.2</v>
          </cell>
          <cell r="F587">
            <v>0.17</v>
          </cell>
          <cell r="G587">
            <v>0.17</v>
          </cell>
          <cell r="H587">
            <v>0.15</v>
          </cell>
          <cell r="I587">
            <v>0.3</v>
          </cell>
          <cell r="J587">
            <v>0.56000000000000005</v>
          </cell>
          <cell r="K587">
            <v>0.61</v>
          </cell>
          <cell r="L587">
            <v>0.9</v>
          </cell>
        </row>
        <row r="588">
          <cell r="C588" t="str">
            <v>Tuna</v>
          </cell>
          <cell r="E588">
            <v>0.2</v>
          </cell>
          <cell r="F588">
            <v>0</v>
          </cell>
          <cell r="G588">
            <v>0</v>
          </cell>
          <cell r="H588">
            <v>0.25</v>
          </cell>
          <cell r="I588">
            <v>0.4</v>
          </cell>
          <cell r="J588">
            <v>0.43</v>
          </cell>
          <cell r="K588">
            <v>0.48</v>
          </cell>
          <cell r="L588">
            <v>0.85</v>
          </cell>
          <cell r="N588">
            <v>10</v>
          </cell>
          <cell r="O588">
            <v>15</v>
          </cell>
          <cell r="P588">
            <v>25</v>
          </cell>
          <cell r="R588">
            <v>60</v>
          </cell>
          <cell r="S588">
            <v>90</v>
          </cell>
          <cell r="T588">
            <v>150</v>
          </cell>
          <cell r="V588">
            <v>1</v>
          </cell>
          <cell r="W588">
            <v>1</v>
          </cell>
          <cell r="X588">
            <v>1</v>
          </cell>
          <cell r="Z588">
            <v>1</v>
          </cell>
          <cell r="AA588">
            <v>1</v>
          </cell>
          <cell r="AB588">
            <v>1</v>
          </cell>
        </row>
        <row r="593">
          <cell r="C593" t="str">
            <v>Bentu PSC</v>
          </cell>
          <cell r="D593" t="str">
            <v>Bentu</v>
          </cell>
        </row>
        <row r="594">
          <cell r="C594" t="str">
            <v>Block A Aceh PSC</v>
          </cell>
          <cell r="D594" t="str">
            <v>Block A Aceh</v>
          </cell>
        </row>
        <row r="595">
          <cell r="C595" t="str">
            <v>Brantas</v>
          </cell>
          <cell r="D595" t="str">
            <v>Brantas</v>
          </cell>
        </row>
        <row r="596">
          <cell r="C596" t="str">
            <v>Brantas PSC</v>
          </cell>
          <cell r="D596" t="str">
            <v>Brantas</v>
          </cell>
        </row>
        <row r="597">
          <cell r="C597" t="str">
            <v>Bula</v>
          </cell>
          <cell r="D597" t="str">
            <v>Bula</v>
          </cell>
        </row>
        <row r="598">
          <cell r="C598" t="str">
            <v>Bula Field PSC Extension</v>
          </cell>
          <cell r="D598" t="str">
            <v>Bula</v>
          </cell>
        </row>
        <row r="599">
          <cell r="C599" t="str">
            <v>Bulu PSC</v>
          </cell>
          <cell r="D599" t="str">
            <v>Bulu</v>
          </cell>
        </row>
        <row r="600">
          <cell r="C600" t="str">
            <v>Corridor PSC Extension</v>
          </cell>
          <cell r="D600" t="str">
            <v>Corridor</v>
          </cell>
        </row>
        <row r="601">
          <cell r="C601" t="str">
            <v>Jambi Merang</v>
          </cell>
          <cell r="D601" t="str">
            <v>Jambi Merang</v>
          </cell>
        </row>
        <row r="602">
          <cell r="C602" t="str">
            <v>Duyung PSC</v>
          </cell>
          <cell r="D602" t="str">
            <v>Duyung</v>
          </cell>
        </row>
        <row r="603">
          <cell r="C603" t="str">
            <v>East Kalimantan &amp; Attaka</v>
          </cell>
          <cell r="D603" t="str">
            <v>East Kalimantan</v>
          </cell>
        </row>
        <row r="604">
          <cell r="C604" t="str">
            <v>East Sepinggan</v>
          </cell>
          <cell r="D604" t="str">
            <v>East Sepinggan</v>
          </cell>
        </row>
        <row r="605">
          <cell r="C605" t="str">
            <v>Gebang PSC</v>
          </cell>
          <cell r="D605" t="str">
            <v>Gebang</v>
          </cell>
        </row>
        <row r="606">
          <cell r="C606" t="str">
            <v>Kangean PSC</v>
          </cell>
          <cell r="D606" t="str">
            <v>Kangean</v>
          </cell>
        </row>
        <row r="607">
          <cell r="C607" t="str">
            <v>Kepala Burung</v>
          </cell>
          <cell r="D607" t="str">
            <v>Kepala Burung</v>
          </cell>
        </row>
        <row r="608">
          <cell r="C608" t="str">
            <v>Kepala Burung PSC Extension</v>
          </cell>
          <cell r="D608" t="str">
            <v>Kepala Burung</v>
          </cell>
        </row>
        <row r="609">
          <cell r="C609" t="str">
            <v>Korinci Baru PSC</v>
          </cell>
          <cell r="D609" t="str">
            <v>Korinci Baru</v>
          </cell>
        </row>
        <row r="610">
          <cell r="C610" t="str">
            <v>Malacca Strait</v>
          </cell>
          <cell r="D610" t="str">
            <v>Malacca Strait</v>
          </cell>
        </row>
        <row r="611">
          <cell r="C611" t="str">
            <v>Malacca Strait PSC Extension</v>
          </cell>
          <cell r="D611" t="str">
            <v>Malacca Strait</v>
          </cell>
        </row>
        <row r="612">
          <cell r="C612" t="str">
            <v>NSO PSC</v>
          </cell>
          <cell r="D612" t="str">
            <v>North Sumatra</v>
          </cell>
        </row>
        <row r="613">
          <cell r="C613" t="str">
            <v>North Sumatra Offshore</v>
          </cell>
          <cell r="D613" t="str">
            <v>North Sumatra</v>
          </cell>
        </row>
        <row r="614">
          <cell r="C614" t="str">
            <v>Offshore Southeast Sumatra</v>
          </cell>
          <cell r="D614" t="str">
            <v>Offshore SE Sumatra</v>
          </cell>
        </row>
        <row r="615">
          <cell r="C615" t="str">
            <v>Ogan Komering</v>
          </cell>
          <cell r="D615" t="str">
            <v>Ogan Komering</v>
          </cell>
        </row>
        <row r="616">
          <cell r="C616" t="str">
            <v>Offshore Northwest Java PSC Extension</v>
          </cell>
          <cell r="D616" t="str">
            <v>ONWJ</v>
          </cell>
        </row>
        <row r="617">
          <cell r="C617" t="str">
            <v>Offshore Northwest Java Extension</v>
          </cell>
          <cell r="D617" t="str">
            <v>ONWJ</v>
          </cell>
        </row>
        <row r="618">
          <cell r="C618" t="str">
            <v>Pangkah PSC</v>
          </cell>
          <cell r="D618" t="str">
            <v>Pangkah</v>
          </cell>
        </row>
        <row r="619">
          <cell r="C619" t="str">
            <v>Raja/Pendopo</v>
          </cell>
          <cell r="D619" t="str">
            <v>Raja</v>
          </cell>
        </row>
        <row r="620">
          <cell r="C620" t="str">
            <v>Rokan</v>
          </cell>
          <cell r="D620" t="str">
            <v>Rokan</v>
          </cell>
        </row>
        <row r="621">
          <cell r="C621" t="str">
            <v>Rokan PSC</v>
          </cell>
          <cell r="D621" t="str">
            <v>Rokan</v>
          </cell>
        </row>
        <row r="622">
          <cell r="C622" t="str">
            <v>Salawati Kepala Burung JOA</v>
          </cell>
          <cell r="D622" t="str">
            <v>Salawati Kepala Burung</v>
          </cell>
        </row>
        <row r="623">
          <cell r="C623" t="str">
            <v>Salawati</v>
          </cell>
          <cell r="D623" t="str">
            <v>Salawati Kepala Burung</v>
          </cell>
        </row>
        <row r="624">
          <cell r="C624" t="str">
            <v>Sanga-Sanga</v>
          </cell>
          <cell r="D624" t="str">
            <v>Sanga Sanga</v>
          </cell>
        </row>
        <row r="625">
          <cell r="C625" t="str">
            <v>Sanga-Sanga CBM PSC</v>
          </cell>
          <cell r="D625" t="str">
            <v>Sanga Sanga</v>
          </cell>
        </row>
        <row r="626">
          <cell r="C626" t="str">
            <v>Seram (Non-Bula)</v>
          </cell>
          <cell r="D626" t="str">
            <v>Seram Non-Bula</v>
          </cell>
        </row>
        <row r="627">
          <cell r="C627" t="str">
            <v>Seram (Non-Bula) PSC Extension</v>
          </cell>
          <cell r="D627" t="str">
            <v>Seram Non-Bula</v>
          </cell>
        </row>
        <row r="628">
          <cell r="C628" t="str">
            <v>South Jambi 'B'</v>
          </cell>
          <cell r="D628" t="str">
            <v>South Jambi B</v>
          </cell>
        </row>
        <row r="629">
          <cell r="C629" t="str">
            <v>Tuban</v>
          </cell>
          <cell r="D629" t="str">
            <v>Tuban</v>
          </cell>
        </row>
        <row r="630">
          <cell r="C630" t="str">
            <v>Tuna PSC</v>
          </cell>
          <cell r="D630" t="str">
            <v>Tuna</v>
          </cell>
        </row>
      </sheetData>
      <sheetData sheetId="3">
        <row r="11">
          <cell r="L11">
            <v>1</v>
          </cell>
          <cell r="M11">
            <v>1</v>
          </cell>
          <cell r="N11">
            <v>1</v>
          </cell>
          <cell r="O11">
            <v>1</v>
          </cell>
          <cell r="P11">
            <v>1</v>
          </cell>
          <cell r="Q11">
            <v>1</v>
          </cell>
          <cell r="R11">
            <v>1</v>
          </cell>
          <cell r="S11">
            <v>1</v>
          </cell>
          <cell r="T11">
            <v>1</v>
          </cell>
          <cell r="U11">
            <v>1</v>
          </cell>
          <cell r="V11">
            <v>1</v>
          </cell>
          <cell r="W11">
            <v>1</v>
          </cell>
          <cell r="X11">
            <v>1</v>
          </cell>
          <cell r="Y11">
            <v>1</v>
          </cell>
          <cell r="Z11">
            <v>1</v>
          </cell>
          <cell r="AA11">
            <v>1</v>
          </cell>
          <cell r="AB11">
            <v>1</v>
          </cell>
          <cell r="AC11">
            <v>1</v>
          </cell>
          <cell r="AD11">
            <v>1</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4">
          <cell r="L14">
            <v>0.91474327867039207</v>
          </cell>
          <cell r="M14">
            <v>0.93303814424379994</v>
          </cell>
          <cell r="N14">
            <v>0.951698907128676</v>
          </cell>
          <cell r="O14">
            <v>0.97073288527124957</v>
          </cell>
          <cell r="P14">
            <v>0.99014754297667462</v>
          </cell>
          <cell r="Q14">
            <v>1.0099504938362081</v>
          </cell>
          <cell r="R14">
            <v>1.0301495037129322</v>
          </cell>
          <cell r="S14">
            <v>1.0507524937871908</v>
          </cell>
          <cell r="T14">
            <v>1.0717675436629346</v>
          </cell>
          <cell r="U14">
            <v>1.0932028945361933</v>
          </cell>
          <cell r="V14">
            <v>1.1150669524269172</v>
          </cell>
          <cell r="W14">
            <v>1.1373682914754555</v>
          </cell>
          <cell r="X14">
            <v>1.1601156573049647</v>
          </cell>
          <cell r="Y14">
            <v>1.1833179704510639</v>
          </cell>
          <cell r="Z14">
            <v>1.2069843298600853</v>
          </cell>
          <cell r="AA14">
            <v>1.231124016457287</v>
          </cell>
          <cell r="AB14">
            <v>1.2557464967864327</v>
          </cell>
          <cell r="AC14">
            <v>1.2808614267221614</v>
          </cell>
          <cell r="AD14">
            <v>1.3064786552566046</v>
          </cell>
          <cell r="AE14">
            <v>1.3326082283617366</v>
          </cell>
          <cell r="AF14">
            <v>1.3592603929289715</v>
          </cell>
          <cell r="AG14">
            <v>1.386445600787551</v>
          </cell>
          <cell r="AH14">
            <v>1.4141745128033021</v>
          </cell>
          <cell r="AI14">
            <v>1.4424580030593681</v>
          </cell>
          <cell r="AJ14">
            <v>1.4713071631205554</v>
          </cell>
          <cell r="AK14">
            <v>1.5007333063829666</v>
          </cell>
          <cell r="AL14">
            <v>1.5307479725106261</v>
          </cell>
          <cell r="AM14">
            <v>1.5613629319608386</v>
          </cell>
          <cell r="AN14">
            <v>1.5925901906000555</v>
          </cell>
          <cell r="AO14">
            <v>1.6244419944120565</v>
          </cell>
          <cell r="AP14">
            <v>1.6569308343002978</v>
          </cell>
          <cell r="AQ14">
            <v>1.6900694509863037</v>
          </cell>
          <cell r="AR14">
            <v>1.7238708400060299</v>
          </cell>
          <cell r="AS14">
            <v>1.7583482568061506</v>
          </cell>
          <cell r="AT14">
            <v>1.7935152219422736</v>
          </cell>
          <cell r="AU14">
            <v>1.8293855263811192</v>
          </cell>
          <cell r="AV14">
            <v>1.8659732369087416</v>
          </cell>
          <cell r="AW14">
            <v>1.9032927016469166</v>
          </cell>
          <cell r="AX14">
            <v>1.9413585556798549</v>
          </cell>
          <cell r="AY14">
            <v>1.9801857267934522</v>
          </cell>
          <cell r="AZ14">
            <v>2.0197894413293214</v>
          </cell>
          <cell r="BA14">
            <v>2.0601852301559078</v>
          </cell>
          <cell r="BB14">
            <v>2.1013889347590262</v>
          </cell>
          <cell r="BC14">
            <v>2.1434167134542066</v>
          </cell>
          <cell r="BD14">
            <v>2.1862850477232909</v>
          </cell>
          <cell r="BE14">
            <v>2.2300107486777567</v>
          </cell>
          <cell r="BF14">
            <v>2.2746109636513121</v>
          </cell>
          <cell r="BG14">
            <v>2.3201031829243384</v>
          </cell>
          <cell r="BH14">
            <v>2.3665052465828254</v>
          </cell>
          <cell r="BI14">
            <v>2.4138353515144817</v>
          </cell>
          <cell r="BJ14">
            <v>2.4621120585447716</v>
          </cell>
          <cell r="BK14">
            <v>2.5113542997156668</v>
          </cell>
          <cell r="BL14">
            <v>2.5615813857099803</v>
          </cell>
          <cell r="BM14">
            <v>2.61281301342418</v>
          </cell>
          <cell r="BN14">
            <v>2.6650692736926636</v>
          </cell>
          <cell r="BO14">
            <v>2.7183706591665167</v>
          </cell>
          <cell r="BP14">
            <v>2.7727380723498469</v>
          </cell>
          <cell r="BQ14">
            <v>2.8281928337968441</v>
          </cell>
          <cell r="BR14">
            <v>2.884756690472781</v>
          </cell>
          <cell r="BS14">
            <v>2.9424518242822368</v>
          </cell>
          <cell r="BT14">
            <v>3.0013008607678815</v>
          </cell>
          <cell r="BU14">
            <v>3.0613268779832392</v>
          </cell>
          <cell r="BV14">
            <v>3.122553415542904</v>
          </cell>
          <cell r="BW14">
            <v>3.1850044838537621</v>
          </cell>
          <cell r="BX14">
            <v>3.2487045735308375</v>
          </cell>
          <cell r="BY14">
            <v>3.3136786650014542</v>
          </cell>
          <cell r="BZ14">
            <v>3.3799522383014833</v>
          </cell>
          <cell r="CA14">
            <v>3.4475512830675128</v>
          </cell>
          <cell r="CB14">
            <v>3.5165023087288629</v>
          </cell>
          <cell r="CC14">
            <v>3.5868323549034402</v>
          </cell>
          <cell r="CD14">
            <v>3.6585690020015091</v>
          </cell>
          <cell r="CE14">
            <v>3.7317403820415396</v>
          </cell>
          <cell r="CF14">
            <v>3.8063751896823703</v>
          </cell>
          <cell r="CG14">
            <v>3.8825026934760176</v>
          </cell>
          <cell r="CH14">
            <v>3.9601527473455382</v>
          </cell>
          <cell r="CI14">
            <v>4.0393558022924489</v>
          </cell>
          <cell r="CJ14">
            <v>4.1201429183382983</v>
          </cell>
          <cell r="CK14">
            <v>4.2025457767050645</v>
          </cell>
          <cell r="CL14">
            <v>4.2865966922391658</v>
          </cell>
          <cell r="CM14">
            <v>4.3723286260839496</v>
          </cell>
          <cell r="CN14">
            <v>4.4597751986056284</v>
          </cell>
          <cell r="CO14">
            <v>4.5489707025777415</v>
          </cell>
          <cell r="CP14">
            <v>4.6399501166292962</v>
          </cell>
          <cell r="CQ14">
            <v>4.7327491189618822</v>
          </cell>
          <cell r="CR14">
            <v>4.82740410134112</v>
          </cell>
          <cell r="CS14">
            <v>4.923952183367942</v>
          </cell>
          <cell r="CT14">
            <v>5.0224312270353009</v>
          </cell>
          <cell r="CU14">
            <v>5.1228798515760072</v>
          </cell>
          <cell r="CV14">
            <v>5.2253374486075277</v>
          </cell>
          <cell r="CW14">
            <v>5.3298441975796784</v>
          </cell>
          <cell r="CX14">
            <v>5.4364410815312718</v>
          </cell>
          <cell r="CY14">
            <v>5.5451699031618977</v>
          </cell>
          <cell r="CZ14">
            <v>5.6560733012251356</v>
          </cell>
          <cell r="DA14">
            <v>5.7691947672496386</v>
          </cell>
          <cell r="DB14">
            <v>5.8845786625946319</v>
          </cell>
          <cell r="DC14">
            <v>6.0022702358465247</v>
          </cell>
          <cell r="DD14">
            <v>6.1223156405634551</v>
          </cell>
          <cell r="DE14">
            <v>6.2447619533747245</v>
          </cell>
          <cell r="DF14">
            <v>6.3696571924422187</v>
          </cell>
          <cell r="DG14">
            <v>6.4970503362910632</v>
          </cell>
          <cell r="DH14">
            <v>6.6269913430168845</v>
          </cell>
          <cell r="DI14">
            <v>6.7595311698772225</v>
          </cell>
          <cell r="DJ14">
            <v>6.8947217932747673</v>
          </cell>
          <cell r="DK14">
            <v>7.0326162291402632</v>
          </cell>
          <cell r="DL14">
            <v>7.1732685537230685</v>
          </cell>
          <cell r="DM14">
            <v>7.3167339247975303</v>
          </cell>
          <cell r="DN14">
            <v>7.4630686032934808</v>
          </cell>
          <cell r="DO14">
            <v>7.6123299753593505</v>
          </cell>
          <cell r="DP14">
            <v>7.7645765748665374</v>
          </cell>
          <cell r="DQ14">
            <v>7.9198681063638681</v>
          </cell>
          <cell r="DR14">
            <v>8.0782654684911464</v>
          </cell>
          <cell r="DS14">
            <v>8.2398307778609698</v>
          </cell>
          <cell r="DT14">
            <v>8.4046273934181901</v>
          </cell>
          <cell r="DU14">
            <v>8.5727199412865538</v>
          </cell>
          <cell r="DV14">
            <v>8.7441743401122842</v>
          </cell>
          <cell r="DW14">
            <v>8.9190578269145302</v>
          </cell>
          <cell r="DX14">
            <v>9.0974389834528218</v>
          </cell>
          <cell r="DY14">
            <v>9.2793877631218784</v>
          </cell>
          <cell r="DZ14">
            <v>9.4649755183843158</v>
          </cell>
          <cell r="EA14">
            <v>9.6542750287520018</v>
          </cell>
          <cell r="EB14">
            <v>9.8473605293270428</v>
          </cell>
          <cell r="EC14">
            <v>10.044307739913584</v>
          </cell>
          <cell r="ED14">
            <v>10.245193894711857</v>
          </cell>
          <cell r="EE14">
            <v>10.450097772606094</v>
          </cell>
          <cell r="EF14">
            <v>10.659099728058216</v>
          </cell>
          <cell r="EG14">
            <v>10.87228172261938</v>
          </cell>
          <cell r="EH14">
            <v>11.089727357071768</v>
          </cell>
          <cell r="EI14">
            <v>11.311521904213203</v>
          </cell>
          <cell r="EJ14">
            <v>11.537752342297468</v>
          </cell>
          <cell r="EK14">
            <v>11.768507389143418</v>
          </cell>
          <cell r="EL14">
            <v>12.003877536926286</v>
          </cell>
          <cell r="EM14">
            <v>12.243955087664812</v>
          </cell>
          <cell r="EN14">
            <v>12.488834189418109</v>
          </cell>
          <cell r="EO14">
            <v>12.73861087320647</v>
          </cell>
          <cell r="EP14">
            <v>12.9933830906706</v>
          </cell>
          <cell r="EQ14">
            <v>13.253250752484012</v>
          </cell>
          <cell r="ER14">
            <v>13.518315767533693</v>
          </cell>
          <cell r="ES14">
            <v>13.788682082884367</v>
          </cell>
          <cell r="ET14">
            <v>14.064455724542055</v>
          </cell>
          <cell r="EU14">
            <v>14.345744839032896</v>
          </cell>
          <cell r="EV14">
            <v>14.632659735813554</v>
          </cell>
          <cell r="EW14">
            <v>14.925312930529826</v>
          </cell>
          <cell r="EX14">
            <v>15.223819189140423</v>
          </cell>
          <cell r="EY14">
            <v>15.528295572923232</v>
          </cell>
          <cell r="EZ14">
            <v>15.838861484381697</v>
          </cell>
          <cell r="FA14">
            <v>16.15563871406933</v>
          </cell>
          <cell r="FB14">
            <v>16.478751488350717</v>
          </cell>
          <cell r="FC14">
            <v>16.808326518117731</v>
          </cell>
          <cell r="FD14">
            <v>17.144493048480086</v>
          </cell>
          <cell r="FE14">
            <v>17.487382909449689</v>
          </cell>
          <cell r="FF14">
            <v>17.837130567638685</v>
          </cell>
          <cell r="FG14">
            <v>18.19387317899146</v>
          </cell>
          <cell r="FH14">
            <v>18.557750642571289</v>
          </cell>
          <cell r="FI14">
            <v>18.928905655422714</v>
          </cell>
          <cell r="FJ14">
            <v>19.307483768531167</v>
          </cell>
          <cell r="FK14">
            <v>19.693633443901792</v>
          </cell>
          <cell r="FL14">
            <v>20.087506112779828</v>
          </cell>
          <cell r="FM14">
            <v>20.489256235035423</v>
          </cell>
          <cell r="FN14">
            <v>20.899041359736131</v>
          </cell>
          <cell r="FO14">
            <v>21.317022186930853</v>
          </cell>
          <cell r="FP14">
            <v>21.74336263066947</v>
          </cell>
          <cell r="FQ14">
            <v>22.17822988328286</v>
          </cell>
          <cell r="FR14">
            <v>22.621794480948516</v>
          </cell>
          <cell r="FS14">
            <v>23.074230370567488</v>
          </cell>
          <cell r="FT14">
            <v>23.535714977978838</v>
          </cell>
          <cell r="FU14">
            <v>24.006429277538416</v>
          </cell>
          <cell r="FV14">
            <v>24.486557863089185</v>
          </cell>
          <cell r="FW14">
            <v>24.976289020350968</v>
          </cell>
          <cell r="FX14">
            <v>25.475814800757988</v>
          </cell>
          <cell r="FY14">
            <v>25.985331096773148</v>
          </cell>
          <cell r="FZ14">
            <v>26.505037718708611</v>
          </cell>
          <cell r="GA14">
            <v>27.035138473082782</v>
          </cell>
          <cell r="GB14">
            <v>27.575841242544438</v>
          </cell>
          <cell r="GC14">
            <v>28.127358067395328</v>
          </cell>
          <cell r="GD14">
            <v>28.689905228743235</v>
          </cell>
          <cell r="GE14">
            <v>29.263703333318102</v>
          </cell>
          <cell r="GF14">
            <v>29.848977399984463</v>
          </cell>
          <cell r="GG14">
            <v>30.445956947984154</v>
          </cell>
          <cell r="GH14">
            <v>31.054876086943839</v>
          </cell>
          <cell r="GI14">
            <v>31.675973608682717</v>
          </cell>
          <cell r="GJ14">
            <v>32.30949308085637</v>
          </cell>
          <cell r="GK14">
            <v>32.955682942473501</v>
          </cell>
          <cell r="GL14">
            <v>33.614796601322972</v>
          </cell>
          <cell r="GM14">
            <v>34.28709253334943</v>
          </cell>
          <cell r="GN14">
            <v>34.972834384016416</v>
          </cell>
          <cell r="GO14">
            <v>35.672291071696748</v>
          </cell>
          <cell r="GP14">
            <v>36.385736893130684</v>
          </cell>
          <cell r="GQ14">
            <v>37.113451630993296</v>
          </cell>
          <cell r="GR14">
            <v>37.855720663613162</v>
          </cell>
          <cell r="GS14">
            <v>38.612835076885425</v>
          </cell>
          <cell r="GT14">
            <v>39.385091778423131</v>
          </cell>
          <cell r="GU14">
            <v>40.172793613991594</v>
          </cell>
          <cell r="GV14">
            <v>40.976249486271428</v>
          </cell>
          <cell r="GW14">
            <v>41.795774475996858</v>
          </cell>
          <cell r="GX14">
            <v>42.631689965516799</v>
          </cell>
          <cell r="GY14">
            <v>43.484323764827138</v>
          </cell>
          <cell r="GZ14">
            <v>44.354010240123685</v>
          </cell>
          <cell r="HA14">
            <v>45.241090444926158</v>
          </cell>
          <cell r="HB14">
            <v>46.145912253824683</v>
          </cell>
          <cell r="HC14">
            <v>47.068830498901178</v>
          </cell>
          <cell r="HD14">
            <v>48.0102071088792</v>
          </cell>
          <cell r="HE14">
            <v>48.970411251056788</v>
          </cell>
          <cell r="HF14">
            <v>49.949819476077927</v>
          </cell>
          <cell r="HG14">
            <v>50.948815865599485</v>
          </cell>
          <cell r="HH14">
            <v>51.967792182911474</v>
          </cell>
          <cell r="HI14">
            <v>53.007148026569702</v>
          </cell>
          <cell r="HJ14">
            <v>54.067290987101096</v>
          </cell>
          <cell r="HK14">
            <v>55.148636806843122</v>
          </cell>
          <cell r="HL14">
            <v>56.251609542979985</v>
          </cell>
          <cell r="HM14">
            <v>57.376641733839584</v>
          </cell>
          <cell r="HN14">
            <v>58.524174568516379</v>
          </cell>
          <cell r="HO14">
            <v>59.694658059886706</v>
          </cell>
          <cell r="HP14">
            <v>60.888551221084441</v>
          </cell>
          <cell r="HQ14">
            <v>62.106322245506128</v>
          </cell>
          <cell r="HR14">
            <v>63.348448690416248</v>
          </cell>
          <cell r="HS14">
            <v>64.61541766422458</v>
          </cell>
          <cell r="HT14">
            <v>65.907726017509077</v>
          </cell>
          <cell r="HU14">
            <v>67.225880537859254</v>
          </cell>
          <cell r="HV14">
            <v>68.570398148616434</v>
          </cell>
          <cell r="HW14">
            <v>69.941806111588761</v>
          </cell>
          <cell r="HX14">
            <v>71.340642233820532</v>
          </cell>
          <cell r="HY14">
            <v>72.767455078496937</v>
          </cell>
          <cell r="HZ14">
            <v>74.222804180066873</v>
          </cell>
          <cell r="IA14">
            <v>75.707260263668218</v>
          </cell>
          <cell r="IB14">
            <v>77.221405468941583</v>
          </cell>
          <cell r="IC14">
            <v>78.765833578320411</v>
          </cell>
          <cell r="ID14">
            <v>80.341150249886823</v>
          </cell>
          <cell r="IE14">
            <v>81.947973254884559</v>
          </cell>
          <cell r="IF14">
            <v>83.586932719982258</v>
          </cell>
          <cell r="IG14">
            <v>85.258671374381905</v>
          </cell>
          <cell r="IH14">
            <v>86.963844801869541</v>
          </cell>
          <cell r="II14">
            <v>88.703121697906937</v>
          </cell>
          <cell r="IJ14">
            <v>90.477184131865073</v>
          </cell>
          <cell r="IK14">
            <v>92.28672781450237</v>
          </cell>
          <cell r="IL14">
            <v>94.132462370792425</v>
          </cell>
          <cell r="IM14">
            <v>96.01511161820828</v>
          </cell>
          <cell r="IN14">
            <v>97.935413850572445</v>
          </cell>
          <cell r="IO14">
            <v>99.894122127583898</v>
          </cell>
          <cell r="IP14">
            <v>101.89200457013558</v>
          </cell>
          <cell r="IQ14">
            <v>103.9298446615383</v>
          </cell>
          <cell r="IR14">
            <v>106.00844155476906</v>
          </cell>
          <cell r="IS14">
            <v>108.12861038586445</v>
          </cell>
          <cell r="IT14">
            <v>110.29118259358174</v>
          </cell>
          <cell r="IU14">
            <v>112.49700624545338</v>
          </cell>
          <cell r="IV14">
            <v>114.74694637036245</v>
          </cell>
          <cell r="IW14">
            <v>117.0418852977697</v>
          </cell>
          <cell r="IX14">
            <v>119.38272300372509</v>
          </cell>
          <cell r="IY14">
            <v>121.77037746379959</v>
          </cell>
          <cell r="IZ14">
            <v>124.20578501307558</v>
          </cell>
          <cell r="JA14">
            <v>126.6899007133371</v>
          </cell>
        </row>
        <row r="18">
          <cell r="L18">
            <v>1</v>
          </cell>
          <cell r="M18">
            <v>1</v>
          </cell>
          <cell r="N18">
            <v>1</v>
          </cell>
          <cell r="O18">
            <v>1</v>
          </cell>
          <cell r="P18">
            <v>1</v>
          </cell>
          <cell r="Q18">
            <v>1</v>
          </cell>
          <cell r="R18">
            <v>1</v>
          </cell>
          <cell r="S18">
            <v>1</v>
          </cell>
          <cell r="T18">
            <v>1</v>
          </cell>
          <cell r="U18">
            <v>1</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cell r="EL18">
            <v>1</v>
          </cell>
          <cell r="EM18">
            <v>1</v>
          </cell>
          <cell r="EN18">
            <v>1</v>
          </cell>
          <cell r="EO18">
            <v>1</v>
          </cell>
          <cell r="EP18">
            <v>1</v>
          </cell>
          <cell r="EQ18">
            <v>1</v>
          </cell>
          <cell r="ER18">
            <v>1</v>
          </cell>
          <cell r="ES18">
            <v>1</v>
          </cell>
          <cell r="ET18">
            <v>1</v>
          </cell>
          <cell r="EU18">
            <v>1</v>
          </cell>
          <cell r="EV18">
            <v>1</v>
          </cell>
          <cell r="EW18">
            <v>1</v>
          </cell>
          <cell r="EX18">
            <v>1</v>
          </cell>
          <cell r="EY18">
            <v>1</v>
          </cell>
          <cell r="EZ18">
            <v>1</v>
          </cell>
          <cell r="FA18">
            <v>1</v>
          </cell>
          <cell r="FB18">
            <v>1</v>
          </cell>
          <cell r="FC18">
            <v>1</v>
          </cell>
          <cell r="FD18">
            <v>1</v>
          </cell>
          <cell r="FE18">
            <v>1</v>
          </cell>
          <cell r="FF18">
            <v>1</v>
          </cell>
          <cell r="FG18">
            <v>1</v>
          </cell>
          <cell r="FH18">
            <v>1</v>
          </cell>
          <cell r="FI18">
            <v>1</v>
          </cell>
          <cell r="FJ18">
            <v>1</v>
          </cell>
          <cell r="FK18">
            <v>1</v>
          </cell>
          <cell r="FL18">
            <v>1</v>
          </cell>
          <cell r="FM18">
            <v>1</v>
          </cell>
          <cell r="FN18">
            <v>1</v>
          </cell>
          <cell r="FO18">
            <v>1</v>
          </cell>
          <cell r="FP18">
            <v>1</v>
          </cell>
          <cell r="FQ18">
            <v>1</v>
          </cell>
          <cell r="FR18">
            <v>1</v>
          </cell>
          <cell r="FS18">
            <v>1</v>
          </cell>
          <cell r="FT18">
            <v>1</v>
          </cell>
          <cell r="FU18">
            <v>1</v>
          </cell>
          <cell r="FV18">
            <v>1</v>
          </cell>
          <cell r="FW18">
            <v>1</v>
          </cell>
          <cell r="FX18">
            <v>1</v>
          </cell>
          <cell r="FY18">
            <v>1</v>
          </cell>
          <cell r="FZ18">
            <v>1</v>
          </cell>
          <cell r="GA18">
            <v>1</v>
          </cell>
          <cell r="GB18">
            <v>1</v>
          </cell>
          <cell r="GC18">
            <v>1</v>
          </cell>
          <cell r="GD18">
            <v>1</v>
          </cell>
          <cell r="GE18">
            <v>1</v>
          </cell>
          <cell r="GF18">
            <v>1</v>
          </cell>
          <cell r="GG18">
            <v>1</v>
          </cell>
          <cell r="GH18">
            <v>1</v>
          </cell>
          <cell r="GI18">
            <v>1</v>
          </cell>
          <cell r="GJ18">
            <v>1</v>
          </cell>
          <cell r="GK18">
            <v>1</v>
          </cell>
          <cell r="GL18">
            <v>1</v>
          </cell>
          <cell r="GM18">
            <v>1</v>
          </cell>
          <cell r="GN18">
            <v>1</v>
          </cell>
          <cell r="GO18">
            <v>1</v>
          </cell>
          <cell r="GP18">
            <v>1</v>
          </cell>
          <cell r="GQ18">
            <v>1</v>
          </cell>
          <cell r="GR18">
            <v>1</v>
          </cell>
          <cell r="GS18">
            <v>1</v>
          </cell>
          <cell r="GT18">
            <v>1</v>
          </cell>
          <cell r="GU18">
            <v>1</v>
          </cell>
          <cell r="GV18">
            <v>1</v>
          </cell>
          <cell r="GW18">
            <v>1</v>
          </cell>
          <cell r="GX18">
            <v>1</v>
          </cell>
          <cell r="GY18">
            <v>1</v>
          </cell>
          <cell r="GZ18">
            <v>1</v>
          </cell>
          <cell r="HA18">
            <v>1</v>
          </cell>
          <cell r="HB18">
            <v>1</v>
          </cell>
          <cell r="HC18">
            <v>1</v>
          </cell>
          <cell r="HD18">
            <v>1</v>
          </cell>
          <cell r="HE18">
            <v>1</v>
          </cell>
          <cell r="HF18">
            <v>1</v>
          </cell>
          <cell r="HG18">
            <v>1</v>
          </cell>
          <cell r="HH18">
            <v>1</v>
          </cell>
          <cell r="HI18">
            <v>1</v>
          </cell>
          <cell r="HJ18">
            <v>1</v>
          </cell>
          <cell r="HK18">
            <v>1</v>
          </cell>
          <cell r="HL18">
            <v>1</v>
          </cell>
          <cell r="HM18">
            <v>1</v>
          </cell>
          <cell r="HN18">
            <v>1</v>
          </cell>
          <cell r="HO18">
            <v>1</v>
          </cell>
          <cell r="HP18">
            <v>1</v>
          </cell>
          <cell r="HQ18">
            <v>1</v>
          </cell>
          <cell r="HR18">
            <v>1</v>
          </cell>
          <cell r="HS18">
            <v>1</v>
          </cell>
          <cell r="HT18">
            <v>1</v>
          </cell>
          <cell r="HU18">
            <v>1</v>
          </cell>
          <cell r="HV18">
            <v>1</v>
          </cell>
          <cell r="HW18">
            <v>1</v>
          </cell>
          <cell r="HX18">
            <v>1</v>
          </cell>
          <cell r="HY18">
            <v>1</v>
          </cell>
          <cell r="HZ18">
            <v>1</v>
          </cell>
          <cell r="IA18">
            <v>1</v>
          </cell>
          <cell r="IB18">
            <v>1</v>
          </cell>
          <cell r="IC18">
            <v>1</v>
          </cell>
          <cell r="ID18">
            <v>1</v>
          </cell>
          <cell r="IE18">
            <v>1</v>
          </cell>
          <cell r="IF18">
            <v>1</v>
          </cell>
          <cell r="IG18">
            <v>1</v>
          </cell>
          <cell r="IH18">
            <v>1</v>
          </cell>
          <cell r="II18">
            <v>1</v>
          </cell>
          <cell r="IJ18">
            <v>1</v>
          </cell>
          <cell r="IK18">
            <v>1</v>
          </cell>
          <cell r="IL18">
            <v>1</v>
          </cell>
          <cell r="IM18">
            <v>1</v>
          </cell>
          <cell r="IN18">
            <v>1</v>
          </cell>
          <cell r="IO18">
            <v>1</v>
          </cell>
          <cell r="IP18">
            <v>1</v>
          </cell>
          <cell r="IQ18">
            <v>1</v>
          </cell>
          <cell r="IR18">
            <v>1</v>
          </cell>
          <cell r="IS18">
            <v>1</v>
          </cell>
          <cell r="IT18">
            <v>1</v>
          </cell>
          <cell r="IU18">
            <v>1</v>
          </cell>
          <cell r="IV18">
            <v>1</v>
          </cell>
          <cell r="IW18">
            <v>1</v>
          </cell>
          <cell r="IX18">
            <v>1</v>
          </cell>
          <cell r="IY18">
            <v>1</v>
          </cell>
          <cell r="IZ18">
            <v>1</v>
          </cell>
          <cell r="JA18">
            <v>1</v>
          </cell>
        </row>
        <row r="19">
          <cell r="L19">
            <v>1</v>
          </cell>
          <cell r="M19">
            <v>1</v>
          </cell>
          <cell r="N19">
            <v>1</v>
          </cell>
          <cell r="O19">
            <v>1</v>
          </cell>
          <cell r="P19">
            <v>1</v>
          </cell>
          <cell r="Q19">
            <v>1</v>
          </cell>
          <cell r="R19">
            <v>1</v>
          </cell>
          <cell r="S19">
            <v>1</v>
          </cell>
          <cell r="T19">
            <v>1</v>
          </cell>
          <cell r="U19">
            <v>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cell r="EL19">
            <v>1</v>
          </cell>
          <cell r="EM19">
            <v>1</v>
          </cell>
          <cell r="EN19">
            <v>1</v>
          </cell>
          <cell r="EO19">
            <v>1</v>
          </cell>
          <cell r="EP19">
            <v>1</v>
          </cell>
          <cell r="EQ19">
            <v>1</v>
          </cell>
          <cell r="ER19">
            <v>1</v>
          </cell>
          <cell r="ES19">
            <v>1</v>
          </cell>
          <cell r="ET19">
            <v>1</v>
          </cell>
          <cell r="EU19">
            <v>1</v>
          </cell>
          <cell r="EV19">
            <v>1</v>
          </cell>
          <cell r="EW19">
            <v>1</v>
          </cell>
          <cell r="EX19">
            <v>1</v>
          </cell>
          <cell r="EY19">
            <v>1</v>
          </cell>
          <cell r="EZ19">
            <v>1</v>
          </cell>
          <cell r="FA19">
            <v>1</v>
          </cell>
          <cell r="FB19">
            <v>1</v>
          </cell>
          <cell r="FC19">
            <v>1</v>
          </cell>
          <cell r="FD19">
            <v>1</v>
          </cell>
          <cell r="FE19">
            <v>1</v>
          </cell>
          <cell r="FF19">
            <v>1</v>
          </cell>
          <cell r="FG19">
            <v>1</v>
          </cell>
          <cell r="FH19">
            <v>1</v>
          </cell>
          <cell r="FI19">
            <v>1</v>
          </cell>
          <cell r="FJ19">
            <v>1</v>
          </cell>
          <cell r="FK19">
            <v>1</v>
          </cell>
          <cell r="FL19">
            <v>1</v>
          </cell>
          <cell r="FM19">
            <v>1</v>
          </cell>
          <cell r="FN19">
            <v>1</v>
          </cell>
          <cell r="FO19">
            <v>1</v>
          </cell>
          <cell r="FP19">
            <v>1</v>
          </cell>
          <cell r="FQ19">
            <v>1</v>
          </cell>
          <cell r="FR19">
            <v>1</v>
          </cell>
          <cell r="FS19">
            <v>1</v>
          </cell>
          <cell r="FT19">
            <v>1</v>
          </cell>
          <cell r="FU19">
            <v>1</v>
          </cell>
          <cell r="FV19">
            <v>1</v>
          </cell>
          <cell r="FW19">
            <v>1</v>
          </cell>
          <cell r="FX19">
            <v>1</v>
          </cell>
          <cell r="FY19">
            <v>1</v>
          </cell>
          <cell r="FZ19">
            <v>1</v>
          </cell>
          <cell r="GA19">
            <v>1</v>
          </cell>
          <cell r="GB19">
            <v>1</v>
          </cell>
          <cell r="GC19">
            <v>1</v>
          </cell>
          <cell r="GD19">
            <v>1</v>
          </cell>
          <cell r="GE19">
            <v>1</v>
          </cell>
          <cell r="GF19">
            <v>1</v>
          </cell>
          <cell r="GG19">
            <v>1</v>
          </cell>
          <cell r="GH19">
            <v>1</v>
          </cell>
          <cell r="GI19">
            <v>1</v>
          </cell>
          <cell r="GJ19">
            <v>1</v>
          </cell>
          <cell r="GK19">
            <v>1</v>
          </cell>
          <cell r="GL19">
            <v>1</v>
          </cell>
          <cell r="GM19">
            <v>1</v>
          </cell>
          <cell r="GN19">
            <v>1</v>
          </cell>
          <cell r="GO19">
            <v>1</v>
          </cell>
          <cell r="GP19">
            <v>1</v>
          </cell>
          <cell r="GQ19">
            <v>1</v>
          </cell>
          <cell r="GR19">
            <v>1</v>
          </cell>
          <cell r="GS19">
            <v>1</v>
          </cell>
          <cell r="GT19">
            <v>1</v>
          </cell>
          <cell r="GU19">
            <v>1</v>
          </cell>
          <cell r="GV19">
            <v>1</v>
          </cell>
          <cell r="GW19">
            <v>1</v>
          </cell>
          <cell r="GX19">
            <v>1</v>
          </cell>
          <cell r="GY19">
            <v>1</v>
          </cell>
          <cell r="GZ19">
            <v>1</v>
          </cell>
          <cell r="HA19">
            <v>1</v>
          </cell>
          <cell r="HB19">
            <v>1</v>
          </cell>
          <cell r="HC19">
            <v>1</v>
          </cell>
          <cell r="HD19">
            <v>1</v>
          </cell>
          <cell r="HE19">
            <v>1</v>
          </cell>
          <cell r="HF19">
            <v>1</v>
          </cell>
          <cell r="HG19">
            <v>1</v>
          </cell>
          <cell r="HH19">
            <v>1</v>
          </cell>
          <cell r="HI19">
            <v>1</v>
          </cell>
          <cell r="HJ19">
            <v>1</v>
          </cell>
          <cell r="HK19">
            <v>1</v>
          </cell>
          <cell r="HL19">
            <v>1</v>
          </cell>
          <cell r="HM19">
            <v>1</v>
          </cell>
          <cell r="HN19">
            <v>1</v>
          </cell>
          <cell r="HO19">
            <v>1</v>
          </cell>
          <cell r="HP19">
            <v>1</v>
          </cell>
          <cell r="HQ19">
            <v>1</v>
          </cell>
          <cell r="HR19">
            <v>1</v>
          </cell>
          <cell r="HS19">
            <v>1</v>
          </cell>
          <cell r="HT19">
            <v>1</v>
          </cell>
          <cell r="HU19">
            <v>1</v>
          </cell>
          <cell r="HV19">
            <v>1</v>
          </cell>
          <cell r="HW19">
            <v>1</v>
          </cell>
          <cell r="HX19">
            <v>1</v>
          </cell>
          <cell r="HY19">
            <v>1</v>
          </cell>
          <cell r="HZ19">
            <v>1</v>
          </cell>
          <cell r="IA19">
            <v>1</v>
          </cell>
          <cell r="IB19">
            <v>1</v>
          </cell>
          <cell r="IC19">
            <v>1</v>
          </cell>
          <cell r="ID19">
            <v>1</v>
          </cell>
          <cell r="IE19">
            <v>1</v>
          </cell>
          <cell r="IF19">
            <v>1</v>
          </cell>
          <cell r="IG19">
            <v>1</v>
          </cell>
          <cell r="IH19">
            <v>1</v>
          </cell>
          <cell r="II19">
            <v>1</v>
          </cell>
          <cell r="IJ19">
            <v>1</v>
          </cell>
          <cell r="IK19">
            <v>1</v>
          </cell>
          <cell r="IL19">
            <v>1</v>
          </cell>
          <cell r="IM19">
            <v>1</v>
          </cell>
          <cell r="IN19">
            <v>1</v>
          </cell>
          <cell r="IO19">
            <v>1</v>
          </cell>
          <cell r="IP19">
            <v>1</v>
          </cell>
          <cell r="IQ19">
            <v>1</v>
          </cell>
          <cell r="IR19">
            <v>1</v>
          </cell>
          <cell r="IS19">
            <v>1</v>
          </cell>
          <cell r="IT19">
            <v>1</v>
          </cell>
          <cell r="IU19">
            <v>1</v>
          </cell>
          <cell r="IV19">
            <v>1</v>
          </cell>
          <cell r="IW19">
            <v>1</v>
          </cell>
          <cell r="IX19">
            <v>1</v>
          </cell>
          <cell r="IY19">
            <v>1</v>
          </cell>
          <cell r="IZ19">
            <v>1</v>
          </cell>
          <cell r="JA19">
            <v>1</v>
          </cell>
        </row>
        <row r="20">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cell r="EL20">
            <v>1</v>
          </cell>
          <cell r="EM20">
            <v>1</v>
          </cell>
          <cell r="EN20">
            <v>1</v>
          </cell>
          <cell r="EO20">
            <v>1</v>
          </cell>
          <cell r="EP20">
            <v>1</v>
          </cell>
          <cell r="EQ20">
            <v>1</v>
          </cell>
          <cell r="ER20">
            <v>1</v>
          </cell>
          <cell r="ES20">
            <v>1</v>
          </cell>
          <cell r="ET20">
            <v>1</v>
          </cell>
          <cell r="EU20">
            <v>1</v>
          </cell>
          <cell r="EV20">
            <v>1</v>
          </cell>
          <cell r="EW20">
            <v>1</v>
          </cell>
          <cell r="EX20">
            <v>1</v>
          </cell>
          <cell r="EY20">
            <v>1</v>
          </cell>
          <cell r="EZ20">
            <v>1</v>
          </cell>
          <cell r="FA20">
            <v>1</v>
          </cell>
          <cell r="FB20">
            <v>1</v>
          </cell>
          <cell r="FC20">
            <v>1</v>
          </cell>
          <cell r="FD20">
            <v>1</v>
          </cell>
          <cell r="FE20">
            <v>1</v>
          </cell>
          <cell r="FF20">
            <v>1</v>
          </cell>
          <cell r="FG20">
            <v>1</v>
          </cell>
          <cell r="FH20">
            <v>1</v>
          </cell>
          <cell r="FI20">
            <v>1</v>
          </cell>
          <cell r="FJ20">
            <v>1</v>
          </cell>
          <cell r="FK20">
            <v>1</v>
          </cell>
          <cell r="FL20">
            <v>1</v>
          </cell>
          <cell r="FM20">
            <v>1</v>
          </cell>
          <cell r="FN20">
            <v>1</v>
          </cell>
          <cell r="FO20">
            <v>1</v>
          </cell>
          <cell r="FP20">
            <v>1</v>
          </cell>
          <cell r="FQ20">
            <v>1</v>
          </cell>
          <cell r="FR20">
            <v>1</v>
          </cell>
          <cell r="FS20">
            <v>1</v>
          </cell>
          <cell r="FT20">
            <v>1</v>
          </cell>
          <cell r="FU20">
            <v>1</v>
          </cell>
          <cell r="FV20">
            <v>1</v>
          </cell>
          <cell r="FW20">
            <v>1</v>
          </cell>
          <cell r="FX20">
            <v>1</v>
          </cell>
          <cell r="FY20">
            <v>1</v>
          </cell>
          <cell r="FZ20">
            <v>1</v>
          </cell>
          <cell r="GA20">
            <v>1</v>
          </cell>
          <cell r="GB20">
            <v>1</v>
          </cell>
          <cell r="GC20">
            <v>1</v>
          </cell>
          <cell r="GD20">
            <v>1</v>
          </cell>
          <cell r="GE20">
            <v>1</v>
          </cell>
          <cell r="GF20">
            <v>1</v>
          </cell>
          <cell r="GG20">
            <v>1</v>
          </cell>
          <cell r="GH20">
            <v>1</v>
          </cell>
          <cell r="GI20">
            <v>1</v>
          </cell>
          <cell r="GJ20">
            <v>1</v>
          </cell>
          <cell r="GK20">
            <v>1</v>
          </cell>
          <cell r="GL20">
            <v>1</v>
          </cell>
          <cell r="GM20">
            <v>1</v>
          </cell>
          <cell r="GN20">
            <v>1</v>
          </cell>
          <cell r="GO20">
            <v>1</v>
          </cell>
          <cell r="GP20">
            <v>1</v>
          </cell>
          <cell r="GQ20">
            <v>1</v>
          </cell>
          <cell r="GR20">
            <v>1</v>
          </cell>
          <cell r="GS20">
            <v>1</v>
          </cell>
          <cell r="GT20">
            <v>1</v>
          </cell>
          <cell r="GU20">
            <v>1</v>
          </cell>
          <cell r="GV20">
            <v>1</v>
          </cell>
          <cell r="GW20">
            <v>1</v>
          </cell>
          <cell r="GX20">
            <v>1</v>
          </cell>
          <cell r="GY20">
            <v>1</v>
          </cell>
          <cell r="GZ20">
            <v>1</v>
          </cell>
          <cell r="HA20">
            <v>1</v>
          </cell>
          <cell r="HB20">
            <v>1</v>
          </cell>
          <cell r="HC20">
            <v>1</v>
          </cell>
          <cell r="HD20">
            <v>1</v>
          </cell>
          <cell r="HE20">
            <v>1</v>
          </cell>
          <cell r="HF20">
            <v>1</v>
          </cell>
          <cell r="HG20">
            <v>1</v>
          </cell>
          <cell r="HH20">
            <v>1</v>
          </cell>
          <cell r="HI20">
            <v>1</v>
          </cell>
          <cell r="HJ20">
            <v>1</v>
          </cell>
          <cell r="HK20">
            <v>1</v>
          </cell>
          <cell r="HL20">
            <v>1</v>
          </cell>
          <cell r="HM20">
            <v>1</v>
          </cell>
          <cell r="HN20">
            <v>1</v>
          </cell>
          <cell r="HO20">
            <v>1</v>
          </cell>
          <cell r="HP20">
            <v>1</v>
          </cell>
          <cell r="HQ20">
            <v>1</v>
          </cell>
          <cell r="HR20">
            <v>1</v>
          </cell>
          <cell r="HS20">
            <v>1</v>
          </cell>
          <cell r="HT20">
            <v>1</v>
          </cell>
          <cell r="HU20">
            <v>1</v>
          </cell>
          <cell r="HV20">
            <v>1</v>
          </cell>
          <cell r="HW20">
            <v>1</v>
          </cell>
          <cell r="HX20">
            <v>1</v>
          </cell>
          <cell r="HY20">
            <v>1</v>
          </cell>
          <cell r="HZ20">
            <v>1</v>
          </cell>
          <cell r="IA20">
            <v>1</v>
          </cell>
          <cell r="IB20">
            <v>1</v>
          </cell>
          <cell r="IC20">
            <v>1</v>
          </cell>
          <cell r="ID20">
            <v>1</v>
          </cell>
          <cell r="IE20">
            <v>1</v>
          </cell>
          <cell r="IF20">
            <v>1</v>
          </cell>
          <cell r="IG20">
            <v>1</v>
          </cell>
          <cell r="IH20">
            <v>1</v>
          </cell>
          <cell r="II20">
            <v>1</v>
          </cell>
          <cell r="IJ20">
            <v>1</v>
          </cell>
          <cell r="IK20">
            <v>1</v>
          </cell>
          <cell r="IL20">
            <v>1</v>
          </cell>
          <cell r="IM20">
            <v>1</v>
          </cell>
          <cell r="IN20">
            <v>1</v>
          </cell>
          <cell r="IO20">
            <v>1</v>
          </cell>
          <cell r="IP20">
            <v>1</v>
          </cell>
          <cell r="IQ20">
            <v>1</v>
          </cell>
          <cell r="IR20">
            <v>1</v>
          </cell>
          <cell r="IS20">
            <v>1</v>
          </cell>
          <cell r="IT20">
            <v>1</v>
          </cell>
          <cell r="IU20">
            <v>1</v>
          </cell>
          <cell r="IV20">
            <v>1</v>
          </cell>
          <cell r="IW20">
            <v>1</v>
          </cell>
          <cell r="IX20">
            <v>1</v>
          </cell>
          <cell r="IY20">
            <v>1</v>
          </cell>
          <cell r="IZ20">
            <v>1</v>
          </cell>
          <cell r="JA20">
            <v>1</v>
          </cell>
        </row>
        <row r="23">
          <cell r="B23">
            <v>0</v>
          </cell>
        </row>
        <row r="24">
          <cell r="L24">
            <v>0</v>
          </cell>
          <cell r="M24">
            <v>0</v>
          </cell>
          <cell r="N24">
            <v>0</v>
          </cell>
          <cell r="O24">
            <v>6.1469999999999997E-3</v>
          </cell>
          <cell r="P24">
            <v>0.35455300000000001</v>
          </cell>
          <cell r="Q24">
            <v>0.37568499999999999</v>
          </cell>
          <cell r="R24">
            <v>0.37568499999999999</v>
          </cell>
          <cell r="S24">
            <v>0.37568499999999999</v>
          </cell>
          <cell r="T24">
            <v>0.37568499999999999</v>
          </cell>
          <cell r="U24">
            <v>0.37568499999999999</v>
          </cell>
          <cell r="V24">
            <v>0.37568499999999999</v>
          </cell>
          <cell r="W24">
            <v>0.37568499999999999</v>
          </cell>
          <cell r="X24">
            <v>0.375475</v>
          </cell>
          <cell r="Y24">
            <v>0.37337799999999999</v>
          </cell>
          <cell r="Z24">
            <v>0.37129299999999998</v>
          </cell>
          <cell r="AA24">
            <v>0.36925400000000003</v>
          </cell>
          <cell r="AB24">
            <v>0.36720199999999997</v>
          </cell>
          <cell r="AC24">
            <v>0.36516500000000002</v>
          </cell>
          <cell r="AD24">
            <v>0.32994000000000001</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1.2959999999999999E-2</v>
          </cell>
          <cell r="P25">
            <v>0.74749900000000002</v>
          </cell>
          <cell r="Q25">
            <v>0.792049</v>
          </cell>
          <cell r="R25">
            <v>0.792049</v>
          </cell>
          <cell r="S25">
            <v>0.792049</v>
          </cell>
          <cell r="T25">
            <v>0.792049</v>
          </cell>
          <cell r="U25">
            <v>0.792049</v>
          </cell>
          <cell r="V25">
            <v>0.792049</v>
          </cell>
          <cell r="W25">
            <v>0.792049</v>
          </cell>
          <cell r="X25">
            <v>0.79160699999999995</v>
          </cell>
          <cell r="Y25">
            <v>0.78718600000000005</v>
          </cell>
          <cell r="Z25">
            <v>0.78278999999999999</v>
          </cell>
          <cell r="AA25">
            <v>0.77849100000000004</v>
          </cell>
          <cell r="AB25">
            <v>0.77416499999999999</v>
          </cell>
          <cell r="AC25">
            <v>0.76987000000000005</v>
          </cell>
          <cell r="AD25">
            <v>0.69560699999999998</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4.9841999999999997E-2</v>
          </cell>
          <cell r="P26">
            <v>2.8748169999999997</v>
          </cell>
          <cell r="Q26">
            <v>3.0461589999999998</v>
          </cell>
          <cell r="R26">
            <v>3.0461589999999998</v>
          </cell>
          <cell r="S26">
            <v>3.0461589999999998</v>
          </cell>
          <cell r="T26">
            <v>3.0461589999999998</v>
          </cell>
          <cell r="U26">
            <v>3.0461589999999998</v>
          </cell>
          <cell r="V26">
            <v>3.0461589999999998</v>
          </cell>
          <cell r="W26">
            <v>3.0461589999999998</v>
          </cell>
          <cell r="X26">
            <v>3.044457</v>
          </cell>
          <cell r="Y26">
            <v>3.0274540000000001</v>
          </cell>
          <cell r="Z26">
            <v>3.0105479999999996</v>
          </cell>
          <cell r="AA26">
            <v>2.9940150000000001</v>
          </cell>
          <cell r="AB26">
            <v>2.9773769999999997</v>
          </cell>
          <cell r="AC26">
            <v>2.9608600000000003</v>
          </cell>
          <cell r="AD26">
            <v>2.6752470000000002</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9">
          <cell r="L29">
            <v>0</v>
          </cell>
          <cell r="M29">
            <v>0</v>
          </cell>
          <cell r="N29">
            <v>0</v>
          </cell>
          <cell r="O29">
            <v>6.1469999999999997E-3</v>
          </cell>
          <cell r="P29">
            <v>0.36070000000000002</v>
          </cell>
          <cell r="Q29">
            <v>0.73638500000000007</v>
          </cell>
          <cell r="R29">
            <v>1.1120700000000001</v>
          </cell>
          <cell r="S29">
            <v>1.4877550000000002</v>
          </cell>
          <cell r="T29">
            <v>1.8634400000000002</v>
          </cell>
          <cell r="U29">
            <v>2.239125</v>
          </cell>
          <cell r="V29">
            <v>2.6148099999999999</v>
          </cell>
          <cell r="W29">
            <v>2.9904949999999997</v>
          </cell>
          <cell r="X29">
            <v>3.3659699999999999</v>
          </cell>
          <cell r="Y29">
            <v>3.7393479999999997</v>
          </cell>
          <cell r="Z29">
            <v>4.1106409999999993</v>
          </cell>
          <cell r="AA29">
            <v>4.4798949999999991</v>
          </cell>
          <cell r="AB29">
            <v>4.8470969999999989</v>
          </cell>
          <cell r="AC29">
            <v>5.2122619999999991</v>
          </cell>
          <cell r="AD29">
            <v>5.5422019999999987</v>
          </cell>
          <cell r="AE29">
            <v>5.5422019999999987</v>
          </cell>
          <cell r="AF29">
            <v>5.5422019999999987</v>
          </cell>
          <cell r="AG29">
            <v>5.5422019999999987</v>
          </cell>
          <cell r="AH29">
            <v>5.5422019999999987</v>
          </cell>
          <cell r="AI29">
            <v>5.5422019999999987</v>
          </cell>
          <cell r="AJ29">
            <v>5.5422019999999987</v>
          </cell>
          <cell r="AK29">
            <v>5.5422019999999987</v>
          </cell>
          <cell r="AL29">
            <v>5.5422019999999987</v>
          </cell>
          <cell r="AM29">
            <v>5.5422019999999987</v>
          </cell>
          <cell r="AN29">
            <v>5.5422019999999987</v>
          </cell>
          <cell r="AO29">
            <v>5.5422019999999987</v>
          </cell>
          <cell r="AP29">
            <v>5.5422019999999987</v>
          </cell>
          <cell r="AQ29">
            <v>5.5422019999999987</v>
          </cell>
          <cell r="AR29">
            <v>5.5422019999999987</v>
          </cell>
          <cell r="AS29">
            <v>5.5422019999999987</v>
          </cell>
          <cell r="AT29">
            <v>5.5422019999999987</v>
          </cell>
          <cell r="AU29">
            <v>5.5422019999999987</v>
          </cell>
          <cell r="AV29">
            <v>5.5422019999999987</v>
          </cell>
          <cell r="AW29">
            <v>5.5422019999999987</v>
          </cell>
          <cell r="AX29">
            <v>5.5422019999999987</v>
          </cell>
          <cell r="AY29">
            <v>5.5422019999999987</v>
          </cell>
          <cell r="AZ29">
            <v>5.5422019999999987</v>
          </cell>
          <cell r="BA29">
            <v>5.5422019999999987</v>
          </cell>
          <cell r="BB29">
            <v>5.5422019999999987</v>
          </cell>
          <cell r="BC29">
            <v>5.5422019999999987</v>
          </cell>
          <cell r="BD29">
            <v>5.5422019999999987</v>
          </cell>
          <cell r="BE29">
            <v>5.5422019999999987</v>
          </cell>
          <cell r="BF29">
            <v>5.5422019999999987</v>
          </cell>
          <cell r="BG29">
            <v>5.5422019999999987</v>
          </cell>
          <cell r="BH29">
            <v>5.5422019999999987</v>
          </cell>
          <cell r="BI29">
            <v>5.5422019999999987</v>
          </cell>
          <cell r="BJ29">
            <v>5.5422019999999987</v>
          </cell>
          <cell r="BK29">
            <v>5.5422019999999987</v>
          </cell>
          <cell r="BL29">
            <v>5.5422019999999987</v>
          </cell>
          <cell r="BM29">
            <v>5.5422019999999987</v>
          </cell>
          <cell r="BN29">
            <v>5.5422019999999987</v>
          </cell>
          <cell r="BO29">
            <v>5.5422019999999987</v>
          </cell>
          <cell r="BP29">
            <v>5.5422019999999987</v>
          </cell>
          <cell r="BQ29">
            <v>5.5422019999999987</v>
          </cell>
          <cell r="BR29">
            <v>5.5422019999999987</v>
          </cell>
          <cell r="BS29">
            <v>5.5422019999999987</v>
          </cell>
          <cell r="BT29">
            <v>5.5422019999999987</v>
          </cell>
          <cell r="BU29">
            <v>5.5422019999999987</v>
          </cell>
          <cell r="BV29">
            <v>5.5422019999999987</v>
          </cell>
          <cell r="BW29">
            <v>5.5422019999999987</v>
          </cell>
          <cell r="BX29">
            <v>5.5422019999999987</v>
          </cell>
          <cell r="BY29">
            <v>5.5422019999999987</v>
          </cell>
          <cell r="BZ29">
            <v>5.5422019999999987</v>
          </cell>
          <cell r="CA29">
            <v>5.5422019999999987</v>
          </cell>
          <cell r="CB29">
            <v>5.5422019999999987</v>
          </cell>
          <cell r="CC29">
            <v>5.5422019999999987</v>
          </cell>
          <cell r="CD29">
            <v>5.5422019999999987</v>
          </cell>
          <cell r="CE29">
            <v>5.5422019999999987</v>
          </cell>
          <cell r="CF29">
            <v>5.5422019999999987</v>
          </cell>
          <cell r="CG29">
            <v>5.5422019999999987</v>
          </cell>
          <cell r="CH29">
            <v>5.5422019999999987</v>
          </cell>
          <cell r="CI29">
            <v>5.5422019999999987</v>
          </cell>
          <cell r="CJ29">
            <v>5.5422019999999987</v>
          </cell>
          <cell r="CK29">
            <v>5.5422019999999987</v>
          </cell>
          <cell r="CL29">
            <v>5.5422019999999987</v>
          </cell>
          <cell r="CM29">
            <v>5.5422019999999987</v>
          </cell>
          <cell r="CN29">
            <v>5.5422019999999987</v>
          </cell>
          <cell r="CO29">
            <v>5.5422019999999987</v>
          </cell>
          <cell r="CP29">
            <v>5.5422019999999987</v>
          </cell>
          <cell r="CQ29">
            <v>5.5422019999999987</v>
          </cell>
          <cell r="CR29">
            <v>5.5422019999999987</v>
          </cell>
          <cell r="CS29">
            <v>5.5422019999999987</v>
          </cell>
          <cell r="CT29">
            <v>5.5422019999999987</v>
          </cell>
          <cell r="CU29">
            <v>5.5422019999999987</v>
          </cell>
          <cell r="CV29">
            <v>5.5422019999999987</v>
          </cell>
          <cell r="CW29">
            <v>5.5422019999999987</v>
          </cell>
          <cell r="CX29">
            <v>5.5422019999999987</v>
          </cell>
          <cell r="CY29">
            <v>5.5422019999999987</v>
          </cell>
          <cell r="CZ29">
            <v>5.5422019999999987</v>
          </cell>
          <cell r="DA29">
            <v>5.5422019999999987</v>
          </cell>
          <cell r="DB29">
            <v>5.5422019999999987</v>
          </cell>
          <cell r="DC29">
            <v>5.5422019999999987</v>
          </cell>
          <cell r="DD29">
            <v>5.5422019999999987</v>
          </cell>
          <cell r="DE29">
            <v>5.5422019999999987</v>
          </cell>
          <cell r="DF29">
            <v>5.5422019999999987</v>
          </cell>
          <cell r="DG29">
            <v>5.5422019999999987</v>
          </cell>
          <cell r="DH29">
            <v>5.5422019999999987</v>
          </cell>
          <cell r="DI29">
            <v>5.5422019999999987</v>
          </cell>
          <cell r="DJ29">
            <v>5.5422019999999987</v>
          </cell>
          <cell r="DK29">
            <v>5.5422019999999987</v>
          </cell>
          <cell r="DL29">
            <v>5.5422019999999987</v>
          </cell>
          <cell r="DM29">
            <v>5.5422019999999987</v>
          </cell>
          <cell r="DN29">
            <v>5.5422019999999987</v>
          </cell>
          <cell r="DO29">
            <v>5.5422019999999987</v>
          </cell>
          <cell r="DP29">
            <v>5.5422019999999987</v>
          </cell>
          <cell r="DQ29">
            <v>5.5422019999999987</v>
          </cell>
          <cell r="DR29">
            <v>5.5422019999999987</v>
          </cell>
          <cell r="DS29">
            <v>5.5422019999999987</v>
          </cell>
          <cell r="DT29">
            <v>5.5422019999999987</v>
          </cell>
          <cell r="DU29">
            <v>5.5422019999999987</v>
          </cell>
          <cell r="DV29">
            <v>5.5422019999999987</v>
          </cell>
          <cell r="DW29">
            <v>5.5422019999999987</v>
          </cell>
          <cell r="DX29">
            <v>5.5422019999999987</v>
          </cell>
          <cell r="DY29">
            <v>5.5422019999999987</v>
          </cell>
          <cell r="DZ29">
            <v>5.5422019999999987</v>
          </cell>
          <cell r="EA29">
            <v>5.5422019999999987</v>
          </cell>
          <cell r="EB29">
            <v>5.5422019999999987</v>
          </cell>
          <cell r="EC29">
            <v>5.5422019999999987</v>
          </cell>
          <cell r="ED29">
            <v>5.5422019999999987</v>
          </cell>
          <cell r="EE29">
            <v>5.5422019999999987</v>
          </cell>
          <cell r="EF29">
            <v>5.5422019999999987</v>
          </cell>
          <cell r="EG29">
            <v>5.5422019999999987</v>
          </cell>
          <cell r="EH29">
            <v>5.5422019999999987</v>
          </cell>
          <cell r="EI29">
            <v>5.5422019999999987</v>
          </cell>
          <cell r="EJ29">
            <v>5.5422019999999987</v>
          </cell>
          <cell r="EK29">
            <v>5.5422019999999987</v>
          </cell>
          <cell r="EL29">
            <v>5.5422019999999987</v>
          </cell>
          <cell r="EM29">
            <v>5.5422019999999987</v>
          </cell>
          <cell r="EN29">
            <v>5.5422019999999987</v>
          </cell>
          <cell r="EO29">
            <v>5.5422019999999987</v>
          </cell>
          <cell r="EP29">
            <v>5.5422019999999987</v>
          </cell>
          <cell r="EQ29">
            <v>5.5422019999999987</v>
          </cell>
          <cell r="ER29">
            <v>5.5422019999999987</v>
          </cell>
          <cell r="ES29">
            <v>5.5422019999999987</v>
          </cell>
          <cell r="ET29">
            <v>5.5422019999999987</v>
          </cell>
          <cell r="EU29">
            <v>5.5422019999999987</v>
          </cell>
          <cell r="EV29">
            <v>5.5422019999999987</v>
          </cell>
          <cell r="EW29">
            <v>5.5422019999999987</v>
          </cell>
          <cell r="EX29">
            <v>5.5422019999999987</v>
          </cell>
          <cell r="EY29">
            <v>5.5422019999999987</v>
          </cell>
          <cell r="EZ29">
            <v>5.5422019999999987</v>
          </cell>
          <cell r="FA29">
            <v>5.5422019999999987</v>
          </cell>
          <cell r="FB29">
            <v>5.5422019999999987</v>
          </cell>
          <cell r="FC29">
            <v>5.5422019999999987</v>
          </cell>
          <cell r="FD29">
            <v>5.5422019999999987</v>
          </cell>
          <cell r="FE29">
            <v>5.5422019999999987</v>
          </cell>
          <cell r="FF29">
            <v>5.5422019999999987</v>
          </cell>
          <cell r="FG29">
            <v>5.5422019999999987</v>
          </cell>
          <cell r="FH29">
            <v>5.5422019999999987</v>
          </cell>
          <cell r="FI29">
            <v>5.5422019999999987</v>
          </cell>
          <cell r="FJ29">
            <v>5.5422019999999987</v>
          </cell>
          <cell r="FK29">
            <v>5.5422019999999987</v>
          </cell>
          <cell r="FL29">
            <v>5.5422019999999987</v>
          </cell>
          <cell r="FM29">
            <v>5.5422019999999987</v>
          </cell>
          <cell r="FN29">
            <v>5.5422019999999987</v>
          </cell>
          <cell r="FO29">
            <v>5.5422019999999987</v>
          </cell>
          <cell r="FP29">
            <v>5.5422019999999987</v>
          </cell>
          <cell r="FQ29">
            <v>5.5422019999999987</v>
          </cell>
          <cell r="FR29">
            <v>5.5422019999999987</v>
          </cell>
          <cell r="FS29">
            <v>5.5422019999999987</v>
          </cell>
          <cell r="FT29">
            <v>5.5422019999999987</v>
          </cell>
          <cell r="FU29">
            <v>5.5422019999999987</v>
          </cell>
          <cell r="FV29">
            <v>5.5422019999999987</v>
          </cell>
          <cell r="FW29">
            <v>5.5422019999999987</v>
          </cell>
          <cell r="FX29">
            <v>5.5422019999999987</v>
          </cell>
          <cell r="FY29">
            <v>5.5422019999999987</v>
          </cell>
          <cell r="FZ29">
            <v>5.5422019999999987</v>
          </cell>
          <cell r="GA29">
            <v>5.5422019999999987</v>
          </cell>
          <cell r="GB29">
            <v>5.5422019999999987</v>
          </cell>
          <cell r="GC29">
            <v>5.5422019999999987</v>
          </cell>
          <cell r="GD29">
            <v>5.5422019999999987</v>
          </cell>
          <cell r="GE29">
            <v>5.5422019999999987</v>
          </cell>
          <cell r="GF29">
            <v>5.5422019999999987</v>
          </cell>
          <cell r="GG29">
            <v>5.5422019999999987</v>
          </cell>
          <cell r="GH29">
            <v>5.5422019999999987</v>
          </cell>
          <cell r="GI29">
            <v>5.5422019999999987</v>
          </cell>
          <cell r="GJ29">
            <v>5.5422019999999987</v>
          </cell>
          <cell r="GK29">
            <v>5.5422019999999987</v>
          </cell>
          <cell r="GL29">
            <v>5.5422019999999987</v>
          </cell>
          <cell r="GM29">
            <v>5.5422019999999987</v>
          </cell>
          <cell r="GN29">
            <v>5.5422019999999987</v>
          </cell>
          <cell r="GO29">
            <v>5.5422019999999987</v>
          </cell>
          <cell r="GP29">
            <v>5.5422019999999987</v>
          </cell>
          <cell r="GQ29">
            <v>5.5422019999999987</v>
          </cell>
          <cell r="GR29">
            <v>5.5422019999999987</v>
          </cell>
          <cell r="GS29">
            <v>5.5422019999999987</v>
          </cell>
          <cell r="GT29">
            <v>5.5422019999999987</v>
          </cell>
          <cell r="GU29">
            <v>5.5422019999999987</v>
          </cell>
          <cell r="GV29">
            <v>5.5422019999999987</v>
          </cell>
          <cell r="GW29">
            <v>5.5422019999999987</v>
          </cell>
          <cell r="GX29">
            <v>5.5422019999999987</v>
          </cell>
          <cell r="GY29">
            <v>5.5422019999999987</v>
          </cell>
          <cell r="GZ29">
            <v>5.5422019999999987</v>
          </cell>
          <cell r="HA29">
            <v>5.5422019999999987</v>
          </cell>
          <cell r="HB29">
            <v>5.5422019999999987</v>
          </cell>
          <cell r="HC29">
            <v>5.5422019999999987</v>
          </cell>
          <cell r="HD29">
            <v>5.5422019999999987</v>
          </cell>
          <cell r="HE29">
            <v>5.5422019999999987</v>
          </cell>
          <cell r="HF29">
            <v>5.5422019999999987</v>
          </cell>
          <cell r="HG29">
            <v>5.5422019999999987</v>
          </cell>
          <cell r="HH29">
            <v>5.5422019999999987</v>
          </cell>
          <cell r="HI29">
            <v>5.5422019999999987</v>
          </cell>
          <cell r="HJ29">
            <v>5.5422019999999987</v>
          </cell>
          <cell r="HK29">
            <v>5.5422019999999987</v>
          </cell>
          <cell r="HL29">
            <v>5.5422019999999987</v>
          </cell>
          <cell r="HM29">
            <v>5.5422019999999987</v>
          </cell>
          <cell r="HN29">
            <v>5.5422019999999987</v>
          </cell>
          <cell r="HO29">
            <v>5.5422019999999987</v>
          </cell>
          <cell r="HP29">
            <v>5.5422019999999987</v>
          </cell>
          <cell r="HQ29">
            <v>5.5422019999999987</v>
          </cell>
          <cell r="HR29">
            <v>5.5422019999999987</v>
          </cell>
          <cell r="HS29">
            <v>5.5422019999999987</v>
          </cell>
          <cell r="HT29">
            <v>5.5422019999999987</v>
          </cell>
          <cell r="HU29">
            <v>5.5422019999999987</v>
          </cell>
          <cell r="HV29">
            <v>5.5422019999999987</v>
          </cell>
          <cell r="HW29">
            <v>5.5422019999999987</v>
          </cell>
          <cell r="HX29">
            <v>5.5422019999999987</v>
          </cell>
          <cell r="HY29">
            <v>5.5422019999999987</v>
          </cell>
          <cell r="HZ29">
            <v>5.5422019999999987</v>
          </cell>
          <cell r="IA29">
            <v>5.5422019999999987</v>
          </cell>
          <cell r="IB29">
            <v>5.5422019999999987</v>
          </cell>
          <cell r="IC29">
            <v>5.5422019999999987</v>
          </cell>
          <cell r="ID29">
            <v>5.5422019999999987</v>
          </cell>
          <cell r="IE29">
            <v>5.5422019999999987</v>
          </cell>
          <cell r="IF29">
            <v>5.5422019999999987</v>
          </cell>
          <cell r="IG29">
            <v>5.5422019999999987</v>
          </cell>
          <cell r="IH29">
            <v>5.5422019999999987</v>
          </cell>
          <cell r="II29">
            <v>5.5422019999999987</v>
          </cell>
          <cell r="IJ29">
            <v>5.5422019999999987</v>
          </cell>
          <cell r="IK29">
            <v>5.5422019999999987</v>
          </cell>
          <cell r="IL29">
            <v>5.5422019999999987</v>
          </cell>
          <cell r="IM29">
            <v>5.5422019999999987</v>
          </cell>
          <cell r="IN29">
            <v>5.5422019999999987</v>
          </cell>
          <cell r="IO29">
            <v>5.5422019999999987</v>
          </cell>
          <cell r="IP29">
            <v>5.5422019999999987</v>
          </cell>
          <cell r="IQ29">
            <v>5.5422019999999987</v>
          </cell>
          <cell r="IR29">
            <v>5.5422019999999987</v>
          </cell>
          <cell r="IS29">
            <v>5.5422019999999987</v>
          </cell>
          <cell r="IT29">
            <v>5.5422019999999987</v>
          </cell>
          <cell r="IU29">
            <v>5.5422019999999987</v>
          </cell>
          <cell r="IV29">
            <v>5.5422019999999987</v>
          </cell>
          <cell r="IW29">
            <v>5.5422019999999987</v>
          </cell>
          <cell r="IX29">
            <v>5.5422019999999987</v>
          </cell>
          <cell r="IY29">
            <v>5.5422019999999987</v>
          </cell>
          <cell r="IZ29">
            <v>5.5422019999999987</v>
          </cell>
          <cell r="JA29">
            <v>5.5422019999999987</v>
          </cell>
        </row>
        <row r="30">
          <cell r="L30">
            <v>0</v>
          </cell>
          <cell r="M30">
            <v>0</v>
          </cell>
          <cell r="N30">
            <v>0</v>
          </cell>
          <cell r="O30">
            <v>1.2959999999999999E-2</v>
          </cell>
          <cell r="P30">
            <v>0.760459</v>
          </cell>
          <cell r="Q30">
            <v>1.552508</v>
          </cell>
          <cell r="R30">
            <v>2.344557</v>
          </cell>
          <cell r="S30">
            <v>3.136606</v>
          </cell>
          <cell r="T30">
            <v>3.928655</v>
          </cell>
          <cell r="U30">
            <v>4.7207039999999996</v>
          </cell>
          <cell r="V30">
            <v>5.512753</v>
          </cell>
          <cell r="W30">
            <v>6.3048020000000005</v>
          </cell>
          <cell r="X30">
            <v>7.0964090000000004</v>
          </cell>
          <cell r="Y30">
            <v>7.8835950000000006</v>
          </cell>
          <cell r="Z30">
            <v>8.666385</v>
          </cell>
          <cell r="AA30">
            <v>9.4448760000000007</v>
          </cell>
          <cell r="AB30">
            <v>10.219041000000001</v>
          </cell>
          <cell r="AC30">
            <v>10.988911000000002</v>
          </cell>
          <cell r="AD30">
            <v>11.684518000000002</v>
          </cell>
          <cell r="AE30">
            <v>11.684518000000002</v>
          </cell>
          <cell r="AF30">
            <v>11.684518000000002</v>
          </cell>
          <cell r="AG30">
            <v>11.684518000000002</v>
          </cell>
          <cell r="AH30">
            <v>11.684518000000002</v>
          </cell>
          <cell r="AI30">
            <v>11.684518000000002</v>
          </cell>
          <cell r="AJ30">
            <v>11.684518000000002</v>
          </cell>
          <cell r="AK30">
            <v>11.684518000000002</v>
          </cell>
          <cell r="AL30">
            <v>11.684518000000002</v>
          </cell>
          <cell r="AM30">
            <v>11.684518000000002</v>
          </cell>
          <cell r="AN30">
            <v>11.684518000000002</v>
          </cell>
          <cell r="AO30">
            <v>11.684518000000002</v>
          </cell>
          <cell r="AP30">
            <v>11.684518000000002</v>
          </cell>
          <cell r="AQ30">
            <v>11.684518000000002</v>
          </cell>
          <cell r="AR30">
            <v>11.684518000000002</v>
          </cell>
          <cell r="AS30">
            <v>11.684518000000002</v>
          </cell>
          <cell r="AT30">
            <v>11.684518000000002</v>
          </cell>
          <cell r="AU30">
            <v>11.684518000000002</v>
          </cell>
          <cell r="AV30">
            <v>11.684518000000002</v>
          </cell>
          <cell r="AW30">
            <v>11.684518000000002</v>
          </cell>
          <cell r="AX30">
            <v>11.684518000000002</v>
          </cell>
          <cell r="AY30">
            <v>11.684518000000002</v>
          </cell>
          <cell r="AZ30">
            <v>11.684518000000002</v>
          </cell>
          <cell r="BA30">
            <v>11.684518000000002</v>
          </cell>
          <cell r="BB30">
            <v>11.684518000000002</v>
          </cell>
          <cell r="BC30">
            <v>11.684518000000002</v>
          </cell>
          <cell r="BD30">
            <v>11.684518000000002</v>
          </cell>
          <cell r="BE30">
            <v>11.684518000000002</v>
          </cell>
          <cell r="BF30">
            <v>11.684518000000002</v>
          </cell>
          <cell r="BG30">
            <v>11.684518000000002</v>
          </cell>
          <cell r="BH30">
            <v>11.684518000000002</v>
          </cell>
          <cell r="BI30">
            <v>11.684518000000002</v>
          </cell>
          <cell r="BJ30">
            <v>11.684518000000002</v>
          </cell>
          <cell r="BK30">
            <v>11.684518000000002</v>
          </cell>
          <cell r="BL30">
            <v>11.684518000000002</v>
          </cell>
          <cell r="BM30">
            <v>11.684518000000002</v>
          </cell>
          <cell r="BN30">
            <v>11.684518000000002</v>
          </cell>
          <cell r="BO30">
            <v>11.684518000000002</v>
          </cell>
          <cell r="BP30">
            <v>11.684518000000002</v>
          </cell>
          <cell r="BQ30">
            <v>11.684518000000002</v>
          </cell>
          <cell r="BR30">
            <v>11.684518000000002</v>
          </cell>
          <cell r="BS30">
            <v>11.684518000000002</v>
          </cell>
          <cell r="BT30">
            <v>11.684518000000002</v>
          </cell>
          <cell r="BU30">
            <v>11.684518000000002</v>
          </cell>
          <cell r="BV30">
            <v>11.684518000000002</v>
          </cell>
          <cell r="BW30">
            <v>11.684518000000002</v>
          </cell>
          <cell r="BX30">
            <v>11.684518000000002</v>
          </cell>
          <cell r="BY30">
            <v>11.684518000000002</v>
          </cell>
          <cell r="BZ30">
            <v>11.684518000000002</v>
          </cell>
          <cell r="CA30">
            <v>11.684518000000002</v>
          </cell>
          <cell r="CB30">
            <v>11.684518000000002</v>
          </cell>
          <cell r="CC30">
            <v>11.684518000000002</v>
          </cell>
          <cell r="CD30">
            <v>11.684518000000002</v>
          </cell>
          <cell r="CE30">
            <v>11.684518000000002</v>
          </cell>
          <cell r="CF30">
            <v>11.684518000000002</v>
          </cell>
          <cell r="CG30">
            <v>11.684518000000002</v>
          </cell>
          <cell r="CH30">
            <v>11.684518000000002</v>
          </cell>
          <cell r="CI30">
            <v>11.684518000000002</v>
          </cell>
          <cell r="CJ30">
            <v>11.684518000000002</v>
          </cell>
          <cell r="CK30">
            <v>11.684518000000002</v>
          </cell>
          <cell r="CL30">
            <v>11.684518000000002</v>
          </cell>
          <cell r="CM30">
            <v>11.684518000000002</v>
          </cell>
          <cell r="CN30">
            <v>11.684518000000002</v>
          </cell>
          <cell r="CO30">
            <v>11.684518000000002</v>
          </cell>
          <cell r="CP30">
            <v>11.684518000000002</v>
          </cell>
          <cell r="CQ30">
            <v>11.684518000000002</v>
          </cell>
          <cell r="CR30">
            <v>11.684518000000002</v>
          </cell>
          <cell r="CS30">
            <v>11.684518000000002</v>
          </cell>
          <cell r="CT30">
            <v>11.684518000000002</v>
          </cell>
          <cell r="CU30">
            <v>11.684518000000002</v>
          </cell>
          <cell r="CV30">
            <v>11.684518000000002</v>
          </cell>
          <cell r="CW30">
            <v>11.684518000000002</v>
          </cell>
          <cell r="CX30">
            <v>11.684518000000002</v>
          </cell>
          <cell r="CY30">
            <v>11.684518000000002</v>
          </cell>
          <cell r="CZ30">
            <v>11.684518000000002</v>
          </cell>
          <cell r="DA30">
            <v>11.684518000000002</v>
          </cell>
          <cell r="DB30">
            <v>11.684518000000002</v>
          </cell>
          <cell r="DC30">
            <v>11.684518000000002</v>
          </cell>
          <cell r="DD30">
            <v>11.684518000000002</v>
          </cell>
          <cell r="DE30">
            <v>11.684518000000002</v>
          </cell>
          <cell r="DF30">
            <v>11.684518000000002</v>
          </cell>
          <cell r="DG30">
            <v>11.684518000000002</v>
          </cell>
          <cell r="DH30">
            <v>11.684518000000002</v>
          </cell>
          <cell r="DI30">
            <v>11.684518000000002</v>
          </cell>
          <cell r="DJ30">
            <v>11.684518000000002</v>
          </cell>
          <cell r="DK30">
            <v>11.684518000000002</v>
          </cell>
          <cell r="DL30">
            <v>11.684518000000002</v>
          </cell>
          <cell r="DM30">
            <v>11.684518000000002</v>
          </cell>
          <cell r="DN30">
            <v>11.684518000000002</v>
          </cell>
          <cell r="DO30">
            <v>11.684518000000002</v>
          </cell>
          <cell r="DP30">
            <v>11.684518000000002</v>
          </cell>
          <cell r="DQ30">
            <v>11.684518000000002</v>
          </cell>
          <cell r="DR30">
            <v>11.684518000000002</v>
          </cell>
          <cell r="DS30">
            <v>11.684518000000002</v>
          </cell>
          <cell r="DT30">
            <v>11.684518000000002</v>
          </cell>
          <cell r="DU30">
            <v>11.684518000000002</v>
          </cell>
          <cell r="DV30">
            <v>11.684518000000002</v>
          </cell>
          <cell r="DW30">
            <v>11.684518000000002</v>
          </cell>
          <cell r="DX30">
            <v>11.684518000000002</v>
          </cell>
          <cell r="DY30">
            <v>11.684518000000002</v>
          </cell>
          <cell r="DZ30">
            <v>11.684518000000002</v>
          </cell>
          <cell r="EA30">
            <v>11.684518000000002</v>
          </cell>
          <cell r="EB30">
            <v>11.684518000000002</v>
          </cell>
          <cell r="EC30">
            <v>11.684518000000002</v>
          </cell>
          <cell r="ED30">
            <v>11.684518000000002</v>
          </cell>
          <cell r="EE30">
            <v>11.684518000000002</v>
          </cell>
          <cell r="EF30">
            <v>11.684518000000002</v>
          </cell>
          <cell r="EG30">
            <v>11.684518000000002</v>
          </cell>
          <cell r="EH30">
            <v>11.684518000000002</v>
          </cell>
          <cell r="EI30">
            <v>11.684518000000002</v>
          </cell>
          <cell r="EJ30">
            <v>11.684518000000002</v>
          </cell>
          <cell r="EK30">
            <v>11.684518000000002</v>
          </cell>
          <cell r="EL30">
            <v>11.684518000000002</v>
          </cell>
          <cell r="EM30">
            <v>11.684518000000002</v>
          </cell>
          <cell r="EN30">
            <v>11.684518000000002</v>
          </cell>
          <cell r="EO30">
            <v>11.684518000000002</v>
          </cell>
          <cell r="EP30">
            <v>11.684518000000002</v>
          </cell>
          <cell r="EQ30">
            <v>11.684518000000002</v>
          </cell>
          <cell r="ER30">
            <v>11.684518000000002</v>
          </cell>
          <cell r="ES30">
            <v>11.684518000000002</v>
          </cell>
          <cell r="ET30">
            <v>11.684518000000002</v>
          </cell>
          <cell r="EU30">
            <v>11.684518000000002</v>
          </cell>
          <cell r="EV30">
            <v>11.684518000000002</v>
          </cell>
          <cell r="EW30">
            <v>11.684518000000002</v>
          </cell>
          <cell r="EX30">
            <v>11.684518000000002</v>
          </cell>
          <cell r="EY30">
            <v>11.684518000000002</v>
          </cell>
          <cell r="EZ30">
            <v>11.684518000000002</v>
          </cell>
          <cell r="FA30">
            <v>11.684518000000002</v>
          </cell>
          <cell r="FB30">
            <v>11.684518000000002</v>
          </cell>
          <cell r="FC30">
            <v>11.684518000000002</v>
          </cell>
          <cell r="FD30">
            <v>11.684518000000002</v>
          </cell>
          <cell r="FE30">
            <v>11.684518000000002</v>
          </cell>
          <cell r="FF30">
            <v>11.684518000000002</v>
          </cell>
          <cell r="FG30">
            <v>11.684518000000002</v>
          </cell>
          <cell r="FH30">
            <v>11.684518000000002</v>
          </cell>
          <cell r="FI30">
            <v>11.684518000000002</v>
          </cell>
          <cell r="FJ30">
            <v>11.684518000000002</v>
          </cell>
          <cell r="FK30">
            <v>11.684518000000002</v>
          </cell>
          <cell r="FL30">
            <v>11.684518000000002</v>
          </cell>
          <cell r="FM30">
            <v>11.684518000000002</v>
          </cell>
          <cell r="FN30">
            <v>11.684518000000002</v>
          </cell>
          <cell r="FO30">
            <v>11.684518000000002</v>
          </cell>
          <cell r="FP30">
            <v>11.684518000000002</v>
          </cell>
          <cell r="FQ30">
            <v>11.684518000000002</v>
          </cell>
          <cell r="FR30">
            <v>11.684518000000002</v>
          </cell>
          <cell r="FS30">
            <v>11.684518000000002</v>
          </cell>
          <cell r="FT30">
            <v>11.684518000000002</v>
          </cell>
          <cell r="FU30">
            <v>11.684518000000002</v>
          </cell>
          <cell r="FV30">
            <v>11.684518000000002</v>
          </cell>
          <cell r="FW30">
            <v>11.684518000000002</v>
          </cell>
          <cell r="FX30">
            <v>11.684518000000002</v>
          </cell>
          <cell r="FY30">
            <v>11.684518000000002</v>
          </cell>
          <cell r="FZ30">
            <v>11.684518000000002</v>
          </cell>
          <cell r="GA30">
            <v>11.684518000000002</v>
          </cell>
          <cell r="GB30">
            <v>11.684518000000002</v>
          </cell>
          <cell r="GC30">
            <v>11.684518000000002</v>
          </cell>
          <cell r="GD30">
            <v>11.684518000000002</v>
          </cell>
          <cell r="GE30">
            <v>11.684518000000002</v>
          </cell>
          <cell r="GF30">
            <v>11.684518000000002</v>
          </cell>
          <cell r="GG30">
            <v>11.684518000000002</v>
          </cell>
          <cell r="GH30">
            <v>11.684518000000002</v>
          </cell>
          <cell r="GI30">
            <v>11.684518000000002</v>
          </cell>
          <cell r="GJ30">
            <v>11.684518000000002</v>
          </cell>
          <cell r="GK30">
            <v>11.684518000000002</v>
          </cell>
          <cell r="GL30">
            <v>11.684518000000002</v>
          </cell>
          <cell r="GM30">
            <v>11.684518000000002</v>
          </cell>
          <cell r="GN30">
            <v>11.684518000000002</v>
          </cell>
          <cell r="GO30">
            <v>11.684518000000002</v>
          </cell>
          <cell r="GP30">
            <v>11.684518000000002</v>
          </cell>
          <cell r="GQ30">
            <v>11.684518000000002</v>
          </cell>
          <cell r="GR30">
            <v>11.684518000000002</v>
          </cell>
          <cell r="GS30">
            <v>11.684518000000002</v>
          </cell>
          <cell r="GT30">
            <v>11.684518000000002</v>
          </cell>
          <cell r="GU30">
            <v>11.684518000000002</v>
          </cell>
          <cell r="GV30">
            <v>11.684518000000002</v>
          </cell>
          <cell r="GW30">
            <v>11.684518000000002</v>
          </cell>
          <cell r="GX30">
            <v>11.684518000000002</v>
          </cell>
          <cell r="GY30">
            <v>11.684518000000002</v>
          </cell>
          <cell r="GZ30">
            <v>11.684518000000002</v>
          </cell>
          <cell r="HA30">
            <v>11.684518000000002</v>
          </cell>
          <cell r="HB30">
            <v>11.684518000000002</v>
          </cell>
          <cell r="HC30">
            <v>11.684518000000002</v>
          </cell>
          <cell r="HD30">
            <v>11.684518000000002</v>
          </cell>
          <cell r="HE30">
            <v>11.684518000000002</v>
          </cell>
          <cell r="HF30">
            <v>11.684518000000002</v>
          </cell>
          <cell r="HG30">
            <v>11.684518000000002</v>
          </cell>
          <cell r="HH30">
            <v>11.684518000000002</v>
          </cell>
          <cell r="HI30">
            <v>11.684518000000002</v>
          </cell>
          <cell r="HJ30">
            <v>11.684518000000002</v>
          </cell>
          <cell r="HK30">
            <v>11.684518000000002</v>
          </cell>
          <cell r="HL30">
            <v>11.684518000000002</v>
          </cell>
          <cell r="HM30">
            <v>11.684518000000002</v>
          </cell>
          <cell r="HN30">
            <v>11.684518000000002</v>
          </cell>
          <cell r="HO30">
            <v>11.684518000000002</v>
          </cell>
          <cell r="HP30">
            <v>11.684518000000002</v>
          </cell>
          <cell r="HQ30">
            <v>11.684518000000002</v>
          </cell>
          <cell r="HR30">
            <v>11.684518000000002</v>
          </cell>
          <cell r="HS30">
            <v>11.684518000000002</v>
          </cell>
          <cell r="HT30">
            <v>11.684518000000002</v>
          </cell>
          <cell r="HU30">
            <v>11.684518000000002</v>
          </cell>
          <cell r="HV30">
            <v>11.684518000000002</v>
          </cell>
          <cell r="HW30">
            <v>11.684518000000002</v>
          </cell>
          <cell r="HX30">
            <v>11.684518000000002</v>
          </cell>
          <cell r="HY30">
            <v>11.684518000000002</v>
          </cell>
          <cell r="HZ30">
            <v>11.684518000000002</v>
          </cell>
          <cell r="IA30">
            <v>11.684518000000002</v>
          </cell>
          <cell r="IB30">
            <v>11.684518000000002</v>
          </cell>
          <cell r="IC30">
            <v>11.684518000000002</v>
          </cell>
          <cell r="ID30">
            <v>11.684518000000002</v>
          </cell>
          <cell r="IE30">
            <v>11.684518000000002</v>
          </cell>
          <cell r="IF30">
            <v>11.684518000000002</v>
          </cell>
          <cell r="IG30">
            <v>11.684518000000002</v>
          </cell>
          <cell r="IH30">
            <v>11.684518000000002</v>
          </cell>
          <cell r="II30">
            <v>11.684518000000002</v>
          </cell>
          <cell r="IJ30">
            <v>11.684518000000002</v>
          </cell>
          <cell r="IK30">
            <v>11.684518000000002</v>
          </cell>
          <cell r="IL30">
            <v>11.684518000000002</v>
          </cell>
          <cell r="IM30">
            <v>11.684518000000002</v>
          </cell>
          <cell r="IN30">
            <v>11.684518000000002</v>
          </cell>
          <cell r="IO30">
            <v>11.684518000000002</v>
          </cell>
          <cell r="IP30">
            <v>11.684518000000002</v>
          </cell>
          <cell r="IQ30">
            <v>11.684518000000002</v>
          </cell>
          <cell r="IR30">
            <v>11.684518000000002</v>
          </cell>
          <cell r="IS30">
            <v>11.684518000000002</v>
          </cell>
          <cell r="IT30">
            <v>11.684518000000002</v>
          </cell>
          <cell r="IU30">
            <v>11.684518000000002</v>
          </cell>
          <cell r="IV30">
            <v>11.684518000000002</v>
          </cell>
          <cell r="IW30">
            <v>11.684518000000002</v>
          </cell>
          <cell r="IX30">
            <v>11.684518000000002</v>
          </cell>
          <cell r="IY30">
            <v>11.684518000000002</v>
          </cell>
          <cell r="IZ30">
            <v>11.684518000000002</v>
          </cell>
          <cell r="JA30">
            <v>11.684518000000002</v>
          </cell>
        </row>
        <row r="31">
          <cell r="L31">
            <v>0</v>
          </cell>
          <cell r="M31">
            <v>0</v>
          </cell>
          <cell r="N31">
            <v>0</v>
          </cell>
          <cell r="O31">
            <v>4.9841999999999997E-2</v>
          </cell>
          <cell r="P31">
            <v>2.9246590000000001</v>
          </cell>
          <cell r="Q31">
            <v>5.9708179999999995</v>
          </cell>
          <cell r="R31">
            <v>9.0169770000000007</v>
          </cell>
          <cell r="S31">
            <v>12.063136000000002</v>
          </cell>
          <cell r="T31">
            <v>15.109294999999999</v>
          </cell>
          <cell r="U31">
            <v>18.155453999999999</v>
          </cell>
          <cell r="V31">
            <v>21.201612999999998</v>
          </cell>
          <cell r="W31">
            <v>24.247771999999998</v>
          </cell>
          <cell r="X31">
            <v>27.292228999999999</v>
          </cell>
          <cell r="Y31">
            <v>30.319682999999998</v>
          </cell>
          <cell r="Z31">
            <v>33.330230999999998</v>
          </cell>
          <cell r="AA31">
            <v>36.324245999999995</v>
          </cell>
          <cell r="AB31">
            <v>39.301622999999992</v>
          </cell>
          <cell r="AC31">
            <v>42.262482999999996</v>
          </cell>
          <cell r="AD31">
            <v>44.937729999999995</v>
          </cell>
          <cell r="AE31">
            <v>44.937729999999995</v>
          </cell>
          <cell r="AF31">
            <v>44.937729999999995</v>
          </cell>
          <cell r="AG31">
            <v>44.937729999999995</v>
          </cell>
          <cell r="AH31">
            <v>44.937729999999995</v>
          </cell>
          <cell r="AI31">
            <v>44.937729999999995</v>
          </cell>
          <cell r="AJ31">
            <v>44.937729999999995</v>
          </cell>
          <cell r="AK31">
            <v>44.937729999999995</v>
          </cell>
          <cell r="AL31">
            <v>44.937729999999995</v>
          </cell>
          <cell r="AM31">
            <v>44.937729999999995</v>
          </cell>
          <cell r="AN31">
            <v>44.937729999999995</v>
          </cell>
          <cell r="AO31">
            <v>44.937729999999995</v>
          </cell>
          <cell r="AP31">
            <v>44.937729999999995</v>
          </cell>
          <cell r="AQ31">
            <v>44.937729999999995</v>
          </cell>
          <cell r="AR31">
            <v>44.937729999999995</v>
          </cell>
          <cell r="AS31">
            <v>44.937729999999995</v>
          </cell>
          <cell r="AT31">
            <v>44.937729999999995</v>
          </cell>
          <cell r="AU31">
            <v>44.937729999999995</v>
          </cell>
          <cell r="AV31">
            <v>44.937729999999995</v>
          </cell>
          <cell r="AW31">
            <v>44.937729999999995</v>
          </cell>
          <cell r="AX31">
            <v>44.937729999999995</v>
          </cell>
          <cell r="AY31">
            <v>44.937729999999995</v>
          </cell>
          <cell r="AZ31">
            <v>44.937729999999995</v>
          </cell>
          <cell r="BA31">
            <v>44.937729999999995</v>
          </cell>
          <cell r="BB31">
            <v>44.937729999999995</v>
          </cell>
          <cell r="BC31">
            <v>44.937729999999995</v>
          </cell>
          <cell r="BD31">
            <v>44.937729999999995</v>
          </cell>
          <cell r="BE31">
            <v>44.937729999999995</v>
          </cell>
          <cell r="BF31">
            <v>44.937729999999995</v>
          </cell>
          <cell r="BG31">
            <v>44.937729999999995</v>
          </cell>
          <cell r="BH31">
            <v>44.937729999999995</v>
          </cell>
          <cell r="BI31">
            <v>44.937729999999995</v>
          </cell>
          <cell r="BJ31">
            <v>44.937729999999995</v>
          </cell>
          <cell r="BK31">
            <v>44.937729999999995</v>
          </cell>
          <cell r="BL31">
            <v>44.937729999999995</v>
          </cell>
          <cell r="BM31">
            <v>44.937729999999995</v>
          </cell>
          <cell r="BN31">
            <v>44.937729999999995</v>
          </cell>
          <cell r="BO31">
            <v>44.937729999999995</v>
          </cell>
          <cell r="BP31">
            <v>44.937729999999995</v>
          </cell>
          <cell r="BQ31">
            <v>44.937729999999995</v>
          </cell>
          <cell r="BR31">
            <v>44.937729999999995</v>
          </cell>
          <cell r="BS31">
            <v>44.937729999999995</v>
          </cell>
          <cell r="BT31">
            <v>44.937729999999995</v>
          </cell>
          <cell r="BU31">
            <v>44.937729999999995</v>
          </cell>
          <cell r="BV31">
            <v>44.937729999999995</v>
          </cell>
          <cell r="BW31">
            <v>44.937729999999995</v>
          </cell>
          <cell r="BX31">
            <v>44.937729999999995</v>
          </cell>
          <cell r="BY31">
            <v>44.937729999999995</v>
          </cell>
          <cell r="BZ31">
            <v>44.937729999999995</v>
          </cell>
          <cell r="CA31">
            <v>44.937729999999995</v>
          </cell>
          <cell r="CB31">
            <v>44.937729999999995</v>
          </cell>
          <cell r="CC31">
            <v>44.937729999999995</v>
          </cell>
          <cell r="CD31">
            <v>44.937729999999995</v>
          </cell>
          <cell r="CE31">
            <v>44.937729999999995</v>
          </cell>
          <cell r="CF31">
            <v>44.937729999999995</v>
          </cell>
          <cell r="CG31">
            <v>44.937729999999995</v>
          </cell>
          <cell r="CH31">
            <v>44.937729999999995</v>
          </cell>
          <cell r="CI31">
            <v>44.937729999999995</v>
          </cell>
          <cell r="CJ31">
            <v>44.937729999999995</v>
          </cell>
          <cell r="CK31">
            <v>44.937729999999995</v>
          </cell>
          <cell r="CL31">
            <v>44.937729999999995</v>
          </cell>
          <cell r="CM31">
            <v>44.937729999999995</v>
          </cell>
          <cell r="CN31">
            <v>44.937729999999995</v>
          </cell>
          <cell r="CO31">
            <v>44.937729999999995</v>
          </cell>
          <cell r="CP31">
            <v>44.937729999999995</v>
          </cell>
          <cell r="CQ31">
            <v>44.937729999999995</v>
          </cell>
          <cell r="CR31">
            <v>44.937729999999995</v>
          </cell>
          <cell r="CS31">
            <v>44.937729999999995</v>
          </cell>
          <cell r="CT31">
            <v>44.937729999999995</v>
          </cell>
          <cell r="CU31">
            <v>44.937729999999995</v>
          </cell>
          <cell r="CV31">
            <v>44.937729999999995</v>
          </cell>
          <cell r="CW31">
            <v>44.937729999999995</v>
          </cell>
          <cell r="CX31">
            <v>44.937729999999995</v>
          </cell>
          <cell r="CY31">
            <v>44.937729999999995</v>
          </cell>
          <cell r="CZ31">
            <v>44.937729999999995</v>
          </cell>
          <cell r="DA31">
            <v>44.937729999999995</v>
          </cell>
          <cell r="DB31">
            <v>44.937729999999995</v>
          </cell>
          <cell r="DC31">
            <v>44.937729999999995</v>
          </cell>
          <cell r="DD31">
            <v>44.937729999999995</v>
          </cell>
          <cell r="DE31">
            <v>44.937729999999995</v>
          </cell>
          <cell r="DF31">
            <v>44.937729999999995</v>
          </cell>
          <cell r="DG31">
            <v>44.937729999999995</v>
          </cell>
          <cell r="DH31">
            <v>44.937729999999995</v>
          </cell>
          <cell r="DI31">
            <v>44.937729999999995</v>
          </cell>
          <cell r="DJ31">
            <v>44.937729999999995</v>
          </cell>
          <cell r="DK31">
            <v>44.937729999999995</v>
          </cell>
          <cell r="DL31">
            <v>44.937729999999995</v>
          </cell>
          <cell r="DM31">
            <v>44.937729999999995</v>
          </cell>
          <cell r="DN31">
            <v>44.937729999999995</v>
          </cell>
          <cell r="DO31">
            <v>44.937729999999995</v>
          </cell>
          <cell r="DP31">
            <v>44.937729999999995</v>
          </cell>
          <cell r="DQ31">
            <v>44.937729999999995</v>
          </cell>
          <cell r="DR31">
            <v>44.937729999999995</v>
          </cell>
          <cell r="DS31">
            <v>44.937729999999995</v>
          </cell>
          <cell r="DT31">
            <v>44.937729999999995</v>
          </cell>
          <cell r="DU31">
            <v>44.937729999999995</v>
          </cell>
          <cell r="DV31">
            <v>44.937729999999995</v>
          </cell>
          <cell r="DW31">
            <v>44.937729999999995</v>
          </cell>
          <cell r="DX31">
            <v>44.937729999999995</v>
          </cell>
          <cell r="DY31">
            <v>44.937729999999995</v>
          </cell>
          <cell r="DZ31">
            <v>44.937729999999995</v>
          </cell>
          <cell r="EA31">
            <v>44.937729999999995</v>
          </cell>
          <cell r="EB31">
            <v>44.937729999999995</v>
          </cell>
          <cell r="EC31">
            <v>44.937729999999995</v>
          </cell>
          <cell r="ED31">
            <v>44.937729999999995</v>
          </cell>
          <cell r="EE31">
            <v>44.937729999999995</v>
          </cell>
          <cell r="EF31">
            <v>44.937729999999995</v>
          </cell>
          <cell r="EG31">
            <v>44.937729999999995</v>
          </cell>
          <cell r="EH31">
            <v>44.937729999999995</v>
          </cell>
          <cell r="EI31">
            <v>44.937729999999995</v>
          </cell>
          <cell r="EJ31">
            <v>44.937729999999995</v>
          </cell>
          <cell r="EK31">
            <v>44.937729999999995</v>
          </cell>
          <cell r="EL31">
            <v>44.937729999999995</v>
          </cell>
          <cell r="EM31">
            <v>44.937729999999995</v>
          </cell>
          <cell r="EN31">
            <v>44.937729999999995</v>
          </cell>
          <cell r="EO31">
            <v>44.937729999999995</v>
          </cell>
          <cell r="EP31">
            <v>44.937729999999995</v>
          </cell>
          <cell r="EQ31">
            <v>44.937729999999995</v>
          </cell>
          <cell r="ER31">
            <v>44.937729999999995</v>
          </cell>
          <cell r="ES31">
            <v>44.937729999999995</v>
          </cell>
          <cell r="ET31">
            <v>44.937729999999995</v>
          </cell>
          <cell r="EU31">
            <v>44.937729999999995</v>
          </cell>
          <cell r="EV31">
            <v>44.937729999999995</v>
          </cell>
          <cell r="EW31">
            <v>44.937729999999995</v>
          </cell>
          <cell r="EX31">
            <v>44.937729999999995</v>
          </cell>
          <cell r="EY31">
            <v>44.937729999999995</v>
          </cell>
          <cell r="EZ31">
            <v>44.937729999999995</v>
          </cell>
          <cell r="FA31">
            <v>44.937729999999995</v>
          </cell>
          <cell r="FB31">
            <v>44.937729999999995</v>
          </cell>
          <cell r="FC31">
            <v>44.937729999999995</v>
          </cell>
          <cell r="FD31">
            <v>44.937729999999995</v>
          </cell>
          <cell r="FE31">
            <v>44.937729999999995</v>
          </cell>
          <cell r="FF31">
            <v>44.937729999999995</v>
          </cell>
          <cell r="FG31">
            <v>44.937729999999995</v>
          </cell>
          <cell r="FH31">
            <v>44.937729999999995</v>
          </cell>
          <cell r="FI31">
            <v>44.937729999999995</v>
          </cell>
          <cell r="FJ31">
            <v>44.937729999999995</v>
          </cell>
          <cell r="FK31">
            <v>44.937729999999995</v>
          </cell>
          <cell r="FL31">
            <v>44.937729999999995</v>
          </cell>
          <cell r="FM31">
            <v>44.937729999999995</v>
          </cell>
          <cell r="FN31">
            <v>44.937729999999995</v>
          </cell>
          <cell r="FO31">
            <v>44.937729999999995</v>
          </cell>
          <cell r="FP31">
            <v>44.937729999999995</v>
          </cell>
          <cell r="FQ31">
            <v>44.937729999999995</v>
          </cell>
          <cell r="FR31">
            <v>44.937729999999995</v>
          </cell>
          <cell r="FS31">
            <v>44.937729999999995</v>
          </cell>
          <cell r="FT31">
            <v>44.937729999999995</v>
          </cell>
          <cell r="FU31">
            <v>44.937729999999995</v>
          </cell>
          <cell r="FV31">
            <v>44.937729999999995</v>
          </cell>
          <cell r="FW31">
            <v>44.937729999999995</v>
          </cell>
          <cell r="FX31">
            <v>44.937729999999995</v>
          </cell>
          <cell r="FY31">
            <v>44.937729999999995</v>
          </cell>
          <cell r="FZ31">
            <v>44.937729999999995</v>
          </cell>
          <cell r="GA31">
            <v>44.937729999999995</v>
          </cell>
          <cell r="GB31">
            <v>44.937729999999995</v>
          </cell>
          <cell r="GC31">
            <v>44.937729999999995</v>
          </cell>
          <cell r="GD31">
            <v>44.937729999999995</v>
          </cell>
          <cell r="GE31">
            <v>44.937729999999995</v>
          </cell>
          <cell r="GF31">
            <v>44.937729999999995</v>
          </cell>
          <cell r="GG31">
            <v>44.937729999999995</v>
          </cell>
          <cell r="GH31">
            <v>44.937729999999995</v>
          </cell>
          <cell r="GI31">
            <v>44.937729999999995</v>
          </cell>
          <cell r="GJ31">
            <v>44.937729999999995</v>
          </cell>
          <cell r="GK31">
            <v>44.937729999999995</v>
          </cell>
          <cell r="GL31">
            <v>44.937729999999995</v>
          </cell>
          <cell r="GM31">
            <v>44.937729999999995</v>
          </cell>
          <cell r="GN31">
            <v>44.937729999999995</v>
          </cell>
          <cell r="GO31">
            <v>44.937729999999995</v>
          </cell>
          <cell r="GP31">
            <v>44.937729999999995</v>
          </cell>
          <cell r="GQ31">
            <v>44.937729999999995</v>
          </cell>
          <cell r="GR31">
            <v>44.937729999999995</v>
          </cell>
          <cell r="GS31">
            <v>44.937729999999995</v>
          </cell>
          <cell r="GT31">
            <v>44.937729999999995</v>
          </cell>
          <cell r="GU31">
            <v>44.937729999999995</v>
          </cell>
          <cell r="GV31">
            <v>44.937729999999995</v>
          </cell>
          <cell r="GW31">
            <v>44.937729999999995</v>
          </cell>
          <cell r="GX31">
            <v>44.937729999999995</v>
          </cell>
          <cell r="GY31">
            <v>44.937729999999995</v>
          </cell>
          <cell r="GZ31">
            <v>44.937729999999995</v>
          </cell>
          <cell r="HA31">
            <v>44.937729999999995</v>
          </cell>
          <cell r="HB31">
            <v>44.937729999999995</v>
          </cell>
          <cell r="HC31">
            <v>44.937729999999995</v>
          </cell>
          <cell r="HD31">
            <v>44.937729999999995</v>
          </cell>
          <cell r="HE31">
            <v>44.937729999999995</v>
          </cell>
          <cell r="HF31">
            <v>44.937729999999995</v>
          </cell>
          <cell r="HG31">
            <v>44.937729999999995</v>
          </cell>
          <cell r="HH31">
            <v>44.937729999999995</v>
          </cell>
          <cell r="HI31">
            <v>44.937729999999995</v>
          </cell>
          <cell r="HJ31">
            <v>44.937729999999995</v>
          </cell>
          <cell r="HK31">
            <v>44.937729999999995</v>
          </cell>
          <cell r="HL31">
            <v>44.937729999999995</v>
          </cell>
          <cell r="HM31">
            <v>44.937729999999995</v>
          </cell>
          <cell r="HN31">
            <v>44.937729999999995</v>
          </cell>
          <cell r="HO31">
            <v>44.937729999999995</v>
          </cell>
          <cell r="HP31">
            <v>44.937729999999995</v>
          </cell>
          <cell r="HQ31">
            <v>44.937729999999995</v>
          </cell>
          <cell r="HR31">
            <v>44.937729999999995</v>
          </cell>
          <cell r="HS31">
            <v>44.937729999999995</v>
          </cell>
          <cell r="HT31">
            <v>44.937729999999995</v>
          </cell>
          <cell r="HU31">
            <v>44.937729999999995</v>
          </cell>
          <cell r="HV31">
            <v>44.937729999999995</v>
          </cell>
          <cell r="HW31">
            <v>44.937729999999995</v>
          </cell>
          <cell r="HX31">
            <v>44.937729999999995</v>
          </cell>
          <cell r="HY31">
            <v>44.937729999999995</v>
          </cell>
          <cell r="HZ31">
            <v>44.937729999999995</v>
          </cell>
          <cell r="IA31">
            <v>44.937729999999995</v>
          </cell>
          <cell r="IB31">
            <v>44.937729999999995</v>
          </cell>
          <cell r="IC31">
            <v>44.937729999999995</v>
          </cell>
          <cell r="ID31">
            <v>44.937729999999995</v>
          </cell>
          <cell r="IE31">
            <v>44.937729999999995</v>
          </cell>
          <cell r="IF31">
            <v>44.937729999999995</v>
          </cell>
          <cell r="IG31">
            <v>44.937729999999995</v>
          </cell>
          <cell r="IH31">
            <v>44.937729999999995</v>
          </cell>
          <cell r="II31">
            <v>44.937729999999995</v>
          </cell>
          <cell r="IJ31">
            <v>44.937729999999995</v>
          </cell>
          <cell r="IK31">
            <v>44.937729999999995</v>
          </cell>
          <cell r="IL31">
            <v>44.937729999999995</v>
          </cell>
          <cell r="IM31">
            <v>44.937729999999995</v>
          </cell>
          <cell r="IN31">
            <v>44.937729999999995</v>
          </cell>
          <cell r="IO31">
            <v>44.937729999999995</v>
          </cell>
          <cell r="IP31">
            <v>44.937729999999995</v>
          </cell>
          <cell r="IQ31">
            <v>44.937729999999995</v>
          </cell>
          <cell r="IR31">
            <v>44.937729999999995</v>
          </cell>
          <cell r="IS31">
            <v>44.937729999999995</v>
          </cell>
          <cell r="IT31">
            <v>44.937729999999995</v>
          </cell>
          <cell r="IU31">
            <v>44.937729999999995</v>
          </cell>
          <cell r="IV31">
            <v>44.937729999999995</v>
          </cell>
          <cell r="IW31">
            <v>44.937729999999995</v>
          </cell>
          <cell r="IX31">
            <v>44.937729999999995</v>
          </cell>
          <cell r="IY31">
            <v>44.937729999999995</v>
          </cell>
          <cell r="IZ31">
            <v>44.937729999999995</v>
          </cell>
          <cell r="JA31">
            <v>44.937729999999995</v>
          </cell>
        </row>
        <row r="35">
          <cell r="I35">
            <v>0.26001575958554218</v>
          </cell>
        </row>
        <row r="43">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0</v>
          </cell>
          <cell r="GK43">
            <v>0</v>
          </cell>
          <cell r="GL43">
            <v>0</v>
          </cell>
          <cell r="GM43">
            <v>0</v>
          </cell>
          <cell r="GN43">
            <v>0</v>
          </cell>
          <cell r="GO43">
            <v>0</v>
          </cell>
          <cell r="GP43">
            <v>0</v>
          </cell>
          <cell r="GQ43">
            <v>0</v>
          </cell>
          <cell r="GR43">
            <v>0</v>
          </cell>
          <cell r="GS43">
            <v>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cell r="IS43">
            <v>0</v>
          </cell>
          <cell r="IT43">
            <v>0</v>
          </cell>
          <cell r="IU43">
            <v>0</v>
          </cell>
          <cell r="IV43">
            <v>0</v>
          </cell>
          <cell r="IW43">
            <v>0</v>
          </cell>
          <cell r="IX43">
            <v>0</v>
          </cell>
          <cell r="IY43">
            <v>0</v>
          </cell>
          <cell r="IZ43">
            <v>0</v>
          </cell>
          <cell r="JA43">
            <v>0</v>
          </cell>
        </row>
        <row r="57">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cell r="IS57">
            <v>0</v>
          </cell>
          <cell r="IT57">
            <v>0</v>
          </cell>
          <cell r="IU57">
            <v>0</v>
          </cell>
          <cell r="IV57">
            <v>0</v>
          </cell>
          <cell r="IW57">
            <v>0</v>
          </cell>
          <cell r="IX57">
            <v>0</v>
          </cell>
          <cell r="IY57">
            <v>0</v>
          </cell>
          <cell r="IZ57">
            <v>0</v>
          </cell>
          <cell r="JA57">
            <v>0</v>
          </cell>
        </row>
        <row r="58">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L59">
            <v>0</v>
          </cell>
          <cell r="M59">
            <v>0</v>
          </cell>
          <cell r="N59">
            <v>0</v>
          </cell>
          <cell r="O59">
            <v>6.1469999999999997E-3</v>
          </cell>
          <cell r="P59">
            <v>0.35455300000000001</v>
          </cell>
          <cell r="Q59">
            <v>0.37568499999999999</v>
          </cell>
          <cell r="R59">
            <v>0.37568499999999999</v>
          </cell>
          <cell r="S59">
            <v>0.37568499999999999</v>
          </cell>
          <cell r="T59">
            <v>0.37568499999999999</v>
          </cell>
          <cell r="U59">
            <v>0.37568499999999999</v>
          </cell>
          <cell r="V59">
            <v>0.37568499999999999</v>
          </cell>
          <cell r="W59">
            <v>0.37568499999999999</v>
          </cell>
          <cell r="X59">
            <v>0.375475</v>
          </cell>
          <cell r="Y59">
            <v>0.37337799999999999</v>
          </cell>
          <cell r="Z59">
            <v>0.37129299999999998</v>
          </cell>
          <cell r="AA59">
            <v>0.36925400000000003</v>
          </cell>
          <cell r="AB59">
            <v>0.36720199999999997</v>
          </cell>
          <cell r="AC59">
            <v>0.36516500000000002</v>
          </cell>
          <cell r="AD59">
            <v>0.32994000000000001</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72">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0</v>
          </cell>
          <cell r="EO72">
            <v>0</v>
          </cell>
          <cell r="EP72">
            <v>0</v>
          </cell>
          <cell r="EQ72">
            <v>0</v>
          </cell>
          <cell r="ER72">
            <v>0</v>
          </cell>
          <cell r="ES72">
            <v>0</v>
          </cell>
          <cell r="ET72">
            <v>0</v>
          </cell>
          <cell r="EU72">
            <v>0</v>
          </cell>
          <cell r="EV72">
            <v>0</v>
          </cell>
          <cell r="EW72">
            <v>0</v>
          </cell>
          <cell r="EX72">
            <v>0</v>
          </cell>
          <cell r="EY72">
            <v>0</v>
          </cell>
          <cell r="EZ72">
            <v>0</v>
          </cell>
          <cell r="FA72">
            <v>0</v>
          </cell>
          <cell r="FB72">
            <v>0</v>
          </cell>
          <cell r="FC72">
            <v>0</v>
          </cell>
          <cell r="FD72">
            <v>0</v>
          </cell>
          <cell r="FE72">
            <v>0</v>
          </cell>
          <cell r="FF72">
            <v>0</v>
          </cell>
          <cell r="FG72">
            <v>0</v>
          </cell>
          <cell r="FH72">
            <v>0</v>
          </cell>
          <cell r="FI72">
            <v>0</v>
          </cell>
          <cell r="FJ72">
            <v>0</v>
          </cell>
          <cell r="FK72">
            <v>0</v>
          </cell>
          <cell r="FL72">
            <v>0</v>
          </cell>
          <cell r="FM72">
            <v>0</v>
          </cell>
          <cell r="FN72">
            <v>0</v>
          </cell>
          <cell r="FO72">
            <v>0</v>
          </cell>
          <cell r="FP72">
            <v>0</v>
          </cell>
          <cell r="FQ72">
            <v>0</v>
          </cell>
          <cell r="FR72">
            <v>0</v>
          </cell>
          <cell r="FS72">
            <v>0</v>
          </cell>
          <cell r="FT72">
            <v>0</v>
          </cell>
          <cell r="FU72">
            <v>0</v>
          </cell>
          <cell r="FV72">
            <v>0</v>
          </cell>
          <cell r="FW72">
            <v>0</v>
          </cell>
          <cell r="FX72">
            <v>0</v>
          </cell>
          <cell r="FY72">
            <v>0</v>
          </cell>
          <cell r="FZ72">
            <v>0</v>
          </cell>
          <cell r="GA72">
            <v>0</v>
          </cell>
          <cell r="GB72">
            <v>0</v>
          </cell>
          <cell r="GC72">
            <v>0</v>
          </cell>
          <cell r="GD72">
            <v>0</v>
          </cell>
          <cell r="GE72">
            <v>0</v>
          </cell>
          <cell r="GF72">
            <v>0</v>
          </cell>
          <cell r="GG72">
            <v>0</v>
          </cell>
          <cell r="GH72">
            <v>0</v>
          </cell>
          <cell r="GI72">
            <v>0</v>
          </cell>
          <cell r="GJ72">
            <v>0</v>
          </cell>
          <cell r="GK72">
            <v>0</v>
          </cell>
          <cell r="GL72">
            <v>0</v>
          </cell>
          <cell r="GM72">
            <v>0</v>
          </cell>
          <cell r="GN72">
            <v>0</v>
          </cell>
          <cell r="GO72">
            <v>0</v>
          </cell>
          <cell r="GP72">
            <v>0</v>
          </cell>
          <cell r="GQ72">
            <v>0</v>
          </cell>
          <cell r="GR72">
            <v>0</v>
          </cell>
          <cell r="GS72">
            <v>0</v>
          </cell>
          <cell r="GT72">
            <v>0</v>
          </cell>
          <cell r="GU72">
            <v>0</v>
          </cell>
          <cell r="GV72">
            <v>0</v>
          </cell>
          <cell r="GW72">
            <v>0</v>
          </cell>
          <cell r="GX72">
            <v>0</v>
          </cell>
          <cell r="GY72">
            <v>0</v>
          </cell>
          <cell r="GZ72">
            <v>0</v>
          </cell>
          <cell r="HA72">
            <v>0</v>
          </cell>
          <cell r="HB72">
            <v>0</v>
          </cell>
          <cell r="HC72">
            <v>0</v>
          </cell>
          <cell r="HD72">
            <v>0</v>
          </cell>
          <cell r="HE72">
            <v>0</v>
          </cell>
          <cell r="HF72">
            <v>0</v>
          </cell>
          <cell r="HG72">
            <v>0</v>
          </cell>
          <cell r="HH72">
            <v>0</v>
          </cell>
          <cell r="HI72">
            <v>0</v>
          </cell>
          <cell r="HJ72">
            <v>0</v>
          </cell>
          <cell r="HK72">
            <v>0</v>
          </cell>
          <cell r="HL72">
            <v>0</v>
          </cell>
          <cell r="HM72">
            <v>0</v>
          </cell>
          <cell r="HN72">
            <v>0</v>
          </cell>
          <cell r="HO72">
            <v>0</v>
          </cell>
          <cell r="HP72">
            <v>0</v>
          </cell>
          <cell r="HQ72">
            <v>0</v>
          </cell>
          <cell r="HR72">
            <v>0</v>
          </cell>
          <cell r="HS72">
            <v>0</v>
          </cell>
          <cell r="HT72">
            <v>0</v>
          </cell>
          <cell r="HU72">
            <v>0</v>
          </cell>
          <cell r="HV72">
            <v>0</v>
          </cell>
          <cell r="HW72">
            <v>0</v>
          </cell>
          <cell r="HX72">
            <v>0</v>
          </cell>
          <cell r="HY72">
            <v>0</v>
          </cell>
          <cell r="HZ72">
            <v>0</v>
          </cell>
          <cell r="IA72">
            <v>0</v>
          </cell>
          <cell r="IB72">
            <v>0</v>
          </cell>
          <cell r="IC72">
            <v>0</v>
          </cell>
          <cell r="ID72">
            <v>0</v>
          </cell>
          <cell r="IE72">
            <v>0</v>
          </cell>
          <cell r="IF72">
            <v>0</v>
          </cell>
          <cell r="IG72">
            <v>0</v>
          </cell>
          <cell r="IH72">
            <v>0</v>
          </cell>
          <cell r="II72">
            <v>0</v>
          </cell>
          <cell r="IJ72">
            <v>0</v>
          </cell>
          <cell r="IK72">
            <v>0</v>
          </cell>
          <cell r="IL72">
            <v>0</v>
          </cell>
          <cell r="IM72">
            <v>0</v>
          </cell>
          <cell r="IN72">
            <v>0</v>
          </cell>
          <cell r="IO72">
            <v>0</v>
          </cell>
          <cell r="IP72">
            <v>0</v>
          </cell>
          <cell r="IQ72">
            <v>0</v>
          </cell>
          <cell r="IR72">
            <v>0</v>
          </cell>
          <cell r="IS72">
            <v>0</v>
          </cell>
          <cell r="IT72">
            <v>0</v>
          </cell>
          <cell r="IU72">
            <v>0</v>
          </cell>
          <cell r="IV72">
            <v>0</v>
          </cell>
          <cell r="IW72">
            <v>0</v>
          </cell>
          <cell r="IX72">
            <v>0</v>
          </cell>
          <cell r="IY72">
            <v>0</v>
          </cell>
          <cell r="IZ72">
            <v>0</v>
          </cell>
          <cell r="JA72">
            <v>0</v>
          </cell>
        </row>
        <row r="73">
          <cell r="L73">
            <v>0</v>
          </cell>
          <cell r="M73">
            <v>0</v>
          </cell>
          <cell r="N73">
            <v>0</v>
          </cell>
          <cell r="O73">
            <v>1.2959999999999999E-2</v>
          </cell>
          <cell r="P73">
            <v>0.74749900000000002</v>
          </cell>
          <cell r="Q73">
            <v>0.792049</v>
          </cell>
          <cell r="R73">
            <v>0.792049</v>
          </cell>
          <cell r="S73">
            <v>0.792049</v>
          </cell>
          <cell r="T73">
            <v>0.792049</v>
          </cell>
          <cell r="U73">
            <v>0.792049</v>
          </cell>
          <cell r="V73">
            <v>0.792049</v>
          </cell>
          <cell r="W73">
            <v>0.792049</v>
          </cell>
          <cell r="X73">
            <v>0.79160699999999995</v>
          </cell>
          <cell r="Y73">
            <v>0.78718600000000005</v>
          </cell>
          <cell r="Z73">
            <v>0.78278999999999999</v>
          </cell>
          <cell r="AA73">
            <v>0.77849100000000004</v>
          </cell>
          <cell r="AB73">
            <v>0.77416499999999999</v>
          </cell>
          <cell r="AC73">
            <v>0.76987000000000005</v>
          </cell>
          <cell r="AD73">
            <v>0.69560699999999998</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0">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cell r="EQ80">
            <v>0</v>
          </cell>
          <cell r="ER80">
            <v>0</v>
          </cell>
          <cell r="ES80">
            <v>0</v>
          </cell>
          <cell r="ET80">
            <v>0</v>
          </cell>
          <cell r="EU80">
            <v>0</v>
          </cell>
          <cell r="EV80">
            <v>0</v>
          </cell>
          <cell r="EW80">
            <v>0</v>
          </cell>
          <cell r="EX80">
            <v>0</v>
          </cell>
          <cell r="EY80">
            <v>0</v>
          </cell>
          <cell r="EZ80">
            <v>0</v>
          </cell>
          <cell r="FA80">
            <v>0</v>
          </cell>
          <cell r="FB80">
            <v>0</v>
          </cell>
          <cell r="FC80">
            <v>0</v>
          </cell>
          <cell r="FD80">
            <v>0</v>
          </cell>
          <cell r="FE80">
            <v>0</v>
          </cell>
          <cell r="FF80">
            <v>0</v>
          </cell>
          <cell r="FG80">
            <v>0</v>
          </cell>
          <cell r="FH80">
            <v>0</v>
          </cell>
          <cell r="FI80">
            <v>0</v>
          </cell>
          <cell r="FJ80">
            <v>0</v>
          </cell>
          <cell r="FK80">
            <v>0</v>
          </cell>
          <cell r="FL80">
            <v>0</v>
          </cell>
          <cell r="FM80">
            <v>0</v>
          </cell>
          <cell r="FN80">
            <v>0</v>
          </cell>
          <cell r="FO80">
            <v>0</v>
          </cell>
          <cell r="FP80">
            <v>0</v>
          </cell>
          <cell r="FQ80">
            <v>0</v>
          </cell>
          <cell r="FR80">
            <v>0</v>
          </cell>
          <cell r="FS80">
            <v>0</v>
          </cell>
          <cell r="FT80">
            <v>0</v>
          </cell>
          <cell r="FU80">
            <v>0</v>
          </cell>
          <cell r="FV80">
            <v>0</v>
          </cell>
          <cell r="FW80">
            <v>0</v>
          </cell>
          <cell r="FX80">
            <v>0</v>
          </cell>
          <cell r="FY80">
            <v>0</v>
          </cell>
          <cell r="FZ80">
            <v>0</v>
          </cell>
          <cell r="GA80">
            <v>0</v>
          </cell>
          <cell r="GB80">
            <v>0</v>
          </cell>
          <cell r="GC80">
            <v>0</v>
          </cell>
          <cell r="GD80">
            <v>0</v>
          </cell>
          <cell r="GE80">
            <v>0</v>
          </cell>
          <cell r="GF80">
            <v>0</v>
          </cell>
          <cell r="GG80">
            <v>0</v>
          </cell>
          <cell r="GH80">
            <v>0</v>
          </cell>
          <cell r="GI80">
            <v>0</v>
          </cell>
          <cell r="GJ80">
            <v>0</v>
          </cell>
          <cell r="GK80">
            <v>0</v>
          </cell>
          <cell r="GL80">
            <v>0</v>
          </cell>
          <cell r="GM80">
            <v>0</v>
          </cell>
          <cell r="GN80">
            <v>0</v>
          </cell>
          <cell r="GO80">
            <v>0</v>
          </cell>
          <cell r="GP80">
            <v>0</v>
          </cell>
          <cell r="GQ80">
            <v>0</v>
          </cell>
          <cell r="GR80">
            <v>0</v>
          </cell>
          <cell r="GS80">
            <v>0</v>
          </cell>
          <cell r="GT80">
            <v>0</v>
          </cell>
          <cell r="GU80">
            <v>0</v>
          </cell>
          <cell r="GV80">
            <v>0</v>
          </cell>
          <cell r="GW80">
            <v>0</v>
          </cell>
          <cell r="GX80">
            <v>0</v>
          </cell>
          <cell r="GY80">
            <v>0</v>
          </cell>
          <cell r="GZ80">
            <v>0</v>
          </cell>
          <cell r="HA80">
            <v>0</v>
          </cell>
          <cell r="HB80">
            <v>0</v>
          </cell>
          <cell r="HC80">
            <v>0</v>
          </cell>
          <cell r="HD80">
            <v>0</v>
          </cell>
          <cell r="HE80">
            <v>0</v>
          </cell>
          <cell r="HF80">
            <v>0</v>
          </cell>
          <cell r="HG80">
            <v>0</v>
          </cell>
          <cell r="HH80">
            <v>0</v>
          </cell>
          <cell r="HI80">
            <v>0</v>
          </cell>
          <cell r="HJ80">
            <v>0</v>
          </cell>
          <cell r="HK80">
            <v>0</v>
          </cell>
          <cell r="HL80">
            <v>0</v>
          </cell>
          <cell r="HM80">
            <v>0</v>
          </cell>
          <cell r="HN80">
            <v>0</v>
          </cell>
          <cell r="HO80">
            <v>0</v>
          </cell>
          <cell r="HP80">
            <v>0</v>
          </cell>
          <cell r="HQ80">
            <v>0</v>
          </cell>
          <cell r="HR80">
            <v>0</v>
          </cell>
          <cell r="HS80">
            <v>0</v>
          </cell>
          <cell r="HT80">
            <v>0</v>
          </cell>
          <cell r="HU80">
            <v>0</v>
          </cell>
          <cell r="HV80">
            <v>0</v>
          </cell>
          <cell r="HW80">
            <v>0</v>
          </cell>
          <cell r="HX80">
            <v>0</v>
          </cell>
          <cell r="HY80">
            <v>0</v>
          </cell>
          <cell r="HZ80">
            <v>0</v>
          </cell>
          <cell r="IA80">
            <v>0</v>
          </cell>
          <cell r="IB80">
            <v>0</v>
          </cell>
          <cell r="IC80">
            <v>0</v>
          </cell>
          <cell r="ID80">
            <v>0</v>
          </cell>
          <cell r="IE80">
            <v>0</v>
          </cell>
          <cell r="IF80">
            <v>0</v>
          </cell>
          <cell r="IG80">
            <v>0</v>
          </cell>
          <cell r="IH80">
            <v>0</v>
          </cell>
          <cell r="II80">
            <v>0</v>
          </cell>
          <cell r="IJ80">
            <v>0</v>
          </cell>
          <cell r="IK80">
            <v>0</v>
          </cell>
          <cell r="IL80">
            <v>0</v>
          </cell>
          <cell r="IM80">
            <v>0</v>
          </cell>
          <cell r="IN80">
            <v>0</v>
          </cell>
          <cell r="IO80">
            <v>0</v>
          </cell>
          <cell r="IP80">
            <v>0</v>
          </cell>
          <cell r="IQ80">
            <v>0</v>
          </cell>
          <cell r="IR80">
            <v>0</v>
          </cell>
          <cell r="IS80">
            <v>0</v>
          </cell>
          <cell r="IT80">
            <v>0</v>
          </cell>
          <cell r="IU80">
            <v>0</v>
          </cell>
          <cell r="IV80">
            <v>0</v>
          </cell>
          <cell r="IW80">
            <v>0</v>
          </cell>
          <cell r="IX80">
            <v>0</v>
          </cell>
          <cell r="IY80">
            <v>0</v>
          </cell>
          <cell r="IZ80">
            <v>0</v>
          </cell>
          <cell r="JA80">
            <v>0</v>
          </cell>
        </row>
        <row r="81">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cell r="EQ81">
            <v>0</v>
          </cell>
          <cell r="ER81">
            <v>0</v>
          </cell>
          <cell r="ES81">
            <v>0</v>
          </cell>
          <cell r="ET81">
            <v>0</v>
          </cell>
          <cell r="EU81">
            <v>0</v>
          </cell>
          <cell r="EV81">
            <v>0</v>
          </cell>
          <cell r="EW81">
            <v>0</v>
          </cell>
          <cell r="EX81">
            <v>0</v>
          </cell>
          <cell r="EY81">
            <v>0</v>
          </cell>
          <cell r="EZ81">
            <v>0</v>
          </cell>
          <cell r="FA81">
            <v>0</v>
          </cell>
          <cell r="FB81">
            <v>0</v>
          </cell>
          <cell r="FC81">
            <v>0</v>
          </cell>
          <cell r="FD81">
            <v>0</v>
          </cell>
          <cell r="FE81">
            <v>0</v>
          </cell>
          <cell r="FF81">
            <v>0</v>
          </cell>
          <cell r="FG81">
            <v>0</v>
          </cell>
          <cell r="FH81">
            <v>0</v>
          </cell>
          <cell r="FI81">
            <v>0</v>
          </cell>
          <cell r="FJ81">
            <v>0</v>
          </cell>
          <cell r="FK81">
            <v>0</v>
          </cell>
          <cell r="FL81">
            <v>0</v>
          </cell>
          <cell r="FM81">
            <v>0</v>
          </cell>
          <cell r="FN81">
            <v>0</v>
          </cell>
          <cell r="FO81">
            <v>0</v>
          </cell>
          <cell r="FP81">
            <v>0</v>
          </cell>
          <cell r="FQ81">
            <v>0</v>
          </cell>
          <cell r="FR81">
            <v>0</v>
          </cell>
          <cell r="FS81">
            <v>0</v>
          </cell>
          <cell r="FT81">
            <v>0</v>
          </cell>
          <cell r="FU81">
            <v>0</v>
          </cell>
          <cell r="FV81">
            <v>0</v>
          </cell>
          <cell r="FW81">
            <v>0</v>
          </cell>
          <cell r="FX81">
            <v>0</v>
          </cell>
          <cell r="FY81">
            <v>0</v>
          </cell>
          <cell r="FZ81">
            <v>0</v>
          </cell>
          <cell r="GA81">
            <v>0</v>
          </cell>
          <cell r="GB81">
            <v>0</v>
          </cell>
          <cell r="GC81">
            <v>0</v>
          </cell>
          <cell r="GD81">
            <v>0</v>
          </cell>
          <cell r="GE81">
            <v>0</v>
          </cell>
          <cell r="GF81">
            <v>0</v>
          </cell>
          <cell r="GG81">
            <v>0</v>
          </cell>
          <cell r="GH81">
            <v>0</v>
          </cell>
          <cell r="GI81">
            <v>0</v>
          </cell>
          <cell r="GJ81">
            <v>0</v>
          </cell>
          <cell r="GK81">
            <v>0</v>
          </cell>
          <cell r="GL81">
            <v>0</v>
          </cell>
          <cell r="GM81">
            <v>0</v>
          </cell>
          <cell r="GN81">
            <v>0</v>
          </cell>
          <cell r="GO81">
            <v>0</v>
          </cell>
          <cell r="GP81">
            <v>0</v>
          </cell>
          <cell r="GQ81">
            <v>0</v>
          </cell>
          <cell r="GR81">
            <v>0</v>
          </cell>
          <cell r="GS81">
            <v>0</v>
          </cell>
          <cell r="GT81">
            <v>0</v>
          </cell>
          <cell r="GU81">
            <v>0</v>
          </cell>
          <cell r="GV81">
            <v>0</v>
          </cell>
          <cell r="GW81">
            <v>0</v>
          </cell>
          <cell r="GX81">
            <v>0</v>
          </cell>
          <cell r="GY81">
            <v>0</v>
          </cell>
          <cell r="GZ81">
            <v>0</v>
          </cell>
          <cell r="HA81">
            <v>0</v>
          </cell>
          <cell r="HB81">
            <v>0</v>
          </cell>
          <cell r="HC81">
            <v>0</v>
          </cell>
          <cell r="HD81">
            <v>0</v>
          </cell>
          <cell r="HE81">
            <v>0</v>
          </cell>
          <cell r="HF81">
            <v>0</v>
          </cell>
          <cell r="HG81">
            <v>0</v>
          </cell>
          <cell r="HH81">
            <v>0</v>
          </cell>
          <cell r="HI81">
            <v>0</v>
          </cell>
          <cell r="HJ81">
            <v>0</v>
          </cell>
          <cell r="HK81">
            <v>0</v>
          </cell>
          <cell r="HL81">
            <v>0</v>
          </cell>
          <cell r="HM81">
            <v>0</v>
          </cell>
          <cell r="HN81">
            <v>0</v>
          </cell>
          <cell r="HO81">
            <v>0</v>
          </cell>
          <cell r="HP81">
            <v>0</v>
          </cell>
          <cell r="HQ81">
            <v>0</v>
          </cell>
          <cell r="HR81">
            <v>0</v>
          </cell>
          <cell r="HS81">
            <v>0</v>
          </cell>
          <cell r="HT81">
            <v>0</v>
          </cell>
          <cell r="HU81">
            <v>0</v>
          </cell>
          <cell r="HV81">
            <v>0</v>
          </cell>
          <cell r="HW81">
            <v>0</v>
          </cell>
          <cell r="HX81">
            <v>0</v>
          </cell>
          <cell r="HY81">
            <v>0</v>
          </cell>
          <cell r="HZ81">
            <v>0</v>
          </cell>
          <cell r="IA81">
            <v>0</v>
          </cell>
          <cell r="IB81">
            <v>0</v>
          </cell>
          <cell r="IC81">
            <v>0</v>
          </cell>
          <cell r="ID81">
            <v>0</v>
          </cell>
          <cell r="IE81">
            <v>0</v>
          </cell>
          <cell r="IF81">
            <v>0</v>
          </cell>
          <cell r="IG81">
            <v>0</v>
          </cell>
          <cell r="IH81">
            <v>0</v>
          </cell>
          <cell r="II81">
            <v>0</v>
          </cell>
          <cell r="IJ81">
            <v>0</v>
          </cell>
          <cell r="IK81">
            <v>0</v>
          </cell>
          <cell r="IL81">
            <v>0</v>
          </cell>
          <cell r="IM81">
            <v>0</v>
          </cell>
          <cell r="IN81">
            <v>0</v>
          </cell>
          <cell r="IO81">
            <v>0</v>
          </cell>
          <cell r="IP81">
            <v>0</v>
          </cell>
          <cell r="IQ81">
            <v>0</v>
          </cell>
          <cell r="IR81">
            <v>0</v>
          </cell>
          <cell r="IS81">
            <v>0</v>
          </cell>
          <cell r="IT81">
            <v>0</v>
          </cell>
          <cell r="IU81">
            <v>0</v>
          </cell>
          <cell r="IV81">
            <v>0</v>
          </cell>
          <cell r="IW81">
            <v>0</v>
          </cell>
          <cell r="IX81">
            <v>0</v>
          </cell>
          <cell r="IY81">
            <v>0</v>
          </cell>
          <cell r="IZ81">
            <v>0</v>
          </cell>
          <cell r="JA81">
            <v>0</v>
          </cell>
        </row>
        <row r="82">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0</v>
          </cell>
          <cell r="DB82">
            <v>0</v>
          </cell>
          <cell r="DC82">
            <v>0</v>
          </cell>
          <cell r="DD82">
            <v>0</v>
          </cell>
          <cell r="DE82">
            <v>0</v>
          </cell>
          <cell r="DF82">
            <v>0</v>
          </cell>
          <cell r="DG82">
            <v>0</v>
          </cell>
          <cell r="DH82">
            <v>0</v>
          </cell>
          <cell r="DI82">
            <v>0</v>
          </cell>
          <cell r="DJ82">
            <v>0</v>
          </cell>
          <cell r="DK82">
            <v>0</v>
          </cell>
          <cell r="DL82">
            <v>0</v>
          </cell>
          <cell r="DM82">
            <v>0</v>
          </cell>
          <cell r="DN82">
            <v>0</v>
          </cell>
          <cell r="DO82">
            <v>0</v>
          </cell>
          <cell r="DP82">
            <v>0</v>
          </cell>
          <cell r="DQ82">
            <v>0</v>
          </cell>
          <cell r="DR82">
            <v>0</v>
          </cell>
          <cell r="DS82">
            <v>0</v>
          </cell>
          <cell r="DT82">
            <v>0</v>
          </cell>
          <cell r="DU82">
            <v>0</v>
          </cell>
          <cell r="DV82">
            <v>0</v>
          </cell>
          <cell r="DW82">
            <v>0</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cell r="EQ82">
            <v>0</v>
          </cell>
          <cell r="ER82">
            <v>0</v>
          </cell>
          <cell r="ES82">
            <v>0</v>
          </cell>
          <cell r="ET82">
            <v>0</v>
          </cell>
          <cell r="EU82">
            <v>0</v>
          </cell>
          <cell r="EV82">
            <v>0</v>
          </cell>
          <cell r="EW82">
            <v>0</v>
          </cell>
          <cell r="EX82">
            <v>0</v>
          </cell>
          <cell r="EY82">
            <v>0</v>
          </cell>
          <cell r="EZ82">
            <v>0</v>
          </cell>
          <cell r="FA82">
            <v>0</v>
          </cell>
          <cell r="FB82">
            <v>0</v>
          </cell>
          <cell r="FC82">
            <v>0</v>
          </cell>
          <cell r="FD82">
            <v>0</v>
          </cell>
          <cell r="FE82">
            <v>0</v>
          </cell>
          <cell r="FF82">
            <v>0</v>
          </cell>
          <cell r="FG82">
            <v>0</v>
          </cell>
          <cell r="FH82">
            <v>0</v>
          </cell>
          <cell r="FI82">
            <v>0</v>
          </cell>
          <cell r="FJ82">
            <v>0</v>
          </cell>
          <cell r="FK82">
            <v>0</v>
          </cell>
          <cell r="FL82">
            <v>0</v>
          </cell>
          <cell r="FM82">
            <v>0</v>
          </cell>
          <cell r="FN82">
            <v>0</v>
          </cell>
          <cell r="FO82">
            <v>0</v>
          </cell>
          <cell r="FP82">
            <v>0</v>
          </cell>
          <cell r="FQ82">
            <v>0</v>
          </cell>
          <cell r="FR82">
            <v>0</v>
          </cell>
          <cell r="FS82">
            <v>0</v>
          </cell>
          <cell r="FT82">
            <v>0</v>
          </cell>
          <cell r="FU82">
            <v>0</v>
          </cell>
          <cell r="FV82">
            <v>0</v>
          </cell>
          <cell r="FW82">
            <v>0</v>
          </cell>
          <cell r="FX82">
            <v>0</v>
          </cell>
          <cell r="FY82">
            <v>0</v>
          </cell>
          <cell r="FZ82">
            <v>0</v>
          </cell>
          <cell r="GA82">
            <v>0</v>
          </cell>
          <cell r="GB82">
            <v>0</v>
          </cell>
          <cell r="GC82">
            <v>0</v>
          </cell>
          <cell r="GD82">
            <v>0</v>
          </cell>
          <cell r="GE82">
            <v>0</v>
          </cell>
          <cell r="GF82">
            <v>0</v>
          </cell>
          <cell r="GG82">
            <v>0</v>
          </cell>
          <cell r="GH82">
            <v>0</v>
          </cell>
          <cell r="GI82">
            <v>0</v>
          </cell>
          <cell r="GJ82">
            <v>0</v>
          </cell>
          <cell r="GK82">
            <v>0</v>
          </cell>
          <cell r="GL82">
            <v>0</v>
          </cell>
          <cell r="GM82">
            <v>0</v>
          </cell>
          <cell r="GN82">
            <v>0</v>
          </cell>
          <cell r="GO82">
            <v>0</v>
          </cell>
          <cell r="GP82">
            <v>0</v>
          </cell>
          <cell r="GQ82">
            <v>0</v>
          </cell>
          <cell r="GR82">
            <v>0</v>
          </cell>
          <cell r="GS82">
            <v>0</v>
          </cell>
          <cell r="GT82">
            <v>0</v>
          </cell>
          <cell r="GU82">
            <v>0</v>
          </cell>
          <cell r="GV82">
            <v>0</v>
          </cell>
          <cell r="GW82">
            <v>0</v>
          </cell>
          <cell r="GX82">
            <v>0</v>
          </cell>
          <cell r="GY82">
            <v>0</v>
          </cell>
          <cell r="GZ82">
            <v>0</v>
          </cell>
          <cell r="HA82">
            <v>0</v>
          </cell>
          <cell r="HB82">
            <v>0</v>
          </cell>
          <cell r="HC82">
            <v>0</v>
          </cell>
          <cell r="HD82">
            <v>0</v>
          </cell>
          <cell r="HE82">
            <v>0</v>
          </cell>
          <cell r="HF82">
            <v>0</v>
          </cell>
          <cell r="HG82">
            <v>0</v>
          </cell>
          <cell r="HH82">
            <v>0</v>
          </cell>
          <cell r="HI82">
            <v>0</v>
          </cell>
          <cell r="HJ82">
            <v>0</v>
          </cell>
          <cell r="HK82">
            <v>0</v>
          </cell>
          <cell r="HL82">
            <v>0</v>
          </cell>
          <cell r="HM82">
            <v>0</v>
          </cell>
          <cell r="HN82">
            <v>0</v>
          </cell>
          <cell r="HO82">
            <v>0</v>
          </cell>
          <cell r="HP82">
            <v>0</v>
          </cell>
          <cell r="HQ82">
            <v>0</v>
          </cell>
          <cell r="HR82">
            <v>0</v>
          </cell>
          <cell r="HS82">
            <v>0</v>
          </cell>
          <cell r="HT82">
            <v>0</v>
          </cell>
          <cell r="HU82">
            <v>0</v>
          </cell>
          <cell r="HV82">
            <v>0</v>
          </cell>
          <cell r="HW82">
            <v>0</v>
          </cell>
          <cell r="HX82">
            <v>0</v>
          </cell>
          <cell r="HY82">
            <v>0</v>
          </cell>
          <cell r="HZ82">
            <v>0</v>
          </cell>
          <cell r="IA82">
            <v>0</v>
          </cell>
          <cell r="IB82">
            <v>0</v>
          </cell>
          <cell r="IC82">
            <v>0</v>
          </cell>
          <cell r="ID82">
            <v>0</v>
          </cell>
          <cell r="IE82">
            <v>0</v>
          </cell>
          <cell r="IF82">
            <v>0</v>
          </cell>
          <cell r="IG82">
            <v>0</v>
          </cell>
          <cell r="IH82">
            <v>0</v>
          </cell>
          <cell r="II82">
            <v>0</v>
          </cell>
          <cell r="IJ82">
            <v>0</v>
          </cell>
          <cell r="IK82">
            <v>0</v>
          </cell>
          <cell r="IL82">
            <v>0</v>
          </cell>
          <cell r="IM82">
            <v>0</v>
          </cell>
          <cell r="IN82">
            <v>0</v>
          </cell>
          <cell r="IO82">
            <v>0</v>
          </cell>
          <cell r="IP82">
            <v>0</v>
          </cell>
          <cell r="IQ82">
            <v>0</v>
          </cell>
          <cell r="IR82">
            <v>0</v>
          </cell>
          <cell r="IS82">
            <v>0</v>
          </cell>
          <cell r="IT82">
            <v>0</v>
          </cell>
          <cell r="IU82">
            <v>0</v>
          </cell>
          <cell r="IV82">
            <v>0</v>
          </cell>
          <cell r="IW82">
            <v>0</v>
          </cell>
          <cell r="IX82">
            <v>0</v>
          </cell>
          <cell r="IY82">
            <v>0</v>
          </cell>
          <cell r="IZ82">
            <v>0</v>
          </cell>
          <cell r="JA82">
            <v>0</v>
          </cell>
        </row>
        <row r="83">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7">
          <cell r="B87">
            <v>0</v>
          </cell>
        </row>
        <row r="88">
          <cell r="L88">
            <v>71.999730679199985</v>
          </cell>
          <cell r="M88">
            <v>64.776522115199995</v>
          </cell>
          <cell r="N88">
            <v>42.187578969599997</v>
          </cell>
          <cell r="O88">
            <v>71.959321120799999</v>
          </cell>
          <cell r="P88">
            <v>104.71126820399999</v>
          </cell>
          <cell r="Q88">
            <v>77.788399919999989</v>
          </cell>
          <cell r="R88">
            <v>79.34416387744416</v>
          </cell>
          <cell r="S88">
            <v>80.931047235812144</v>
          </cell>
          <cell r="T88">
            <v>82.549673312542311</v>
          </cell>
          <cell r="U88">
            <v>84.200666435311916</v>
          </cell>
          <cell r="V88">
            <v>85.884678208250165</v>
          </cell>
          <cell r="W88">
            <v>87.602373368592708</v>
          </cell>
          <cell r="X88">
            <v>89.354414633097349</v>
          </cell>
          <cell r="Y88">
            <v>91.141508158797109</v>
          </cell>
          <cell r="Z88">
            <v>92.964338887706873</v>
          </cell>
          <cell r="AA88">
            <v>94.823625099727195</v>
          </cell>
          <cell r="AB88">
            <v>96.720098207865121</v>
          </cell>
          <cell r="AC88">
            <v>98.654499727517276</v>
          </cell>
          <cell r="AD88">
            <v>100.62759036862055</v>
          </cell>
          <cell r="AE88">
            <v>101.59986499999999</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89">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cell r="EQ89">
            <v>0</v>
          </cell>
          <cell r="ER89">
            <v>0</v>
          </cell>
          <cell r="ES89">
            <v>0</v>
          </cell>
          <cell r="ET89">
            <v>0</v>
          </cell>
          <cell r="EU89">
            <v>0</v>
          </cell>
          <cell r="EV89">
            <v>0</v>
          </cell>
          <cell r="EW89">
            <v>0</v>
          </cell>
          <cell r="EX89">
            <v>0</v>
          </cell>
          <cell r="EY89">
            <v>0</v>
          </cell>
          <cell r="EZ89">
            <v>0</v>
          </cell>
          <cell r="FA89">
            <v>0</v>
          </cell>
          <cell r="FB89">
            <v>0</v>
          </cell>
          <cell r="FC89">
            <v>0</v>
          </cell>
          <cell r="FD89">
            <v>0</v>
          </cell>
          <cell r="FE89">
            <v>0</v>
          </cell>
          <cell r="FF89">
            <v>0</v>
          </cell>
          <cell r="FG89">
            <v>0</v>
          </cell>
          <cell r="FH89">
            <v>0</v>
          </cell>
          <cell r="FI89">
            <v>0</v>
          </cell>
          <cell r="FJ89">
            <v>0</v>
          </cell>
          <cell r="FK89">
            <v>0</v>
          </cell>
          <cell r="FL89">
            <v>0</v>
          </cell>
          <cell r="FM89">
            <v>0</v>
          </cell>
          <cell r="FN89">
            <v>0</v>
          </cell>
          <cell r="FO89">
            <v>0</v>
          </cell>
          <cell r="FP89">
            <v>0</v>
          </cell>
          <cell r="FQ89">
            <v>0</v>
          </cell>
          <cell r="FR89">
            <v>0</v>
          </cell>
          <cell r="FS89">
            <v>0</v>
          </cell>
          <cell r="FT89">
            <v>0</v>
          </cell>
          <cell r="FU89">
            <v>0</v>
          </cell>
          <cell r="FV89">
            <v>0</v>
          </cell>
          <cell r="FW89">
            <v>0</v>
          </cell>
          <cell r="FX89">
            <v>0</v>
          </cell>
          <cell r="FY89">
            <v>0</v>
          </cell>
          <cell r="FZ89">
            <v>0</v>
          </cell>
          <cell r="GA89">
            <v>0</v>
          </cell>
          <cell r="GB89">
            <v>0</v>
          </cell>
          <cell r="GC89">
            <v>0</v>
          </cell>
          <cell r="GD89">
            <v>0</v>
          </cell>
          <cell r="GE89">
            <v>0</v>
          </cell>
          <cell r="GF89">
            <v>0</v>
          </cell>
          <cell r="GG89">
            <v>0</v>
          </cell>
          <cell r="GH89">
            <v>0</v>
          </cell>
          <cell r="GI89">
            <v>0</v>
          </cell>
          <cell r="GJ89">
            <v>0</v>
          </cell>
          <cell r="GK89">
            <v>0</v>
          </cell>
          <cell r="GL89">
            <v>0</v>
          </cell>
          <cell r="GM89">
            <v>0</v>
          </cell>
          <cell r="GN89">
            <v>0</v>
          </cell>
          <cell r="GO89">
            <v>0</v>
          </cell>
          <cell r="GP89">
            <v>0</v>
          </cell>
          <cell r="GQ89">
            <v>0</v>
          </cell>
          <cell r="GR89">
            <v>0</v>
          </cell>
          <cell r="GS89">
            <v>0</v>
          </cell>
          <cell r="GT89">
            <v>0</v>
          </cell>
          <cell r="GU89">
            <v>0</v>
          </cell>
          <cell r="GV89">
            <v>0</v>
          </cell>
          <cell r="GW89">
            <v>0</v>
          </cell>
          <cell r="GX89">
            <v>0</v>
          </cell>
          <cell r="GY89">
            <v>0</v>
          </cell>
          <cell r="GZ89">
            <v>0</v>
          </cell>
          <cell r="HA89">
            <v>0</v>
          </cell>
          <cell r="HB89">
            <v>0</v>
          </cell>
          <cell r="HC89">
            <v>0</v>
          </cell>
          <cell r="HD89">
            <v>0</v>
          </cell>
          <cell r="HE89">
            <v>0</v>
          </cell>
          <cell r="HF89">
            <v>0</v>
          </cell>
          <cell r="HG89">
            <v>0</v>
          </cell>
          <cell r="HH89">
            <v>0</v>
          </cell>
          <cell r="HI89">
            <v>0</v>
          </cell>
          <cell r="HJ89">
            <v>0</v>
          </cell>
          <cell r="HK89">
            <v>0</v>
          </cell>
          <cell r="HL89">
            <v>0</v>
          </cell>
          <cell r="HM89">
            <v>0</v>
          </cell>
          <cell r="HN89">
            <v>0</v>
          </cell>
          <cell r="HO89">
            <v>0</v>
          </cell>
          <cell r="HP89">
            <v>0</v>
          </cell>
          <cell r="HQ89">
            <v>0</v>
          </cell>
          <cell r="HR89">
            <v>0</v>
          </cell>
          <cell r="HS89">
            <v>0</v>
          </cell>
          <cell r="HT89">
            <v>0</v>
          </cell>
          <cell r="HU89">
            <v>0</v>
          </cell>
          <cell r="HV89">
            <v>0</v>
          </cell>
          <cell r="HW89">
            <v>0</v>
          </cell>
          <cell r="HX89">
            <v>0</v>
          </cell>
          <cell r="HY89">
            <v>0</v>
          </cell>
          <cell r="HZ89">
            <v>0</v>
          </cell>
          <cell r="IA89">
            <v>0</v>
          </cell>
          <cell r="IB89">
            <v>0</v>
          </cell>
          <cell r="IC89">
            <v>0</v>
          </cell>
          <cell r="ID89">
            <v>0</v>
          </cell>
          <cell r="IE89">
            <v>0</v>
          </cell>
          <cell r="IF89">
            <v>0</v>
          </cell>
          <cell r="IG89">
            <v>0</v>
          </cell>
          <cell r="IH89">
            <v>0</v>
          </cell>
          <cell r="II89">
            <v>0</v>
          </cell>
          <cell r="IJ89">
            <v>0</v>
          </cell>
          <cell r="IK89">
            <v>0</v>
          </cell>
          <cell r="IL89">
            <v>0</v>
          </cell>
          <cell r="IM89">
            <v>0</v>
          </cell>
          <cell r="IN89">
            <v>0</v>
          </cell>
          <cell r="IO89">
            <v>0</v>
          </cell>
          <cell r="IP89">
            <v>0</v>
          </cell>
          <cell r="IQ89">
            <v>0</v>
          </cell>
          <cell r="IR89">
            <v>0</v>
          </cell>
          <cell r="IS89">
            <v>0</v>
          </cell>
          <cell r="IT89">
            <v>0</v>
          </cell>
          <cell r="IU89">
            <v>0</v>
          </cell>
          <cell r="IV89">
            <v>0</v>
          </cell>
          <cell r="IW89">
            <v>0</v>
          </cell>
          <cell r="IX89">
            <v>0</v>
          </cell>
          <cell r="IY89">
            <v>0</v>
          </cell>
          <cell r="IZ89">
            <v>0</v>
          </cell>
          <cell r="JA89">
            <v>0</v>
          </cell>
        </row>
        <row r="90">
          <cell r="L90">
            <v>67.706499999999991</v>
          </cell>
          <cell r="M90">
            <v>60.914000000000001</v>
          </cell>
          <cell r="N90">
            <v>39.671999999999997</v>
          </cell>
          <cell r="O90">
            <v>67.668499999999995</v>
          </cell>
          <cell r="P90">
            <v>98.467500000000001</v>
          </cell>
          <cell r="Q90">
            <v>73.149999999999991</v>
          </cell>
          <cell r="R90">
            <v>74.612996199999998</v>
          </cell>
          <cell r="S90">
            <v>76.105256199999985</v>
          </cell>
          <cell r="T90">
            <v>77.627366149999986</v>
          </cell>
          <cell r="U90">
            <v>79.179913150000004</v>
          </cell>
          <cell r="V90">
            <v>80.76350995</v>
          </cell>
          <cell r="W90">
            <v>82.378781649999993</v>
          </cell>
          <cell r="X90">
            <v>84.026351449999993</v>
          </cell>
          <cell r="Y90">
            <v>85.706883399999995</v>
          </cell>
          <cell r="Z90">
            <v>87.421021599999989</v>
          </cell>
          <cell r="AA90">
            <v>89.169441500000005</v>
          </cell>
          <cell r="AB90">
            <v>90.952830899999995</v>
          </cell>
          <cell r="AC90">
            <v>92.771887100000001</v>
          </cell>
          <cell r="AD90">
            <v>94.627325449999987</v>
          </cell>
          <cell r="AE90">
            <v>96.519871749999993</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cell r="EQ90">
            <v>0</v>
          </cell>
          <cell r="ER90">
            <v>0</v>
          </cell>
          <cell r="ES90">
            <v>0</v>
          </cell>
          <cell r="ET90">
            <v>0</v>
          </cell>
          <cell r="EU90">
            <v>0</v>
          </cell>
          <cell r="EV90">
            <v>0</v>
          </cell>
          <cell r="EW90">
            <v>0</v>
          </cell>
          <cell r="EX90">
            <v>0</v>
          </cell>
          <cell r="EY90">
            <v>0</v>
          </cell>
          <cell r="EZ90">
            <v>0</v>
          </cell>
          <cell r="FA90">
            <v>0</v>
          </cell>
          <cell r="FB90">
            <v>0</v>
          </cell>
          <cell r="FC90">
            <v>0</v>
          </cell>
          <cell r="FD90">
            <v>0</v>
          </cell>
          <cell r="FE90">
            <v>0</v>
          </cell>
          <cell r="FF90">
            <v>0</v>
          </cell>
          <cell r="FG90">
            <v>0</v>
          </cell>
          <cell r="FH90">
            <v>0</v>
          </cell>
          <cell r="FI90">
            <v>0</v>
          </cell>
          <cell r="FJ90">
            <v>0</v>
          </cell>
          <cell r="FK90">
            <v>0</v>
          </cell>
          <cell r="FL90">
            <v>0</v>
          </cell>
          <cell r="FM90">
            <v>0</v>
          </cell>
          <cell r="FN90">
            <v>0</v>
          </cell>
          <cell r="FO90">
            <v>0</v>
          </cell>
          <cell r="FP90">
            <v>0</v>
          </cell>
          <cell r="FQ90">
            <v>0</v>
          </cell>
          <cell r="FR90">
            <v>0</v>
          </cell>
          <cell r="FS90">
            <v>0</v>
          </cell>
          <cell r="FT90">
            <v>0</v>
          </cell>
          <cell r="FU90">
            <v>0</v>
          </cell>
          <cell r="FV90">
            <v>0</v>
          </cell>
          <cell r="FW90">
            <v>0</v>
          </cell>
          <cell r="FX90">
            <v>0</v>
          </cell>
          <cell r="FY90">
            <v>0</v>
          </cell>
          <cell r="FZ90">
            <v>0</v>
          </cell>
          <cell r="GA90">
            <v>0</v>
          </cell>
          <cell r="GB90">
            <v>0</v>
          </cell>
          <cell r="GC90">
            <v>0</v>
          </cell>
          <cell r="GD90">
            <v>0</v>
          </cell>
          <cell r="GE90">
            <v>0</v>
          </cell>
          <cell r="GF90">
            <v>0</v>
          </cell>
          <cell r="GG90">
            <v>0</v>
          </cell>
          <cell r="GH90">
            <v>0</v>
          </cell>
          <cell r="GI90">
            <v>0</v>
          </cell>
          <cell r="GJ90">
            <v>0</v>
          </cell>
          <cell r="GK90">
            <v>0</v>
          </cell>
          <cell r="GL90">
            <v>0</v>
          </cell>
          <cell r="GM90">
            <v>0</v>
          </cell>
          <cell r="GN90">
            <v>0</v>
          </cell>
          <cell r="GO90">
            <v>0</v>
          </cell>
          <cell r="GP90">
            <v>0</v>
          </cell>
          <cell r="GQ90">
            <v>0</v>
          </cell>
          <cell r="GR90">
            <v>0</v>
          </cell>
          <cell r="GS90">
            <v>0</v>
          </cell>
          <cell r="GT90">
            <v>0</v>
          </cell>
          <cell r="GU90">
            <v>0</v>
          </cell>
          <cell r="GV90">
            <v>0</v>
          </cell>
          <cell r="GW90">
            <v>0</v>
          </cell>
          <cell r="GX90">
            <v>0</v>
          </cell>
          <cell r="GY90">
            <v>0</v>
          </cell>
          <cell r="GZ90">
            <v>0</v>
          </cell>
          <cell r="HA90">
            <v>0</v>
          </cell>
          <cell r="HB90">
            <v>0</v>
          </cell>
          <cell r="HC90">
            <v>0</v>
          </cell>
          <cell r="HD90">
            <v>0</v>
          </cell>
          <cell r="HE90">
            <v>0</v>
          </cell>
          <cell r="HF90">
            <v>0</v>
          </cell>
          <cell r="HG90">
            <v>0</v>
          </cell>
          <cell r="HH90">
            <v>0</v>
          </cell>
          <cell r="HI90">
            <v>0</v>
          </cell>
          <cell r="HJ90">
            <v>0</v>
          </cell>
          <cell r="HK90">
            <v>0</v>
          </cell>
          <cell r="HL90">
            <v>0</v>
          </cell>
          <cell r="HM90">
            <v>0</v>
          </cell>
          <cell r="HN90">
            <v>0</v>
          </cell>
          <cell r="HO90">
            <v>0</v>
          </cell>
          <cell r="HP90">
            <v>0</v>
          </cell>
          <cell r="HQ90">
            <v>0</v>
          </cell>
          <cell r="HR90">
            <v>0</v>
          </cell>
          <cell r="HS90">
            <v>0</v>
          </cell>
          <cell r="HT90">
            <v>0</v>
          </cell>
          <cell r="HU90">
            <v>0</v>
          </cell>
          <cell r="HV90">
            <v>0</v>
          </cell>
          <cell r="HW90">
            <v>0</v>
          </cell>
          <cell r="HX90">
            <v>0</v>
          </cell>
          <cell r="HY90">
            <v>0</v>
          </cell>
          <cell r="HZ90">
            <v>0</v>
          </cell>
          <cell r="IA90">
            <v>0</v>
          </cell>
          <cell r="IB90">
            <v>0</v>
          </cell>
          <cell r="IC90">
            <v>0</v>
          </cell>
          <cell r="ID90">
            <v>0</v>
          </cell>
          <cell r="IE90">
            <v>0</v>
          </cell>
          <cell r="IF90">
            <v>0</v>
          </cell>
          <cell r="IG90">
            <v>0</v>
          </cell>
          <cell r="IH90">
            <v>0</v>
          </cell>
          <cell r="II90">
            <v>0</v>
          </cell>
          <cell r="IJ90">
            <v>0</v>
          </cell>
          <cell r="IK90">
            <v>0</v>
          </cell>
          <cell r="IL90">
            <v>0</v>
          </cell>
          <cell r="IM90">
            <v>0</v>
          </cell>
          <cell r="IN90">
            <v>0</v>
          </cell>
          <cell r="IO90">
            <v>0</v>
          </cell>
          <cell r="IP90">
            <v>0</v>
          </cell>
          <cell r="IQ90">
            <v>0</v>
          </cell>
          <cell r="IR90">
            <v>0</v>
          </cell>
          <cell r="IS90">
            <v>0</v>
          </cell>
          <cell r="IT90">
            <v>0</v>
          </cell>
          <cell r="IU90">
            <v>0</v>
          </cell>
          <cell r="IV90">
            <v>0</v>
          </cell>
          <cell r="IW90">
            <v>0</v>
          </cell>
          <cell r="IX90">
            <v>0</v>
          </cell>
          <cell r="IY90">
            <v>0</v>
          </cell>
          <cell r="IZ90">
            <v>0</v>
          </cell>
          <cell r="JA90">
            <v>0</v>
          </cell>
        </row>
        <row r="91">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cell r="EQ91">
            <v>0</v>
          </cell>
          <cell r="ER91">
            <v>0</v>
          </cell>
          <cell r="ES91">
            <v>0</v>
          </cell>
          <cell r="ET91">
            <v>0</v>
          </cell>
          <cell r="EU91">
            <v>0</v>
          </cell>
          <cell r="EV91">
            <v>0</v>
          </cell>
          <cell r="EW91">
            <v>0</v>
          </cell>
          <cell r="EX91">
            <v>0</v>
          </cell>
          <cell r="EY91">
            <v>0</v>
          </cell>
          <cell r="EZ91">
            <v>0</v>
          </cell>
          <cell r="FA91">
            <v>0</v>
          </cell>
          <cell r="FB91">
            <v>0</v>
          </cell>
          <cell r="FC91">
            <v>0</v>
          </cell>
          <cell r="FD91">
            <v>0</v>
          </cell>
          <cell r="FE91">
            <v>0</v>
          </cell>
          <cell r="FF91">
            <v>0</v>
          </cell>
          <cell r="FG91">
            <v>0</v>
          </cell>
          <cell r="FH91">
            <v>0</v>
          </cell>
          <cell r="FI91">
            <v>0</v>
          </cell>
          <cell r="FJ91">
            <v>0</v>
          </cell>
          <cell r="FK91">
            <v>0</v>
          </cell>
          <cell r="FL91">
            <v>0</v>
          </cell>
          <cell r="FM91">
            <v>0</v>
          </cell>
          <cell r="FN91">
            <v>0</v>
          </cell>
          <cell r="FO91">
            <v>0</v>
          </cell>
          <cell r="FP91">
            <v>0</v>
          </cell>
          <cell r="FQ91">
            <v>0</v>
          </cell>
          <cell r="FR91">
            <v>0</v>
          </cell>
          <cell r="FS91">
            <v>0</v>
          </cell>
          <cell r="FT91">
            <v>0</v>
          </cell>
          <cell r="FU91">
            <v>0</v>
          </cell>
          <cell r="FV91">
            <v>0</v>
          </cell>
          <cell r="FW91">
            <v>0</v>
          </cell>
          <cell r="FX91">
            <v>0</v>
          </cell>
          <cell r="FY91">
            <v>0</v>
          </cell>
          <cell r="FZ91">
            <v>0</v>
          </cell>
          <cell r="GA91">
            <v>0</v>
          </cell>
          <cell r="GB91">
            <v>0</v>
          </cell>
          <cell r="GC91">
            <v>0</v>
          </cell>
          <cell r="GD91">
            <v>0</v>
          </cell>
          <cell r="GE91">
            <v>0</v>
          </cell>
          <cell r="GF91">
            <v>0</v>
          </cell>
          <cell r="GG91">
            <v>0</v>
          </cell>
          <cell r="GH91">
            <v>0</v>
          </cell>
          <cell r="GI91">
            <v>0</v>
          </cell>
          <cell r="GJ91">
            <v>0</v>
          </cell>
          <cell r="GK91">
            <v>0</v>
          </cell>
          <cell r="GL91">
            <v>0</v>
          </cell>
          <cell r="GM91">
            <v>0</v>
          </cell>
          <cell r="GN91">
            <v>0</v>
          </cell>
          <cell r="GO91">
            <v>0</v>
          </cell>
          <cell r="GP91">
            <v>0</v>
          </cell>
          <cell r="GQ91">
            <v>0</v>
          </cell>
          <cell r="GR91">
            <v>0</v>
          </cell>
          <cell r="GS91">
            <v>0</v>
          </cell>
          <cell r="GT91">
            <v>0</v>
          </cell>
          <cell r="GU91">
            <v>0</v>
          </cell>
          <cell r="GV91">
            <v>0</v>
          </cell>
          <cell r="GW91">
            <v>0</v>
          </cell>
          <cell r="GX91">
            <v>0</v>
          </cell>
          <cell r="GY91">
            <v>0</v>
          </cell>
          <cell r="GZ91">
            <v>0</v>
          </cell>
          <cell r="HA91">
            <v>0</v>
          </cell>
          <cell r="HB91">
            <v>0</v>
          </cell>
          <cell r="HC91">
            <v>0</v>
          </cell>
          <cell r="HD91">
            <v>0</v>
          </cell>
          <cell r="HE91">
            <v>0</v>
          </cell>
          <cell r="HF91">
            <v>0</v>
          </cell>
          <cell r="HG91">
            <v>0</v>
          </cell>
          <cell r="HH91">
            <v>0</v>
          </cell>
          <cell r="HI91">
            <v>0</v>
          </cell>
          <cell r="HJ91">
            <v>0</v>
          </cell>
          <cell r="HK91">
            <v>0</v>
          </cell>
          <cell r="HL91">
            <v>0</v>
          </cell>
          <cell r="HM91">
            <v>0</v>
          </cell>
          <cell r="HN91">
            <v>0</v>
          </cell>
          <cell r="HO91">
            <v>0</v>
          </cell>
          <cell r="HP91">
            <v>0</v>
          </cell>
          <cell r="HQ91">
            <v>0</v>
          </cell>
          <cell r="HR91">
            <v>0</v>
          </cell>
          <cell r="HS91">
            <v>0</v>
          </cell>
          <cell r="HT91">
            <v>0</v>
          </cell>
          <cell r="HU91">
            <v>0</v>
          </cell>
          <cell r="HV91">
            <v>0</v>
          </cell>
          <cell r="HW91">
            <v>0</v>
          </cell>
          <cell r="HX91">
            <v>0</v>
          </cell>
          <cell r="HY91">
            <v>0</v>
          </cell>
          <cell r="HZ91">
            <v>0</v>
          </cell>
          <cell r="IA91">
            <v>0</v>
          </cell>
          <cell r="IB91">
            <v>0</v>
          </cell>
          <cell r="IC91">
            <v>0</v>
          </cell>
          <cell r="ID91">
            <v>0</v>
          </cell>
          <cell r="IE91">
            <v>0</v>
          </cell>
          <cell r="IF91">
            <v>0</v>
          </cell>
          <cell r="IG91">
            <v>0</v>
          </cell>
          <cell r="IH91">
            <v>0</v>
          </cell>
          <cell r="II91">
            <v>0</v>
          </cell>
          <cell r="IJ91">
            <v>0</v>
          </cell>
          <cell r="IK91">
            <v>0</v>
          </cell>
          <cell r="IL91">
            <v>0</v>
          </cell>
          <cell r="IM91">
            <v>0</v>
          </cell>
          <cell r="IN91">
            <v>0</v>
          </cell>
          <cell r="IO91">
            <v>0</v>
          </cell>
          <cell r="IP91">
            <v>0</v>
          </cell>
          <cell r="IQ91">
            <v>0</v>
          </cell>
          <cell r="IR91">
            <v>0</v>
          </cell>
          <cell r="IS91">
            <v>0</v>
          </cell>
          <cell r="IT91">
            <v>0</v>
          </cell>
          <cell r="IU91">
            <v>0</v>
          </cell>
          <cell r="IV91">
            <v>0</v>
          </cell>
          <cell r="IW91">
            <v>0</v>
          </cell>
          <cell r="IX91">
            <v>0</v>
          </cell>
          <cell r="IY91">
            <v>0</v>
          </cell>
          <cell r="IZ91">
            <v>0</v>
          </cell>
          <cell r="JA91">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v>
          </cell>
          <cell r="IW93">
            <v>0</v>
          </cell>
          <cell r="IX93">
            <v>0</v>
          </cell>
          <cell r="IY93">
            <v>0</v>
          </cell>
          <cell r="IZ93">
            <v>0</v>
          </cell>
          <cell r="JA93">
            <v>0</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v>
          </cell>
          <cell r="IW96">
            <v>0</v>
          </cell>
          <cell r="IX96">
            <v>0</v>
          </cell>
          <cell r="IY96">
            <v>0</v>
          </cell>
          <cell r="IZ96">
            <v>0</v>
          </cell>
          <cell r="JA96">
            <v>0</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98">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cell r="EQ98">
            <v>0</v>
          </cell>
          <cell r="ER98">
            <v>0</v>
          </cell>
          <cell r="ES98">
            <v>0</v>
          </cell>
          <cell r="ET98">
            <v>0</v>
          </cell>
          <cell r="EU98">
            <v>0</v>
          </cell>
          <cell r="EV98">
            <v>0</v>
          </cell>
          <cell r="EW98">
            <v>0</v>
          </cell>
          <cell r="EX98">
            <v>0</v>
          </cell>
          <cell r="EY98">
            <v>0</v>
          </cell>
          <cell r="EZ98">
            <v>0</v>
          </cell>
          <cell r="FA98">
            <v>0</v>
          </cell>
          <cell r="FB98">
            <v>0</v>
          </cell>
          <cell r="FC98">
            <v>0</v>
          </cell>
          <cell r="FD98">
            <v>0</v>
          </cell>
          <cell r="FE98">
            <v>0</v>
          </cell>
          <cell r="FF98">
            <v>0</v>
          </cell>
          <cell r="FG98">
            <v>0</v>
          </cell>
          <cell r="FH98">
            <v>0</v>
          </cell>
          <cell r="FI98">
            <v>0</v>
          </cell>
          <cell r="FJ98">
            <v>0</v>
          </cell>
          <cell r="FK98">
            <v>0</v>
          </cell>
          <cell r="FL98">
            <v>0</v>
          </cell>
          <cell r="FM98">
            <v>0</v>
          </cell>
          <cell r="FN98">
            <v>0</v>
          </cell>
          <cell r="FO98">
            <v>0</v>
          </cell>
          <cell r="FP98">
            <v>0</v>
          </cell>
          <cell r="FQ98">
            <v>0</v>
          </cell>
          <cell r="FR98">
            <v>0</v>
          </cell>
          <cell r="FS98">
            <v>0</v>
          </cell>
          <cell r="FT98">
            <v>0</v>
          </cell>
          <cell r="FU98">
            <v>0</v>
          </cell>
          <cell r="FV98">
            <v>0</v>
          </cell>
          <cell r="FW98">
            <v>0</v>
          </cell>
          <cell r="FX98">
            <v>0</v>
          </cell>
          <cell r="FY98">
            <v>0</v>
          </cell>
          <cell r="FZ98">
            <v>0</v>
          </cell>
          <cell r="GA98">
            <v>0</v>
          </cell>
          <cell r="GB98">
            <v>0</v>
          </cell>
          <cell r="GC98">
            <v>0</v>
          </cell>
          <cell r="GD98">
            <v>0</v>
          </cell>
          <cell r="GE98">
            <v>0</v>
          </cell>
          <cell r="GF98">
            <v>0</v>
          </cell>
          <cell r="GG98">
            <v>0</v>
          </cell>
          <cell r="GH98">
            <v>0</v>
          </cell>
          <cell r="GI98">
            <v>0</v>
          </cell>
          <cell r="GJ98">
            <v>0</v>
          </cell>
          <cell r="GK98">
            <v>0</v>
          </cell>
          <cell r="GL98">
            <v>0</v>
          </cell>
          <cell r="GM98">
            <v>0</v>
          </cell>
          <cell r="GN98">
            <v>0</v>
          </cell>
          <cell r="GO98">
            <v>0</v>
          </cell>
          <cell r="GP98">
            <v>0</v>
          </cell>
          <cell r="GQ98">
            <v>0</v>
          </cell>
          <cell r="GR98">
            <v>0</v>
          </cell>
          <cell r="GS98">
            <v>0</v>
          </cell>
          <cell r="GT98">
            <v>0</v>
          </cell>
          <cell r="GU98">
            <v>0</v>
          </cell>
          <cell r="GV98">
            <v>0</v>
          </cell>
          <cell r="GW98">
            <v>0</v>
          </cell>
          <cell r="GX98">
            <v>0</v>
          </cell>
          <cell r="GY98">
            <v>0</v>
          </cell>
          <cell r="GZ98">
            <v>0</v>
          </cell>
          <cell r="HA98">
            <v>0</v>
          </cell>
          <cell r="HB98">
            <v>0</v>
          </cell>
          <cell r="HC98">
            <v>0</v>
          </cell>
          <cell r="HD98">
            <v>0</v>
          </cell>
          <cell r="HE98">
            <v>0</v>
          </cell>
          <cell r="HF98">
            <v>0</v>
          </cell>
          <cell r="HG98">
            <v>0</v>
          </cell>
          <cell r="HH98">
            <v>0</v>
          </cell>
          <cell r="HI98">
            <v>0</v>
          </cell>
          <cell r="HJ98">
            <v>0</v>
          </cell>
          <cell r="HK98">
            <v>0</v>
          </cell>
          <cell r="HL98">
            <v>0</v>
          </cell>
          <cell r="HM98">
            <v>0</v>
          </cell>
          <cell r="HN98">
            <v>0</v>
          </cell>
          <cell r="HO98">
            <v>0</v>
          </cell>
          <cell r="HP98">
            <v>0</v>
          </cell>
          <cell r="HQ98">
            <v>0</v>
          </cell>
          <cell r="HR98">
            <v>0</v>
          </cell>
          <cell r="HS98">
            <v>0</v>
          </cell>
          <cell r="HT98">
            <v>0</v>
          </cell>
          <cell r="HU98">
            <v>0</v>
          </cell>
          <cell r="HV98">
            <v>0</v>
          </cell>
          <cell r="HW98">
            <v>0</v>
          </cell>
          <cell r="HX98">
            <v>0</v>
          </cell>
          <cell r="HY98">
            <v>0</v>
          </cell>
          <cell r="HZ98">
            <v>0</v>
          </cell>
          <cell r="IA98">
            <v>0</v>
          </cell>
          <cell r="IB98">
            <v>0</v>
          </cell>
          <cell r="IC98">
            <v>0</v>
          </cell>
          <cell r="ID98">
            <v>0</v>
          </cell>
          <cell r="IE98">
            <v>0</v>
          </cell>
          <cell r="IF98">
            <v>0</v>
          </cell>
          <cell r="IG98">
            <v>0</v>
          </cell>
          <cell r="IH98">
            <v>0</v>
          </cell>
          <cell r="II98">
            <v>0</v>
          </cell>
          <cell r="IJ98">
            <v>0</v>
          </cell>
          <cell r="IK98">
            <v>0</v>
          </cell>
          <cell r="IL98">
            <v>0</v>
          </cell>
          <cell r="IM98">
            <v>0</v>
          </cell>
          <cell r="IN98">
            <v>0</v>
          </cell>
          <cell r="IO98">
            <v>0</v>
          </cell>
          <cell r="IP98">
            <v>0</v>
          </cell>
          <cell r="IQ98">
            <v>0</v>
          </cell>
          <cell r="IR98">
            <v>0</v>
          </cell>
          <cell r="IS98">
            <v>0</v>
          </cell>
          <cell r="IT98">
            <v>0</v>
          </cell>
          <cell r="IU98">
            <v>0</v>
          </cell>
          <cell r="IV98">
            <v>0</v>
          </cell>
          <cell r="IW98">
            <v>0</v>
          </cell>
          <cell r="IX98">
            <v>0</v>
          </cell>
          <cell r="IY98">
            <v>0</v>
          </cell>
          <cell r="IZ98">
            <v>0</v>
          </cell>
          <cell r="JA98">
            <v>0</v>
          </cell>
        </row>
        <row r="99">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cell r="EQ99">
            <v>0</v>
          </cell>
          <cell r="ER99">
            <v>0</v>
          </cell>
          <cell r="ES99">
            <v>0</v>
          </cell>
          <cell r="ET99">
            <v>0</v>
          </cell>
          <cell r="EU99">
            <v>0</v>
          </cell>
          <cell r="EV99">
            <v>0</v>
          </cell>
          <cell r="EW99">
            <v>0</v>
          </cell>
          <cell r="EX99">
            <v>0</v>
          </cell>
          <cell r="EY99">
            <v>0</v>
          </cell>
          <cell r="EZ99">
            <v>0</v>
          </cell>
          <cell r="FA99">
            <v>0</v>
          </cell>
          <cell r="FB99">
            <v>0</v>
          </cell>
          <cell r="FC99">
            <v>0</v>
          </cell>
          <cell r="FD99">
            <v>0</v>
          </cell>
          <cell r="FE99">
            <v>0</v>
          </cell>
          <cell r="FF99">
            <v>0</v>
          </cell>
          <cell r="FG99">
            <v>0</v>
          </cell>
          <cell r="FH99">
            <v>0</v>
          </cell>
          <cell r="FI99">
            <v>0</v>
          </cell>
          <cell r="FJ99">
            <v>0</v>
          </cell>
          <cell r="FK99">
            <v>0</v>
          </cell>
          <cell r="FL99">
            <v>0</v>
          </cell>
          <cell r="FM99">
            <v>0</v>
          </cell>
          <cell r="FN99">
            <v>0</v>
          </cell>
          <cell r="FO99">
            <v>0</v>
          </cell>
          <cell r="FP99">
            <v>0</v>
          </cell>
          <cell r="FQ99">
            <v>0</v>
          </cell>
          <cell r="FR99">
            <v>0</v>
          </cell>
          <cell r="FS99">
            <v>0</v>
          </cell>
          <cell r="FT99">
            <v>0</v>
          </cell>
          <cell r="FU99">
            <v>0</v>
          </cell>
          <cell r="FV99">
            <v>0</v>
          </cell>
          <cell r="FW99">
            <v>0</v>
          </cell>
          <cell r="FX99">
            <v>0</v>
          </cell>
          <cell r="FY99">
            <v>0</v>
          </cell>
          <cell r="FZ99">
            <v>0</v>
          </cell>
          <cell r="GA99">
            <v>0</v>
          </cell>
          <cell r="GB99">
            <v>0</v>
          </cell>
          <cell r="GC99">
            <v>0</v>
          </cell>
          <cell r="GD99">
            <v>0</v>
          </cell>
          <cell r="GE99">
            <v>0</v>
          </cell>
          <cell r="GF99">
            <v>0</v>
          </cell>
          <cell r="GG99">
            <v>0</v>
          </cell>
          <cell r="GH99">
            <v>0</v>
          </cell>
          <cell r="GI99">
            <v>0</v>
          </cell>
          <cell r="GJ99">
            <v>0</v>
          </cell>
          <cell r="GK99">
            <v>0</v>
          </cell>
          <cell r="GL99">
            <v>0</v>
          </cell>
          <cell r="GM99">
            <v>0</v>
          </cell>
          <cell r="GN99">
            <v>0</v>
          </cell>
          <cell r="GO99">
            <v>0</v>
          </cell>
          <cell r="GP99">
            <v>0</v>
          </cell>
          <cell r="GQ99">
            <v>0</v>
          </cell>
          <cell r="GR99">
            <v>0</v>
          </cell>
          <cell r="GS99">
            <v>0</v>
          </cell>
          <cell r="GT99">
            <v>0</v>
          </cell>
          <cell r="GU99">
            <v>0</v>
          </cell>
          <cell r="GV99">
            <v>0</v>
          </cell>
          <cell r="GW99">
            <v>0</v>
          </cell>
          <cell r="GX99">
            <v>0</v>
          </cell>
          <cell r="GY99">
            <v>0</v>
          </cell>
          <cell r="GZ99">
            <v>0</v>
          </cell>
          <cell r="HA99">
            <v>0</v>
          </cell>
          <cell r="HB99">
            <v>0</v>
          </cell>
          <cell r="HC99">
            <v>0</v>
          </cell>
          <cell r="HD99">
            <v>0</v>
          </cell>
          <cell r="HE99">
            <v>0</v>
          </cell>
          <cell r="HF99">
            <v>0</v>
          </cell>
          <cell r="HG99">
            <v>0</v>
          </cell>
          <cell r="HH99">
            <v>0</v>
          </cell>
          <cell r="HI99">
            <v>0</v>
          </cell>
          <cell r="HJ99">
            <v>0</v>
          </cell>
          <cell r="HK99">
            <v>0</v>
          </cell>
          <cell r="HL99">
            <v>0</v>
          </cell>
          <cell r="HM99">
            <v>0</v>
          </cell>
          <cell r="HN99">
            <v>0</v>
          </cell>
          <cell r="HO99">
            <v>0</v>
          </cell>
          <cell r="HP99">
            <v>0</v>
          </cell>
          <cell r="HQ99">
            <v>0</v>
          </cell>
          <cell r="HR99">
            <v>0</v>
          </cell>
          <cell r="HS99">
            <v>0</v>
          </cell>
          <cell r="HT99">
            <v>0</v>
          </cell>
          <cell r="HU99">
            <v>0</v>
          </cell>
          <cell r="HV99">
            <v>0</v>
          </cell>
          <cell r="HW99">
            <v>0</v>
          </cell>
          <cell r="HX99">
            <v>0</v>
          </cell>
          <cell r="HY99">
            <v>0</v>
          </cell>
          <cell r="HZ99">
            <v>0</v>
          </cell>
          <cell r="IA99">
            <v>0</v>
          </cell>
          <cell r="IB99">
            <v>0</v>
          </cell>
          <cell r="IC99">
            <v>0</v>
          </cell>
          <cell r="ID99">
            <v>0</v>
          </cell>
          <cell r="IE99">
            <v>0</v>
          </cell>
          <cell r="IF99">
            <v>0</v>
          </cell>
          <cell r="IG99">
            <v>0</v>
          </cell>
          <cell r="IH99">
            <v>0</v>
          </cell>
          <cell r="II99">
            <v>0</v>
          </cell>
          <cell r="IJ99">
            <v>0</v>
          </cell>
          <cell r="IK99">
            <v>0</v>
          </cell>
          <cell r="IL99">
            <v>0</v>
          </cell>
          <cell r="IM99">
            <v>0</v>
          </cell>
          <cell r="IN99">
            <v>0</v>
          </cell>
          <cell r="IO99">
            <v>0</v>
          </cell>
          <cell r="IP99">
            <v>0</v>
          </cell>
          <cell r="IQ99">
            <v>0</v>
          </cell>
          <cell r="IR99">
            <v>0</v>
          </cell>
          <cell r="IS99">
            <v>0</v>
          </cell>
          <cell r="IT99">
            <v>0</v>
          </cell>
          <cell r="IU99">
            <v>0</v>
          </cell>
          <cell r="IV99">
            <v>0</v>
          </cell>
          <cell r="IW99">
            <v>0</v>
          </cell>
          <cell r="IX99">
            <v>0</v>
          </cell>
          <cell r="IY99">
            <v>0</v>
          </cell>
          <cell r="IZ99">
            <v>0</v>
          </cell>
          <cell r="JA99">
            <v>0</v>
          </cell>
        </row>
        <row r="100">
          <cell r="L100">
            <v>0</v>
          </cell>
          <cell r="M100">
            <v>0</v>
          </cell>
          <cell r="N100">
            <v>0</v>
          </cell>
          <cell r="O100">
            <v>11.278083333333331</v>
          </cell>
          <cell r="P100">
            <v>16.411250000000003</v>
          </cell>
          <cell r="Q100">
            <v>12.191666666666666</v>
          </cell>
          <cell r="R100">
            <v>12.435499366666667</v>
          </cell>
          <cell r="S100">
            <v>12.684209366666664</v>
          </cell>
          <cell r="T100">
            <v>12.937894358333331</v>
          </cell>
          <cell r="U100">
            <v>13.196652191666669</v>
          </cell>
          <cell r="V100">
            <v>13.460584991666668</v>
          </cell>
          <cell r="W100">
            <v>13.729796941666667</v>
          </cell>
          <cell r="X100">
            <v>14.004391908333332</v>
          </cell>
          <cell r="Y100">
            <v>14.284480566666666</v>
          </cell>
          <cell r="Z100">
            <v>14.570170266666667</v>
          </cell>
          <cell r="AA100">
            <v>14.861573583333335</v>
          </cell>
          <cell r="AB100">
            <v>15.158805149999999</v>
          </cell>
          <cell r="AC100">
            <v>15.461981183333332</v>
          </cell>
          <cell r="AD100">
            <v>15.77122090833333</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cell r="EQ100">
            <v>0</v>
          </cell>
          <cell r="ER100">
            <v>0</v>
          </cell>
          <cell r="ES100">
            <v>0</v>
          </cell>
          <cell r="ET100">
            <v>0</v>
          </cell>
          <cell r="EU100">
            <v>0</v>
          </cell>
          <cell r="EV100">
            <v>0</v>
          </cell>
          <cell r="EW100">
            <v>0</v>
          </cell>
          <cell r="EX100">
            <v>0</v>
          </cell>
          <cell r="EY100">
            <v>0</v>
          </cell>
          <cell r="EZ100">
            <v>0</v>
          </cell>
          <cell r="FA100">
            <v>0</v>
          </cell>
          <cell r="FB100">
            <v>0</v>
          </cell>
          <cell r="FC100">
            <v>0</v>
          </cell>
          <cell r="FD100">
            <v>0</v>
          </cell>
          <cell r="FE100">
            <v>0</v>
          </cell>
          <cell r="FF100">
            <v>0</v>
          </cell>
          <cell r="FG100">
            <v>0</v>
          </cell>
          <cell r="FH100">
            <v>0</v>
          </cell>
          <cell r="FI100">
            <v>0</v>
          </cell>
          <cell r="FJ100">
            <v>0</v>
          </cell>
          <cell r="FK100">
            <v>0</v>
          </cell>
          <cell r="FL100">
            <v>0</v>
          </cell>
          <cell r="FM100">
            <v>0</v>
          </cell>
          <cell r="FN100">
            <v>0</v>
          </cell>
          <cell r="FO100">
            <v>0</v>
          </cell>
          <cell r="FP100">
            <v>0</v>
          </cell>
          <cell r="FQ100">
            <v>0</v>
          </cell>
          <cell r="FR100">
            <v>0</v>
          </cell>
          <cell r="FS100">
            <v>0</v>
          </cell>
          <cell r="FT100">
            <v>0</v>
          </cell>
          <cell r="FU100">
            <v>0</v>
          </cell>
          <cell r="FV100">
            <v>0</v>
          </cell>
          <cell r="FW100">
            <v>0</v>
          </cell>
          <cell r="FX100">
            <v>0</v>
          </cell>
          <cell r="FY100">
            <v>0</v>
          </cell>
          <cell r="FZ100">
            <v>0</v>
          </cell>
          <cell r="GA100">
            <v>0</v>
          </cell>
          <cell r="GB100">
            <v>0</v>
          </cell>
          <cell r="GC100">
            <v>0</v>
          </cell>
          <cell r="GD100">
            <v>0</v>
          </cell>
          <cell r="GE100">
            <v>0</v>
          </cell>
          <cell r="GF100">
            <v>0</v>
          </cell>
          <cell r="GG100">
            <v>0</v>
          </cell>
          <cell r="GH100">
            <v>0</v>
          </cell>
          <cell r="GI100">
            <v>0</v>
          </cell>
          <cell r="GJ100">
            <v>0</v>
          </cell>
          <cell r="GK100">
            <v>0</v>
          </cell>
          <cell r="GL100">
            <v>0</v>
          </cell>
          <cell r="GM100">
            <v>0</v>
          </cell>
          <cell r="GN100">
            <v>0</v>
          </cell>
          <cell r="GO100">
            <v>0</v>
          </cell>
          <cell r="GP100">
            <v>0</v>
          </cell>
          <cell r="GQ100">
            <v>0</v>
          </cell>
          <cell r="GR100">
            <v>0</v>
          </cell>
          <cell r="GS100">
            <v>0</v>
          </cell>
          <cell r="GT100">
            <v>0</v>
          </cell>
          <cell r="GU100">
            <v>0</v>
          </cell>
          <cell r="GV100">
            <v>0</v>
          </cell>
          <cell r="GW100">
            <v>0</v>
          </cell>
          <cell r="GX100">
            <v>0</v>
          </cell>
          <cell r="GY100">
            <v>0</v>
          </cell>
          <cell r="GZ100">
            <v>0</v>
          </cell>
          <cell r="HA100">
            <v>0</v>
          </cell>
          <cell r="HB100">
            <v>0</v>
          </cell>
          <cell r="HC100">
            <v>0</v>
          </cell>
          <cell r="HD100">
            <v>0</v>
          </cell>
          <cell r="HE100">
            <v>0</v>
          </cell>
          <cell r="HF100">
            <v>0</v>
          </cell>
          <cell r="HG100">
            <v>0</v>
          </cell>
          <cell r="HH100">
            <v>0</v>
          </cell>
          <cell r="HI100">
            <v>0</v>
          </cell>
          <cell r="HJ100">
            <v>0</v>
          </cell>
          <cell r="HK100">
            <v>0</v>
          </cell>
          <cell r="HL100">
            <v>0</v>
          </cell>
          <cell r="HM100">
            <v>0</v>
          </cell>
          <cell r="HN100">
            <v>0</v>
          </cell>
          <cell r="HO100">
            <v>0</v>
          </cell>
          <cell r="HP100">
            <v>0</v>
          </cell>
          <cell r="HQ100">
            <v>0</v>
          </cell>
          <cell r="HR100">
            <v>0</v>
          </cell>
          <cell r="HS100">
            <v>0</v>
          </cell>
          <cell r="HT100">
            <v>0</v>
          </cell>
          <cell r="HU100">
            <v>0</v>
          </cell>
          <cell r="HV100">
            <v>0</v>
          </cell>
          <cell r="HW100">
            <v>0</v>
          </cell>
          <cell r="HX100">
            <v>0</v>
          </cell>
          <cell r="HY100">
            <v>0</v>
          </cell>
          <cell r="HZ100">
            <v>0</v>
          </cell>
          <cell r="IA100">
            <v>0</v>
          </cell>
          <cell r="IB100">
            <v>0</v>
          </cell>
          <cell r="IC100">
            <v>0</v>
          </cell>
          <cell r="ID100">
            <v>0</v>
          </cell>
          <cell r="IE100">
            <v>0</v>
          </cell>
          <cell r="IF100">
            <v>0</v>
          </cell>
          <cell r="IG100">
            <v>0</v>
          </cell>
          <cell r="IH100">
            <v>0</v>
          </cell>
          <cell r="II100">
            <v>0</v>
          </cell>
          <cell r="IJ100">
            <v>0</v>
          </cell>
          <cell r="IK100">
            <v>0</v>
          </cell>
          <cell r="IL100">
            <v>0</v>
          </cell>
          <cell r="IM100">
            <v>0</v>
          </cell>
          <cell r="IN100">
            <v>0</v>
          </cell>
          <cell r="IO100">
            <v>0</v>
          </cell>
          <cell r="IP100">
            <v>0</v>
          </cell>
          <cell r="IQ100">
            <v>0</v>
          </cell>
          <cell r="IR100">
            <v>0</v>
          </cell>
          <cell r="IS100">
            <v>0</v>
          </cell>
          <cell r="IT100">
            <v>0</v>
          </cell>
          <cell r="IU100">
            <v>0</v>
          </cell>
          <cell r="IV100">
            <v>0</v>
          </cell>
          <cell r="IW100">
            <v>0</v>
          </cell>
          <cell r="IX100">
            <v>0</v>
          </cell>
          <cell r="IY100">
            <v>0</v>
          </cell>
          <cell r="IZ100">
            <v>0</v>
          </cell>
          <cell r="JA100">
            <v>0</v>
          </cell>
        </row>
        <row r="103">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L104">
            <v>6.53</v>
          </cell>
          <cell r="M104">
            <v>6.66</v>
          </cell>
          <cell r="N104">
            <v>6.8</v>
          </cell>
          <cell r="O104">
            <v>5</v>
          </cell>
          <cell r="P104">
            <v>5.0999999999999996</v>
          </cell>
          <cell r="Q104">
            <v>5.202</v>
          </cell>
          <cell r="R104">
            <v>5.3060400000000003</v>
          </cell>
          <cell r="S104">
            <v>5.4121610000000002</v>
          </cell>
          <cell r="T104">
            <v>5.5204040000000001</v>
          </cell>
          <cell r="U104">
            <v>5.6308119999999997</v>
          </cell>
          <cell r="V104">
            <v>5.7434279999999998</v>
          </cell>
          <cell r="W104">
            <v>5.8582970000000003</v>
          </cell>
          <cell r="X104">
            <v>5.9754620000000003</v>
          </cell>
          <cell r="Y104">
            <v>6.0949720000000003</v>
          </cell>
          <cell r="Z104">
            <v>6.2168720000000004</v>
          </cell>
          <cell r="AA104">
            <v>6.3412090000000001</v>
          </cell>
          <cell r="AB104">
            <v>6.4680330000000001</v>
          </cell>
          <cell r="AC104">
            <v>6.5973940000000004</v>
          </cell>
          <cell r="AD104">
            <v>6.7293419999999999</v>
          </cell>
          <cell r="AE104">
            <v>6.8639289999999997</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cell r="EQ109">
            <v>0</v>
          </cell>
          <cell r="ER109">
            <v>0</v>
          </cell>
          <cell r="ES109">
            <v>0</v>
          </cell>
          <cell r="ET109">
            <v>0</v>
          </cell>
          <cell r="EU109">
            <v>0</v>
          </cell>
          <cell r="EV109">
            <v>0</v>
          </cell>
          <cell r="EW109">
            <v>0</v>
          </cell>
          <cell r="EX109">
            <v>0</v>
          </cell>
          <cell r="EY109">
            <v>0</v>
          </cell>
          <cell r="EZ109">
            <v>0</v>
          </cell>
          <cell r="FA109">
            <v>0</v>
          </cell>
          <cell r="FB109">
            <v>0</v>
          </cell>
          <cell r="FC109">
            <v>0</v>
          </cell>
          <cell r="FD109">
            <v>0</v>
          </cell>
          <cell r="FE109">
            <v>0</v>
          </cell>
          <cell r="FF109">
            <v>0</v>
          </cell>
          <cell r="FG109">
            <v>0</v>
          </cell>
          <cell r="FH109">
            <v>0</v>
          </cell>
          <cell r="FI109">
            <v>0</v>
          </cell>
          <cell r="FJ109">
            <v>0</v>
          </cell>
          <cell r="FK109">
            <v>0</v>
          </cell>
          <cell r="FL109">
            <v>0</v>
          </cell>
          <cell r="FM109">
            <v>0</v>
          </cell>
          <cell r="FN109">
            <v>0</v>
          </cell>
          <cell r="FO109">
            <v>0</v>
          </cell>
          <cell r="FP109">
            <v>0</v>
          </cell>
          <cell r="FQ109">
            <v>0</v>
          </cell>
          <cell r="FR109">
            <v>0</v>
          </cell>
          <cell r="FS109">
            <v>0</v>
          </cell>
          <cell r="FT109">
            <v>0</v>
          </cell>
          <cell r="FU109">
            <v>0</v>
          </cell>
          <cell r="FV109">
            <v>0</v>
          </cell>
          <cell r="FW109">
            <v>0</v>
          </cell>
          <cell r="FX109">
            <v>0</v>
          </cell>
          <cell r="FY109">
            <v>0</v>
          </cell>
          <cell r="FZ109">
            <v>0</v>
          </cell>
          <cell r="GA109">
            <v>0</v>
          </cell>
          <cell r="GB109">
            <v>0</v>
          </cell>
          <cell r="GC109">
            <v>0</v>
          </cell>
          <cell r="GD109">
            <v>0</v>
          </cell>
          <cell r="GE109">
            <v>0</v>
          </cell>
          <cell r="GF109">
            <v>0</v>
          </cell>
          <cell r="GG109">
            <v>0</v>
          </cell>
          <cell r="GH109">
            <v>0</v>
          </cell>
          <cell r="GI109">
            <v>0</v>
          </cell>
          <cell r="GJ109">
            <v>0</v>
          </cell>
          <cell r="GK109">
            <v>0</v>
          </cell>
          <cell r="GL109">
            <v>0</v>
          </cell>
          <cell r="GM109">
            <v>0</v>
          </cell>
          <cell r="GN109">
            <v>0</v>
          </cell>
          <cell r="GO109">
            <v>0</v>
          </cell>
          <cell r="GP109">
            <v>0</v>
          </cell>
          <cell r="GQ109">
            <v>0</v>
          </cell>
          <cell r="GR109">
            <v>0</v>
          </cell>
          <cell r="GS109">
            <v>0</v>
          </cell>
          <cell r="GT109">
            <v>0</v>
          </cell>
          <cell r="GU109">
            <v>0</v>
          </cell>
          <cell r="GV109">
            <v>0</v>
          </cell>
          <cell r="GW109">
            <v>0</v>
          </cell>
          <cell r="GX109">
            <v>0</v>
          </cell>
          <cell r="GY109">
            <v>0</v>
          </cell>
          <cell r="GZ109">
            <v>0</v>
          </cell>
          <cell r="HA109">
            <v>0</v>
          </cell>
          <cell r="HB109">
            <v>0</v>
          </cell>
          <cell r="HC109">
            <v>0</v>
          </cell>
          <cell r="HD109">
            <v>0</v>
          </cell>
          <cell r="HE109">
            <v>0</v>
          </cell>
          <cell r="HF109">
            <v>0</v>
          </cell>
          <cell r="HG109">
            <v>0</v>
          </cell>
          <cell r="HH109">
            <v>0</v>
          </cell>
          <cell r="HI109">
            <v>0</v>
          </cell>
          <cell r="HJ109">
            <v>0</v>
          </cell>
          <cell r="HK109">
            <v>0</v>
          </cell>
          <cell r="HL109">
            <v>0</v>
          </cell>
          <cell r="HM109">
            <v>0</v>
          </cell>
          <cell r="HN109">
            <v>0</v>
          </cell>
          <cell r="HO109">
            <v>0</v>
          </cell>
          <cell r="HP109">
            <v>0</v>
          </cell>
          <cell r="HQ109">
            <v>0</v>
          </cell>
          <cell r="HR109">
            <v>0</v>
          </cell>
          <cell r="HS109">
            <v>0</v>
          </cell>
          <cell r="HT109">
            <v>0</v>
          </cell>
          <cell r="HU109">
            <v>0</v>
          </cell>
          <cell r="HV109">
            <v>0</v>
          </cell>
          <cell r="HW109">
            <v>0</v>
          </cell>
          <cell r="HX109">
            <v>0</v>
          </cell>
          <cell r="HY109">
            <v>0</v>
          </cell>
          <cell r="HZ109">
            <v>0</v>
          </cell>
          <cell r="IA109">
            <v>0</v>
          </cell>
          <cell r="IB109">
            <v>0</v>
          </cell>
          <cell r="IC109">
            <v>0</v>
          </cell>
          <cell r="ID109">
            <v>0</v>
          </cell>
          <cell r="IE109">
            <v>0</v>
          </cell>
          <cell r="IF109">
            <v>0</v>
          </cell>
          <cell r="IG109">
            <v>0</v>
          </cell>
          <cell r="IH109">
            <v>0</v>
          </cell>
          <cell r="II109">
            <v>0</v>
          </cell>
          <cell r="IJ109">
            <v>0</v>
          </cell>
          <cell r="IK109">
            <v>0</v>
          </cell>
          <cell r="IL109">
            <v>0</v>
          </cell>
          <cell r="IM109">
            <v>0</v>
          </cell>
          <cell r="IN109">
            <v>0</v>
          </cell>
          <cell r="IO109">
            <v>0</v>
          </cell>
          <cell r="IP109">
            <v>0</v>
          </cell>
          <cell r="IQ109">
            <v>0</v>
          </cell>
          <cell r="IR109">
            <v>0</v>
          </cell>
          <cell r="IS109">
            <v>0</v>
          </cell>
          <cell r="IT109">
            <v>0</v>
          </cell>
          <cell r="IU109">
            <v>0</v>
          </cell>
          <cell r="IV109">
            <v>0</v>
          </cell>
          <cell r="IW109">
            <v>0</v>
          </cell>
          <cell r="IX109">
            <v>0</v>
          </cell>
          <cell r="IY109">
            <v>0</v>
          </cell>
          <cell r="IZ109">
            <v>0</v>
          </cell>
          <cell r="JA109">
            <v>0</v>
          </cell>
        </row>
        <row r="110">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0</v>
          </cell>
          <cell r="CM110">
            <v>0</v>
          </cell>
          <cell r="CN110">
            <v>0</v>
          </cell>
          <cell r="CO110">
            <v>0</v>
          </cell>
          <cell r="CP110">
            <v>0</v>
          </cell>
          <cell r="CQ110">
            <v>0</v>
          </cell>
          <cell r="CR110">
            <v>0</v>
          </cell>
          <cell r="CS110">
            <v>0</v>
          </cell>
          <cell r="CT110">
            <v>0</v>
          </cell>
          <cell r="CU110">
            <v>0</v>
          </cell>
          <cell r="CV110">
            <v>0</v>
          </cell>
          <cell r="CW110">
            <v>0</v>
          </cell>
          <cell r="CX110">
            <v>0</v>
          </cell>
          <cell r="CY110">
            <v>0</v>
          </cell>
          <cell r="CZ110">
            <v>0</v>
          </cell>
          <cell r="DA110">
            <v>0</v>
          </cell>
          <cell r="DB110">
            <v>0</v>
          </cell>
          <cell r="DC110">
            <v>0</v>
          </cell>
          <cell r="DD110">
            <v>0</v>
          </cell>
          <cell r="DE110">
            <v>0</v>
          </cell>
          <cell r="DF110">
            <v>0</v>
          </cell>
          <cell r="DG110">
            <v>0</v>
          </cell>
          <cell r="DH110">
            <v>0</v>
          </cell>
          <cell r="DI110">
            <v>0</v>
          </cell>
          <cell r="DJ110">
            <v>0</v>
          </cell>
          <cell r="DK110">
            <v>0</v>
          </cell>
          <cell r="DL110">
            <v>0</v>
          </cell>
          <cell r="DM110">
            <v>0</v>
          </cell>
          <cell r="DN110">
            <v>0</v>
          </cell>
          <cell r="DO110">
            <v>0</v>
          </cell>
          <cell r="DP110">
            <v>0</v>
          </cell>
          <cell r="DQ110">
            <v>0</v>
          </cell>
          <cell r="DR110">
            <v>0</v>
          </cell>
          <cell r="DS110">
            <v>0</v>
          </cell>
          <cell r="DT110">
            <v>0</v>
          </cell>
          <cell r="DU110">
            <v>0</v>
          </cell>
          <cell r="DV110">
            <v>0</v>
          </cell>
          <cell r="DW110">
            <v>0</v>
          </cell>
          <cell r="DX110">
            <v>0</v>
          </cell>
          <cell r="DY110">
            <v>0</v>
          </cell>
          <cell r="DZ110">
            <v>0</v>
          </cell>
          <cell r="EA110">
            <v>0</v>
          </cell>
          <cell r="EB110">
            <v>0</v>
          </cell>
          <cell r="EC110">
            <v>0</v>
          </cell>
          <cell r="ED110">
            <v>0</v>
          </cell>
          <cell r="EE110">
            <v>0</v>
          </cell>
          <cell r="EF110">
            <v>0</v>
          </cell>
          <cell r="EG110">
            <v>0</v>
          </cell>
          <cell r="EH110">
            <v>0</v>
          </cell>
          <cell r="EI110">
            <v>0</v>
          </cell>
          <cell r="EJ110">
            <v>0</v>
          </cell>
          <cell r="EK110">
            <v>0</v>
          </cell>
          <cell r="EL110">
            <v>0</v>
          </cell>
          <cell r="EM110">
            <v>0</v>
          </cell>
          <cell r="EN110">
            <v>0</v>
          </cell>
          <cell r="EO110">
            <v>0</v>
          </cell>
          <cell r="EP110">
            <v>0</v>
          </cell>
          <cell r="EQ110">
            <v>0</v>
          </cell>
          <cell r="ER110">
            <v>0</v>
          </cell>
          <cell r="ES110">
            <v>0</v>
          </cell>
          <cell r="ET110">
            <v>0</v>
          </cell>
          <cell r="EU110">
            <v>0</v>
          </cell>
          <cell r="EV110">
            <v>0</v>
          </cell>
          <cell r="EW110">
            <v>0</v>
          </cell>
          <cell r="EX110">
            <v>0</v>
          </cell>
          <cell r="EY110">
            <v>0</v>
          </cell>
          <cell r="EZ110">
            <v>0</v>
          </cell>
          <cell r="FA110">
            <v>0</v>
          </cell>
          <cell r="FB110">
            <v>0</v>
          </cell>
          <cell r="FC110">
            <v>0</v>
          </cell>
          <cell r="FD110">
            <v>0</v>
          </cell>
          <cell r="FE110">
            <v>0</v>
          </cell>
          <cell r="FF110">
            <v>0</v>
          </cell>
          <cell r="FG110">
            <v>0</v>
          </cell>
          <cell r="FH110">
            <v>0</v>
          </cell>
          <cell r="FI110">
            <v>0</v>
          </cell>
          <cell r="FJ110">
            <v>0</v>
          </cell>
          <cell r="FK110">
            <v>0</v>
          </cell>
          <cell r="FL110">
            <v>0</v>
          </cell>
          <cell r="FM110">
            <v>0</v>
          </cell>
          <cell r="FN110">
            <v>0</v>
          </cell>
          <cell r="FO110">
            <v>0</v>
          </cell>
          <cell r="FP110">
            <v>0</v>
          </cell>
          <cell r="FQ110">
            <v>0</v>
          </cell>
          <cell r="FR110">
            <v>0</v>
          </cell>
          <cell r="FS110">
            <v>0</v>
          </cell>
          <cell r="FT110">
            <v>0</v>
          </cell>
          <cell r="FU110">
            <v>0</v>
          </cell>
          <cell r="FV110">
            <v>0</v>
          </cell>
          <cell r="FW110">
            <v>0</v>
          </cell>
          <cell r="FX110">
            <v>0</v>
          </cell>
          <cell r="FY110">
            <v>0</v>
          </cell>
          <cell r="FZ110">
            <v>0</v>
          </cell>
          <cell r="GA110">
            <v>0</v>
          </cell>
          <cell r="GB110">
            <v>0</v>
          </cell>
          <cell r="GC110">
            <v>0</v>
          </cell>
          <cell r="GD110">
            <v>0</v>
          </cell>
          <cell r="GE110">
            <v>0</v>
          </cell>
          <cell r="GF110">
            <v>0</v>
          </cell>
          <cell r="GG110">
            <v>0</v>
          </cell>
          <cell r="GH110">
            <v>0</v>
          </cell>
          <cell r="GI110">
            <v>0</v>
          </cell>
          <cell r="GJ110">
            <v>0</v>
          </cell>
          <cell r="GK110">
            <v>0</v>
          </cell>
          <cell r="GL110">
            <v>0</v>
          </cell>
          <cell r="GM110">
            <v>0</v>
          </cell>
          <cell r="GN110">
            <v>0</v>
          </cell>
          <cell r="GO110">
            <v>0</v>
          </cell>
          <cell r="GP110">
            <v>0</v>
          </cell>
          <cell r="GQ110">
            <v>0</v>
          </cell>
          <cell r="GR110">
            <v>0</v>
          </cell>
          <cell r="GS110">
            <v>0</v>
          </cell>
          <cell r="GT110">
            <v>0</v>
          </cell>
          <cell r="GU110">
            <v>0</v>
          </cell>
          <cell r="GV110">
            <v>0</v>
          </cell>
          <cell r="GW110">
            <v>0</v>
          </cell>
          <cell r="GX110">
            <v>0</v>
          </cell>
          <cell r="GY110">
            <v>0</v>
          </cell>
          <cell r="GZ110">
            <v>0</v>
          </cell>
          <cell r="HA110">
            <v>0</v>
          </cell>
          <cell r="HB110">
            <v>0</v>
          </cell>
          <cell r="HC110">
            <v>0</v>
          </cell>
          <cell r="HD110">
            <v>0</v>
          </cell>
          <cell r="HE110">
            <v>0</v>
          </cell>
          <cell r="HF110">
            <v>0</v>
          </cell>
          <cell r="HG110">
            <v>0</v>
          </cell>
          <cell r="HH110">
            <v>0</v>
          </cell>
          <cell r="HI110">
            <v>0</v>
          </cell>
          <cell r="HJ110">
            <v>0</v>
          </cell>
          <cell r="HK110">
            <v>0</v>
          </cell>
          <cell r="HL110">
            <v>0</v>
          </cell>
          <cell r="HM110">
            <v>0</v>
          </cell>
          <cell r="HN110">
            <v>0</v>
          </cell>
          <cell r="HO110">
            <v>0</v>
          </cell>
          <cell r="HP110">
            <v>0</v>
          </cell>
          <cell r="HQ110">
            <v>0</v>
          </cell>
          <cell r="HR110">
            <v>0</v>
          </cell>
          <cell r="HS110">
            <v>0</v>
          </cell>
          <cell r="HT110">
            <v>0</v>
          </cell>
          <cell r="HU110">
            <v>0</v>
          </cell>
          <cell r="HV110">
            <v>0</v>
          </cell>
          <cell r="HW110">
            <v>0</v>
          </cell>
          <cell r="HX110">
            <v>0</v>
          </cell>
          <cell r="HY110">
            <v>0</v>
          </cell>
          <cell r="HZ110">
            <v>0</v>
          </cell>
          <cell r="IA110">
            <v>0</v>
          </cell>
          <cell r="IB110">
            <v>0</v>
          </cell>
          <cell r="IC110">
            <v>0</v>
          </cell>
          <cell r="ID110">
            <v>0</v>
          </cell>
          <cell r="IE110">
            <v>0</v>
          </cell>
          <cell r="IF110">
            <v>0</v>
          </cell>
          <cell r="IG110">
            <v>0</v>
          </cell>
          <cell r="IH110">
            <v>0</v>
          </cell>
          <cell r="II110">
            <v>0</v>
          </cell>
          <cell r="IJ110">
            <v>0</v>
          </cell>
          <cell r="IK110">
            <v>0</v>
          </cell>
          <cell r="IL110">
            <v>0</v>
          </cell>
          <cell r="IM110">
            <v>0</v>
          </cell>
          <cell r="IN110">
            <v>0</v>
          </cell>
          <cell r="IO110">
            <v>0</v>
          </cell>
          <cell r="IP110">
            <v>0</v>
          </cell>
          <cell r="IQ110">
            <v>0</v>
          </cell>
          <cell r="IR110">
            <v>0</v>
          </cell>
          <cell r="IS110">
            <v>0</v>
          </cell>
          <cell r="IT110">
            <v>0</v>
          </cell>
          <cell r="IU110">
            <v>0</v>
          </cell>
          <cell r="IV110">
            <v>0</v>
          </cell>
          <cell r="IW110">
            <v>0</v>
          </cell>
          <cell r="IX110">
            <v>0</v>
          </cell>
          <cell r="IY110">
            <v>0</v>
          </cell>
          <cell r="IZ110">
            <v>0</v>
          </cell>
          <cell r="JA110">
            <v>0</v>
          </cell>
        </row>
        <row r="111">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J111">
            <v>0</v>
          </cell>
          <cell r="DK111">
            <v>0</v>
          </cell>
          <cell r="DL111">
            <v>0</v>
          </cell>
          <cell r="DM111">
            <v>0</v>
          </cell>
          <cell r="DN111">
            <v>0</v>
          </cell>
          <cell r="DO111">
            <v>0</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cell r="EQ111">
            <v>0</v>
          </cell>
          <cell r="ER111">
            <v>0</v>
          </cell>
          <cell r="ES111">
            <v>0</v>
          </cell>
          <cell r="ET111">
            <v>0</v>
          </cell>
          <cell r="EU111">
            <v>0</v>
          </cell>
          <cell r="EV111">
            <v>0</v>
          </cell>
          <cell r="EW111">
            <v>0</v>
          </cell>
          <cell r="EX111">
            <v>0</v>
          </cell>
          <cell r="EY111">
            <v>0</v>
          </cell>
          <cell r="EZ111">
            <v>0</v>
          </cell>
          <cell r="FA111">
            <v>0</v>
          </cell>
          <cell r="FB111">
            <v>0</v>
          </cell>
          <cell r="FC111">
            <v>0</v>
          </cell>
          <cell r="FD111">
            <v>0</v>
          </cell>
          <cell r="FE111">
            <v>0</v>
          </cell>
          <cell r="FF111">
            <v>0</v>
          </cell>
          <cell r="FG111">
            <v>0</v>
          </cell>
          <cell r="FH111">
            <v>0</v>
          </cell>
          <cell r="FI111">
            <v>0</v>
          </cell>
          <cell r="FJ111">
            <v>0</v>
          </cell>
          <cell r="FK111">
            <v>0</v>
          </cell>
          <cell r="FL111">
            <v>0</v>
          </cell>
          <cell r="FM111">
            <v>0</v>
          </cell>
          <cell r="FN111">
            <v>0</v>
          </cell>
          <cell r="FO111">
            <v>0</v>
          </cell>
          <cell r="FP111">
            <v>0</v>
          </cell>
          <cell r="FQ111">
            <v>0</v>
          </cell>
          <cell r="FR111">
            <v>0</v>
          </cell>
          <cell r="FS111">
            <v>0</v>
          </cell>
          <cell r="FT111">
            <v>0</v>
          </cell>
          <cell r="FU111">
            <v>0</v>
          </cell>
          <cell r="FV111">
            <v>0</v>
          </cell>
          <cell r="FW111">
            <v>0</v>
          </cell>
          <cell r="FX111">
            <v>0</v>
          </cell>
          <cell r="FY111">
            <v>0</v>
          </cell>
          <cell r="FZ111">
            <v>0</v>
          </cell>
          <cell r="GA111">
            <v>0</v>
          </cell>
          <cell r="GB111">
            <v>0</v>
          </cell>
          <cell r="GC111">
            <v>0</v>
          </cell>
          <cell r="GD111">
            <v>0</v>
          </cell>
          <cell r="GE111">
            <v>0</v>
          </cell>
          <cell r="GF111">
            <v>0</v>
          </cell>
          <cell r="GG111">
            <v>0</v>
          </cell>
          <cell r="GH111">
            <v>0</v>
          </cell>
          <cell r="GI111">
            <v>0</v>
          </cell>
          <cell r="GJ111">
            <v>0</v>
          </cell>
          <cell r="GK111">
            <v>0</v>
          </cell>
          <cell r="GL111">
            <v>0</v>
          </cell>
          <cell r="GM111">
            <v>0</v>
          </cell>
          <cell r="GN111">
            <v>0</v>
          </cell>
          <cell r="GO111">
            <v>0</v>
          </cell>
          <cell r="GP111">
            <v>0</v>
          </cell>
          <cell r="GQ111">
            <v>0</v>
          </cell>
          <cell r="GR111">
            <v>0</v>
          </cell>
          <cell r="GS111">
            <v>0</v>
          </cell>
          <cell r="GT111">
            <v>0</v>
          </cell>
          <cell r="GU111">
            <v>0</v>
          </cell>
          <cell r="GV111">
            <v>0</v>
          </cell>
          <cell r="GW111">
            <v>0</v>
          </cell>
          <cell r="GX111">
            <v>0</v>
          </cell>
          <cell r="GY111">
            <v>0</v>
          </cell>
          <cell r="GZ111">
            <v>0</v>
          </cell>
          <cell r="HA111">
            <v>0</v>
          </cell>
          <cell r="HB111">
            <v>0</v>
          </cell>
          <cell r="HC111">
            <v>0</v>
          </cell>
          <cell r="HD111">
            <v>0</v>
          </cell>
          <cell r="HE111">
            <v>0</v>
          </cell>
          <cell r="HF111">
            <v>0</v>
          </cell>
          <cell r="HG111">
            <v>0</v>
          </cell>
          <cell r="HH111">
            <v>0</v>
          </cell>
          <cell r="HI111">
            <v>0</v>
          </cell>
          <cell r="HJ111">
            <v>0</v>
          </cell>
          <cell r="HK111">
            <v>0</v>
          </cell>
          <cell r="HL111">
            <v>0</v>
          </cell>
          <cell r="HM111">
            <v>0</v>
          </cell>
          <cell r="HN111">
            <v>0</v>
          </cell>
          <cell r="HO111">
            <v>0</v>
          </cell>
          <cell r="HP111">
            <v>0</v>
          </cell>
          <cell r="HQ111">
            <v>0</v>
          </cell>
          <cell r="HR111">
            <v>0</v>
          </cell>
          <cell r="HS111">
            <v>0</v>
          </cell>
          <cell r="HT111">
            <v>0</v>
          </cell>
          <cell r="HU111">
            <v>0</v>
          </cell>
          <cell r="HV111">
            <v>0</v>
          </cell>
          <cell r="HW111">
            <v>0</v>
          </cell>
          <cell r="HX111">
            <v>0</v>
          </cell>
          <cell r="HY111">
            <v>0</v>
          </cell>
          <cell r="HZ111">
            <v>0</v>
          </cell>
          <cell r="IA111">
            <v>0</v>
          </cell>
          <cell r="IB111">
            <v>0</v>
          </cell>
          <cell r="IC111">
            <v>0</v>
          </cell>
          <cell r="ID111">
            <v>0</v>
          </cell>
          <cell r="IE111">
            <v>0</v>
          </cell>
          <cell r="IF111">
            <v>0</v>
          </cell>
          <cell r="IG111">
            <v>0</v>
          </cell>
          <cell r="IH111">
            <v>0</v>
          </cell>
          <cell r="II111">
            <v>0</v>
          </cell>
          <cell r="IJ111">
            <v>0</v>
          </cell>
          <cell r="IK111">
            <v>0</v>
          </cell>
          <cell r="IL111">
            <v>0</v>
          </cell>
          <cell r="IM111">
            <v>0</v>
          </cell>
          <cell r="IN111">
            <v>0</v>
          </cell>
          <cell r="IO111">
            <v>0</v>
          </cell>
          <cell r="IP111">
            <v>0</v>
          </cell>
          <cell r="IQ111">
            <v>0</v>
          </cell>
          <cell r="IR111">
            <v>0</v>
          </cell>
          <cell r="IS111">
            <v>0</v>
          </cell>
          <cell r="IT111">
            <v>0</v>
          </cell>
          <cell r="IU111">
            <v>0</v>
          </cell>
          <cell r="IV111">
            <v>0</v>
          </cell>
          <cell r="IW111">
            <v>0</v>
          </cell>
          <cell r="IX111">
            <v>0</v>
          </cell>
          <cell r="IY111">
            <v>0</v>
          </cell>
          <cell r="IZ111">
            <v>0</v>
          </cell>
          <cell r="JA111">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3">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cell r="EQ113">
            <v>0</v>
          </cell>
          <cell r="ER113">
            <v>0</v>
          </cell>
          <cell r="ES113">
            <v>0</v>
          </cell>
          <cell r="ET113">
            <v>0</v>
          </cell>
          <cell r="EU113">
            <v>0</v>
          </cell>
          <cell r="EV113">
            <v>0</v>
          </cell>
          <cell r="EW113">
            <v>0</v>
          </cell>
          <cell r="EX113">
            <v>0</v>
          </cell>
          <cell r="EY113">
            <v>0</v>
          </cell>
          <cell r="EZ113">
            <v>0</v>
          </cell>
          <cell r="FA113">
            <v>0</v>
          </cell>
          <cell r="FB113">
            <v>0</v>
          </cell>
          <cell r="FC113">
            <v>0</v>
          </cell>
          <cell r="FD113">
            <v>0</v>
          </cell>
          <cell r="FE113">
            <v>0</v>
          </cell>
          <cell r="FF113">
            <v>0</v>
          </cell>
          <cell r="FG113">
            <v>0</v>
          </cell>
          <cell r="FH113">
            <v>0</v>
          </cell>
          <cell r="FI113">
            <v>0</v>
          </cell>
          <cell r="FJ113">
            <v>0</v>
          </cell>
          <cell r="FK113">
            <v>0</v>
          </cell>
          <cell r="FL113">
            <v>0</v>
          </cell>
          <cell r="FM113">
            <v>0</v>
          </cell>
          <cell r="FN113">
            <v>0</v>
          </cell>
          <cell r="FO113">
            <v>0</v>
          </cell>
          <cell r="FP113">
            <v>0</v>
          </cell>
          <cell r="FQ113">
            <v>0</v>
          </cell>
          <cell r="FR113">
            <v>0</v>
          </cell>
          <cell r="FS113">
            <v>0</v>
          </cell>
          <cell r="FT113">
            <v>0</v>
          </cell>
          <cell r="FU113">
            <v>0</v>
          </cell>
          <cell r="FV113">
            <v>0</v>
          </cell>
          <cell r="FW113">
            <v>0</v>
          </cell>
          <cell r="FX113">
            <v>0</v>
          </cell>
          <cell r="FY113">
            <v>0</v>
          </cell>
          <cell r="FZ113">
            <v>0</v>
          </cell>
          <cell r="GA113">
            <v>0</v>
          </cell>
          <cell r="GB113">
            <v>0</v>
          </cell>
          <cell r="GC113">
            <v>0</v>
          </cell>
          <cell r="GD113">
            <v>0</v>
          </cell>
          <cell r="GE113">
            <v>0</v>
          </cell>
          <cell r="GF113">
            <v>0</v>
          </cell>
          <cell r="GG113">
            <v>0</v>
          </cell>
          <cell r="GH113">
            <v>0</v>
          </cell>
          <cell r="GI113">
            <v>0</v>
          </cell>
          <cell r="GJ113">
            <v>0</v>
          </cell>
          <cell r="GK113">
            <v>0</v>
          </cell>
          <cell r="GL113">
            <v>0</v>
          </cell>
          <cell r="GM113">
            <v>0</v>
          </cell>
          <cell r="GN113">
            <v>0</v>
          </cell>
          <cell r="GO113">
            <v>0</v>
          </cell>
          <cell r="GP113">
            <v>0</v>
          </cell>
          <cell r="GQ113">
            <v>0</v>
          </cell>
          <cell r="GR113">
            <v>0</v>
          </cell>
          <cell r="GS113">
            <v>0</v>
          </cell>
          <cell r="GT113">
            <v>0</v>
          </cell>
          <cell r="GU113">
            <v>0</v>
          </cell>
          <cell r="GV113">
            <v>0</v>
          </cell>
          <cell r="GW113">
            <v>0</v>
          </cell>
          <cell r="GX113">
            <v>0</v>
          </cell>
          <cell r="GY113">
            <v>0</v>
          </cell>
          <cell r="GZ113">
            <v>0</v>
          </cell>
          <cell r="HA113">
            <v>0</v>
          </cell>
          <cell r="HB113">
            <v>0</v>
          </cell>
          <cell r="HC113">
            <v>0</v>
          </cell>
          <cell r="HD113">
            <v>0</v>
          </cell>
          <cell r="HE113">
            <v>0</v>
          </cell>
          <cell r="HF113">
            <v>0</v>
          </cell>
          <cell r="HG113">
            <v>0</v>
          </cell>
          <cell r="HH113">
            <v>0</v>
          </cell>
          <cell r="HI113">
            <v>0</v>
          </cell>
          <cell r="HJ113">
            <v>0</v>
          </cell>
          <cell r="HK113">
            <v>0</v>
          </cell>
          <cell r="HL113">
            <v>0</v>
          </cell>
          <cell r="HM113">
            <v>0</v>
          </cell>
          <cell r="HN113">
            <v>0</v>
          </cell>
          <cell r="HO113">
            <v>0</v>
          </cell>
          <cell r="HP113">
            <v>0</v>
          </cell>
          <cell r="HQ113">
            <v>0</v>
          </cell>
          <cell r="HR113">
            <v>0</v>
          </cell>
          <cell r="HS113">
            <v>0</v>
          </cell>
          <cell r="HT113">
            <v>0</v>
          </cell>
          <cell r="HU113">
            <v>0</v>
          </cell>
          <cell r="HV113">
            <v>0</v>
          </cell>
          <cell r="HW113">
            <v>0</v>
          </cell>
          <cell r="HX113">
            <v>0</v>
          </cell>
          <cell r="HY113">
            <v>0</v>
          </cell>
          <cell r="HZ113">
            <v>0</v>
          </cell>
          <cell r="IA113">
            <v>0</v>
          </cell>
          <cell r="IB113">
            <v>0</v>
          </cell>
          <cell r="IC113">
            <v>0</v>
          </cell>
          <cell r="ID113">
            <v>0</v>
          </cell>
          <cell r="IE113">
            <v>0</v>
          </cell>
          <cell r="IF113">
            <v>0</v>
          </cell>
          <cell r="IG113">
            <v>0</v>
          </cell>
          <cell r="IH113">
            <v>0</v>
          </cell>
          <cell r="II113">
            <v>0</v>
          </cell>
          <cell r="IJ113">
            <v>0</v>
          </cell>
          <cell r="IK113">
            <v>0</v>
          </cell>
          <cell r="IL113">
            <v>0</v>
          </cell>
          <cell r="IM113">
            <v>0</v>
          </cell>
          <cell r="IN113">
            <v>0</v>
          </cell>
          <cell r="IO113">
            <v>0</v>
          </cell>
          <cell r="IP113">
            <v>0</v>
          </cell>
          <cell r="IQ113">
            <v>0</v>
          </cell>
          <cell r="IR113">
            <v>0</v>
          </cell>
          <cell r="IS113">
            <v>0</v>
          </cell>
          <cell r="IT113">
            <v>0</v>
          </cell>
          <cell r="IU113">
            <v>0</v>
          </cell>
          <cell r="IV113">
            <v>0</v>
          </cell>
          <cell r="IW113">
            <v>0</v>
          </cell>
          <cell r="IX113">
            <v>0</v>
          </cell>
          <cell r="IY113">
            <v>0</v>
          </cell>
          <cell r="IZ113">
            <v>0</v>
          </cell>
          <cell r="JA113">
            <v>0</v>
          </cell>
        </row>
        <row r="114">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cell r="EQ114">
            <v>0</v>
          </cell>
          <cell r="ER114">
            <v>0</v>
          </cell>
          <cell r="ES114">
            <v>0</v>
          </cell>
          <cell r="ET114">
            <v>0</v>
          </cell>
          <cell r="EU114">
            <v>0</v>
          </cell>
          <cell r="EV114">
            <v>0</v>
          </cell>
          <cell r="EW114">
            <v>0</v>
          </cell>
          <cell r="EX114">
            <v>0</v>
          </cell>
          <cell r="EY114">
            <v>0</v>
          </cell>
          <cell r="EZ114">
            <v>0</v>
          </cell>
          <cell r="FA114">
            <v>0</v>
          </cell>
          <cell r="FB114">
            <v>0</v>
          </cell>
          <cell r="FC114">
            <v>0</v>
          </cell>
          <cell r="FD114">
            <v>0</v>
          </cell>
          <cell r="FE114">
            <v>0</v>
          </cell>
          <cell r="FF114">
            <v>0</v>
          </cell>
          <cell r="FG114">
            <v>0</v>
          </cell>
          <cell r="FH114">
            <v>0</v>
          </cell>
          <cell r="FI114">
            <v>0</v>
          </cell>
          <cell r="FJ114">
            <v>0</v>
          </cell>
          <cell r="FK114">
            <v>0</v>
          </cell>
          <cell r="FL114">
            <v>0</v>
          </cell>
          <cell r="FM114">
            <v>0</v>
          </cell>
          <cell r="FN114">
            <v>0</v>
          </cell>
          <cell r="FO114">
            <v>0</v>
          </cell>
          <cell r="FP114">
            <v>0</v>
          </cell>
          <cell r="FQ114">
            <v>0</v>
          </cell>
          <cell r="FR114">
            <v>0</v>
          </cell>
          <cell r="FS114">
            <v>0</v>
          </cell>
          <cell r="FT114">
            <v>0</v>
          </cell>
          <cell r="FU114">
            <v>0</v>
          </cell>
          <cell r="FV114">
            <v>0</v>
          </cell>
          <cell r="FW114">
            <v>0</v>
          </cell>
          <cell r="FX114">
            <v>0</v>
          </cell>
          <cell r="FY114">
            <v>0</v>
          </cell>
          <cell r="FZ114">
            <v>0</v>
          </cell>
          <cell r="GA114">
            <v>0</v>
          </cell>
          <cell r="GB114">
            <v>0</v>
          </cell>
          <cell r="GC114">
            <v>0</v>
          </cell>
          <cell r="GD114">
            <v>0</v>
          </cell>
          <cell r="GE114">
            <v>0</v>
          </cell>
          <cell r="GF114">
            <v>0</v>
          </cell>
          <cell r="GG114">
            <v>0</v>
          </cell>
          <cell r="GH114">
            <v>0</v>
          </cell>
          <cell r="GI114">
            <v>0</v>
          </cell>
          <cell r="GJ114">
            <v>0</v>
          </cell>
          <cell r="GK114">
            <v>0</v>
          </cell>
          <cell r="GL114">
            <v>0</v>
          </cell>
          <cell r="GM114">
            <v>0</v>
          </cell>
          <cell r="GN114">
            <v>0</v>
          </cell>
          <cell r="GO114">
            <v>0</v>
          </cell>
          <cell r="GP114">
            <v>0</v>
          </cell>
          <cell r="GQ114">
            <v>0</v>
          </cell>
          <cell r="GR114">
            <v>0</v>
          </cell>
          <cell r="GS114">
            <v>0</v>
          </cell>
          <cell r="GT114">
            <v>0</v>
          </cell>
          <cell r="GU114">
            <v>0</v>
          </cell>
          <cell r="GV114">
            <v>0</v>
          </cell>
          <cell r="GW114">
            <v>0</v>
          </cell>
          <cell r="GX114">
            <v>0</v>
          </cell>
          <cell r="GY114">
            <v>0</v>
          </cell>
          <cell r="GZ114">
            <v>0</v>
          </cell>
          <cell r="HA114">
            <v>0</v>
          </cell>
          <cell r="HB114">
            <v>0</v>
          </cell>
          <cell r="HC114">
            <v>0</v>
          </cell>
          <cell r="HD114">
            <v>0</v>
          </cell>
          <cell r="HE114">
            <v>0</v>
          </cell>
          <cell r="HF114">
            <v>0</v>
          </cell>
          <cell r="HG114">
            <v>0</v>
          </cell>
          <cell r="HH114">
            <v>0</v>
          </cell>
          <cell r="HI114">
            <v>0</v>
          </cell>
          <cell r="HJ114">
            <v>0</v>
          </cell>
          <cell r="HK114">
            <v>0</v>
          </cell>
          <cell r="HL114">
            <v>0</v>
          </cell>
          <cell r="HM114">
            <v>0</v>
          </cell>
          <cell r="HN114">
            <v>0</v>
          </cell>
          <cell r="HO114">
            <v>0</v>
          </cell>
          <cell r="HP114">
            <v>0</v>
          </cell>
          <cell r="HQ114">
            <v>0</v>
          </cell>
          <cell r="HR114">
            <v>0</v>
          </cell>
          <cell r="HS114">
            <v>0</v>
          </cell>
          <cell r="HT114">
            <v>0</v>
          </cell>
          <cell r="HU114">
            <v>0</v>
          </cell>
          <cell r="HV114">
            <v>0</v>
          </cell>
          <cell r="HW114">
            <v>0</v>
          </cell>
          <cell r="HX114">
            <v>0</v>
          </cell>
          <cell r="HY114">
            <v>0</v>
          </cell>
          <cell r="HZ114">
            <v>0</v>
          </cell>
          <cell r="IA114">
            <v>0</v>
          </cell>
          <cell r="IB114">
            <v>0</v>
          </cell>
          <cell r="IC114">
            <v>0</v>
          </cell>
          <cell r="ID114">
            <v>0</v>
          </cell>
          <cell r="IE114">
            <v>0</v>
          </cell>
          <cell r="IF114">
            <v>0</v>
          </cell>
          <cell r="IG114">
            <v>0</v>
          </cell>
          <cell r="IH114">
            <v>0</v>
          </cell>
          <cell r="II114">
            <v>0</v>
          </cell>
          <cell r="IJ114">
            <v>0</v>
          </cell>
          <cell r="IK114">
            <v>0</v>
          </cell>
          <cell r="IL114">
            <v>0</v>
          </cell>
          <cell r="IM114">
            <v>0</v>
          </cell>
          <cell r="IN114">
            <v>0</v>
          </cell>
          <cell r="IO114">
            <v>0</v>
          </cell>
          <cell r="IP114">
            <v>0</v>
          </cell>
          <cell r="IQ114">
            <v>0</v>
          </cell>
          <cell r="IR114">
            <v>0</v>
          </cell>
          <cell r="IS114">
            <v>0</v>
          </cell>
          <cell r="IT114">
            <v>0</v>
          </cell>
          <cell r="IU114">
            <v>0</v>
          </cell>
          <cell r="IV114">
            <v>0</v>
          </cell>
          <cell r="IW114">
            <v>0</v>
          </cell>
          <cell r="IX114">
            <v>0</v>
          </cell>
          <cell r="IY114">
            <v>0</v>
          </cell>
          <cell r="IZ114">
            <v>0</v>
          </cell>
          <cell r="JA114">
            <v>0</v>
          </cell>
        </row>
        <row r="115">
          <cell r="L115">
            <v>0</v>
          </cell>
          <cell r="M115">
            <v>0</v>
          </cell>
          <cell r="N115">
            <v>0</v>
          </cell>
          <cell r="O115">
            <v>5</v>
          </cell>
          <cell r="P115">
            <v>5.0999999999999996</v>
          </cell>
          <cell r="Q115">
            <v>5.202</v>
          </cell>
          <cell r="R115">
            <v>5.3060400000000003</v>
          </cell>
          <cell r="S115">
            <v>5.4121610000000002</v>
          </cell>
          <cell r="T115">
            <v>5.5204040000000001</v>
          </cell>
          <cell r="U115">
            <v>5.6308119999999997</v>
          </cell>
          <cell r="V115">
            <v>5.7434280000000006</v>
          </cell>
          <cell r="W115">
            <v>5.8582970000000003</v>
          </cell>
          <cell r="X115">
            <v>5.9754620000000003</v>
          </cell>
          <cell r="Y115">
            <v>6.0949720000000003</v>
          </cell>
          <cell r="Z115">
            <v>6.2168719999999995</v>
          </cell>
          <cell r="AA115">
            <v>6.341209000000001</v>
          </cell>
          <cell r="AB115">
            <v>6.4680329999999993</v>
          </cell>
          <cell r="AC115">
            <v>6.5973940000000004</v>
          </cell>
          <cell r="AD115">
            <v>6.7293420000000008</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J115">
            <v>0</v>
          </cell>
          <cell r="DK115">
            <v>0</v>
          </cell>
          <cell r="DL115">
            <v>0</v>
          </cell>
          <cell r="DM115">
            <v>0</v>
          </cell>
          <cell r="DN115">
            <v>0</v>
          </cell>
          <cell r="DO115">
            <v>0</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cell r="EQ115">
            <v>0</v>
          </cell>
          <cell r="ER115">
            <v>0</v>
          </cell>
          <cell r="ES115">
            <v>0</v>
          </cell>
          <cell r="ET115">
            <v>0</v>
          </cell>
          <cell r="EU115">
            <v>0</v>
          </cell>
          <cell r="EV115">
            <v>0</v>
          </cell>
          <cell r="EW115">
            <v>0</v>
          </cell>
          <cell r="EX115">
            <v>0</v>
          </cell>
          <cell r="EY115">
            <v>0</v>
          </cell>
          <cell r="EZ115">
            <v>0</v>
          </cell>
          <cell r="FA115">
            <v>0</v>
          </cell>
          <cell r="FB115">
            <v>0</v>
          </cell>
          <cell r="FC115">
            <v>0</v>
          </cell>
          <cell r="FD115">
            <v>0</v>
          </cell>
          <cell r="FE115">
            <v>0</v>
          </cell>
          <cell r="FF115">
            <v>0</v>
          </cell>
          <cell r="FG115">
            <v>0</v>
          </cell>
          <cell r="FH115">
            <v>0</v>
          </cell>
          <cell r="FI115">
            <v>0</v>
          </cell>
          <cell r="FJ115">
            <v>0</v>
          </cell>
          <cell r="FK115">
            <v>0</v>
          </cell>
          <cell r="FL115">
            <v>0</v>
          </cell>
          <cell r="FM115">
            <v>0</v>
          </cell>
          <cell r="FN115">
            <v>0</v>
          </cell>
          <cell r="FO115">
            <v>0</v>
          </cell>
          <cell r="FP115">
            <v>0</v>
          </cell>
          <cell r="FQ115">
            <v>0</v>
          </cell>
          <cell r="FR115">
            <v>0</v>
          </cell>
          <cell r="FS115">
            <v>0</v>
          </cell>
          <cell r="FT115">
            <v>0</v>
          </cell>
          <cell r="FU115">
            <v>0</v>
          </cell>
          <cell r="FV115">
            <v>0</v>
          </cell>
          <cell r="FW115">
            <v>0</v>
          </cell>
          <cell r="FX115">
            <v>0</v>
          </cell>
          <cell r="FY115">
            <v>0</v>
          </cell>
          <cell r="FZ115">
            <v>0</v>
          </cell>
          <cell r="GA115">
            <v>0</v>
          </cell>
          <cell r="GB115">
            <v>0</v>
          </cell>
          <cell r="GC115">
            <v>0</v>
          </cell>
          <cell r="GD115">
            <v>0</v>
          </cell>
          <cell r="GE115">
            <v>0</v>
          </cell>
          <cell r="GF115">
            <v>0</v>
          </cell>
          <cell r="GG115">
            <v>0</v>
          </cell>
          <cell r="GH115">
            <v>0</v>
          </cell>
          <cell r="GI115">
            <v>0</v>
          </cell>
          <cell r="GJ115">
            <v>0</v>
          </cell>
          <cell r="GK115">
            <v>0</v>
          </cell>
          <cell r="GL115">
            <v>0</v>
          </cell>
          <cell r="GM115">
            <v>0</v>
          </cell>
          <cell r="GN115">
            <v>0</v>
          </cell>
          <cell r="GO115">
            <v>0</v>
          </cell>
          <cell r="GP115">
            <v>0</v>
          </cell>
          <cell r="GQ115">
            <v>0</v>
          </cell>
          <cell r="GR115">
            <v>0</v>
          </cell>
          <cell r="GS115">
            <v>0</v>
          </cell>
          <cell r="GT115">
            <v>0</v>
          </cell>
          <cell r="GU115">
            <v>0</v>
          </cell>
          <cell r="GV115">
            <v>0</v>
          </cell>
          <cell r="GW115">
            <v>0</v>
          </cell>
          <cell r="GX115">
            <v>0</v>
          </cell>
          <cell r="GY115">
            <v>0</v>
          </cell>
          <cell r="GZ115">
            <v>0</v>
          </cell>
          <cell r="HA115">
            <v>0</v>
          </cell>
          <cell r="HB115">
            <v>0</v>
          </cell>
          <cell r="HC115">
            <v>0</v>
          </cell>
          <cell r="HD115">
            <v>0</v>
          </cell>
          <cell r="HE115">
            <v>0</v>
          </cell>
          <cell r="HF115">
            <v>0</v>
          </cell>
          <cell r="HG115">
            <v>0</v>
          </cell>
          <cell r="HH115">
            <v>0</v>
          </cell>
          <cell r="HI115">
            <v>0</v>
          </cell>
          <cell r="HJ115">
            <v>0</v>
          </cell>
          <cell r="HK115">
            <v>0</v>
          </cell>
          <cell r="HL115">
            <v>0</v>
          </cell>
          <cell r="HM115">
            <v>0</v>
          </cell>
          <cell r="HN115">
            <v>0</v>
          </cell>
          <cell r="HO115">
            <v>0</v>
          </cell>
          <cell r="HP115">
            <v>0</v>
          </cell>
          <cell r="HQ115">
            <v>0</v>
          </cell>
          <cell r="HR115">
            <v>0</v>
          </cell>
          <cell r="HS115">
            <v>0</v>
          </cell>
          <cell r="HT115">
            <v>0</v>
          </cell>
          <cell r="HU115">
            <v>0</v>
          </cell>
          <cell r="HV115">
            <v>0</v>
          </cell>
          <cell r="HW115">
            <v>0</v>
          </cell>
          <cell r="HX115">
            <v>0</v>
          </cell>
          <cell r="HY115">
            <v>0</v>
          </cell>
          <cell r="HZ115">
            <v>0</v>
          </cell>
          <cell r="IA115">
            <v>0</v>
          </cell>
          <cell r="IB115">
            <v>0</v>
          </cell>
          <cell r="IC115">
            <v>0</v>
          </cell>
          <cell r="ID115">
            <v>0</v>
          </cell>
          <cell r="IE115">
            <v>0</v>
          </cell>
          <cell r="IF115">
            <v>0</v>
          </cell>
          <cell r="IG115">
            <v>0</v>
          </cell>
          <cell r="IH115">
            <v>0</v>
          </cell>
          <cell r="II115">
            <v>0</v>
          </cell>
          <cell r="IJ115">
            <v>0</v>
          </cell>
          <cell r="IK115">
            <v>0</v>
          </cell>
          <cell r="IL115">
            <v>0</v>
          </cell>
          <cell r="IM115">
            <v>0</v>
          </cell>
          <cell r="IN115">
            <v>0</v>
          </cell>
          <cell r="IO115">
            <v>0</v>
          </cell>
          <cell r="IP115">
            <v>0</v>
          </cell>
          <cell r="IQ115">
            <v>0</v>
          </cell>
          <cell r="IR115">
            <v>0</v>
          </cell>
          <cell r="IS115">
            <v>0</v>
          </cell>
          <cell r="IT115">
            <v>0</v>
          </cell>
          <cell r="IU115">
            <v>0</v>
          </cell>
          <cell r="IV115">
            <v>0</v>
          </cell>
          <cell r="IW115">
            <v>0</v>
          </cell>
          <cell r="IX115">
            <v>0</v>
          </cell>
          <cell r="IY115">
            <v>0</v>
          </cell>
          <cell r="IZ115">
            <v>0</v>
          </cell>
          <cell r="JA115">
            <v>0</v>
          </cell>
        </row>
        <row r="119">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cell r="EQ119">
            <v>0</v>
          </cell>
          <cell r="ER119">
            <v>0</v>
          </cell>
          <cell r="ES119">
            <v>0</v>
          </cell>
          <cell r="ET119">
            <v>0</v>
          </cell>
          <cell r="EU119">
            <v>0</v>
          </cell>
          <cell r="EV119">
            <v>0</v>
          </cell>
          <cell r="EW119">
            <v>0</v>
          </cell>
          <cell r="EX119">
            <v>0</v>
          </cell>
          <cell r="EY119">
            <v>0</v>
          </cell>
          <cell r="EZ119">
            <v>0</v>
          </cell>
          <cell r="FA119">
            <v>0</v>
          </cell>
          <cell r="FB119">
            <v>0</v>
          </cell>
          <cell r="FC119">
            <v>0</v>
          </cell>
          <cell r="FD119">
            <v>0</v>
          </cell>
          <cell r="FE119">
            <v>0</v>
          </cell>
          <cell r="FF119">
            <v>0</v>
          </cell>
          <cell r="FG119">
            <v>0</v>
          </cell>
          <cell r="FH119">
            <v>0</v>
          </cell>
          <cell r="FI119">
            <v>0</v>
          </cell>
          <cell r="FJ119">
            <v>0</v>
          </cell>
          <cell r="FK119">
            <v>0</v>
          </cell>
          <cell r="FL119">
            <v>0</v>
          </cell>
          <cell r="FM119">
            <v>0</v>
          </cell>
          <cell r="FN119">
            <v>0</v>
          </cell>
          <cell r="FO119">
            <v>0</v>
          </cell>
          <cell r="FP119">
            <v>0</v>
          </cell>
          <cell r="FQ119">
            <v>0</v>
          </cell>
          <cell r="FR119">
            <v>0</v>
          </cell>
          <cell r="FS119">
            <v>0</v>
          </cell>
          <cell r="FT119">
            <v>0</v>
          </cell>
          <cell r="FU119">
            <v>0</v>
          </cell>
          <cell r="FV119">
            <v>0</v>
          </cell>
          <cell r="FW119">
            <v>0</v>
          </cell>
          <cell r="FX119">
            <v>0</v>
          </cell>
          <cell r="FY119">
            <v>0</v>
          </cell>
          <cell r="FZ119">
            <v>0</v>
          </cell>
          <cell r="GA119">
            <v>0</v>
          </cell>
          <cell r="GB119">
            <v>0</v>
          </cell>
          <cell r="GC119">
            <v>0</v>
          </cell>
          <cell r="GD119">
            <v>0</v>
          </cell>
          <cell r="GE119">
            <v>0</v>
          </cell>
          <cell r="GF119">
            <v>0</v>
          </cell>
          <cell r="GG119">
            <v>0</v>
          </cell>
          <cell r="GH119">
            <v>0</v>
          </cell>
          <cell r="GI119">
            <v>0</v>
          </cell>
          <cell r="GJ119">
            <v>0</v>
          </cell>
          <cell r="GK119">
            <v>0</v>
          </cell>
          <cell r="GL119">
            <v>0</v>
          </cell>
          <cell r="GM119">
            <v>0</v>
          </cell>
          <cell r="GN119">
            <v>0</v>
          </cell>
          <cell r="GO119">
            <v>0</v>
          </cell>
          <cell r="GP119">
            <v>0</v>
          </cell>
          <cell r="GQ119">
            <v>0</v>
          </cell>
          <cell r="GR119">
            <v>0</v>
          </cell>
          <cell r="GS119">
            <v>0</v>
          </cell>
          <cell r="GT119">
            <v>0</v>
          </cell>
          <cell r="GU119">
            <v>0</v>
          </cell>
          <cell r="GV119">
            <v>0</v>
          </cell>
          <cell r="GW119">
            <v>0</v>
          </cell>
          <cell r="GX119">
            <v>0</v>
          </cell>
          <cell r="GY119">
            <v>0</v>
          </cell>
          <cell r="GZ119">
            <v>0</v>
          </cell>
          <cell r="HA119">
            <v>0</v>
          </cell>
          <cell r="HB119">
            <v>0</v>
          </cell>
          <cell r="HC119">
            <v>0</v>
          </cell>
          <cell r="HD119">
            <v>0</v>
          </cell>
          <cell r="HE119">
            <v>0</v>
          </cell>
          <cell r="HF119">
            <v>0</v>
          </cell>
          <cell r="HG119">
            <v>0</v>
          </cell>
          <cell r="HH119">
            <v>0</v>
          </cell>
          <cell r="HI119">
            <v>0</v>
          </cell>
          <cell r="HJ119">
            <v>0</v>
          </cell>
          <cell r="HK119">
            <v>0</v>
          </cell>
          <cell r="HL119">
            <v>0</v>
          </cell>
          <cell r="HM119">
            <v>0</v>
          </cell>
          <cell r="HN119">
            <v>0</v>
          </cell>
          <cell r="HO119">
            <v>0</v>
          </cell>
          <cell r="HP119">
            <v>0</v>
          </cell>
          <cell r="HQ119">
            <v>0</v>
          </cell>
          <cell r="HR119">
            <v>0</v>
          </cell>
          <cell r="HS119">
            <v>0</v>
          </cell>
          <cell r="HT119">
            <v>0</v>
          </cell>
          <cell r="HU119">
            <v>0</v>
          </cell>
          <cell r="HV119">
            <v>0</v>
          </cell>
          <cell r="HW119">
            <v>0</v>
          </cell>
          <cell r="HX119">
            <v>0</v>
          </cell>
          <cell r="HY119">
            <v>0</v>
          </cell>
          <cell r="HZ119">
            <v>0</v>
          </cell>
          <cell r="IA119">
            <v>0</v>
          </cell>
          <cell r="IB119">
            <v>0</v>
          </cell>
          <cell r="IC119">
            <v>0</v>
          </cell>
          <cell r="ID119">
            <v>0</v>
          </cell>
          <cell r="IE119">
            <v>0</v>
          </cell>
          <cell r="IF119">
            <v>0</v>
          </cell>
          <cell r="IG119">
            <v>0</v>
          </cell>
          <cell r="IH119">
            <v>0</v>
          </cell>
          <cell r="II119">
            <v>0</v>
          </cell>
          <cell r="IJ119">
            <v>0</v>
          </cell>
          <cell r="IK119">
            <v>0</v>
          </cell>
          <cell r="IL119">
            <v>0</v>
          </cell>
          <cell r="IM119">
            <v>0</v>
          </cell>
          <cell r="IN119">
            <v>0</v>
          </cell>
          <cell r="IO119">
            <v>0</v>
          </cell>
          <cell r="IP119">
            <v>0</v>
          </cell>
          <cell r="IQ119">
            <v>0</v>
          </cell>
          <cell r="IR119">
            <v>0</v>
          </cell>
          <cell r="IS119">
            <v>0</v>
          </cell>
          <cell r="IT119">
            <v>0</v>
          </cell>
          <cell r="IU119">
            <v>0</v>
          </cell>
          <cell r="IV119">
            <v>0</v>
          </cell>
          <cell r="IW119">
            <v>0</v>
          </cell>
          <cell r="IX119">
            <v>0</v>
          </cell>
          <cell r="IY119">
            <v>0</v>
          </cell>
          <cell r="IZ119">
            <v>0</v>
          </cell>
          <cell r="JA119">
            <v>0</v>
          </cell>
        </row>
        <row r="120">
          <cell r="L120">
            <v>0</v>
          </cell>
          <cell r="M120">
            <v>0</v>
          </cell>
          <cell r="N120">
            <v>0</v>
          </cell>
          <cell r="O120">
            <v>6.4799999999999996E-2</v>
          </cell>
          <cell r="P120">
            <v>3.8122449</v>
          </cell>
          <cell r="Q120">
            <v>4.1202388980000002</v>
          </cell>
          <cell r="R120">
            <v>4.2026436759600001</v>
          </cell>
          <cell r="S120">
            <v>4.2866967078889999</v>
          </cell>
          <cell r="T120">
            <v>4.3724304677959998</v>
          </cell>
          <cell r="U120">
            <v>4.459879013788</v>
          </cell>
          <cell r="V120">
            <v>4.5490764039720002</v>
          </cell>
          <cell r="W120">
            <v>4.6400582805530002</v>
          </cell>
          <cell r="X120">
            <v>4.730217547434</v>
          </cell>
          <cell r="Y120">
            <v>4.7978766287920003</v>
          </cell>
          <cell r="Z120">
            <v>4.8665052328799998</v>
          </cell>
          <cell r="AA120">
            <v>4.9365741356190007</v>
          </cell>
          <cell r="AB120">
            <v>5.0073247674449997</v>
          </cell>
          <cell r="AC120">
            <v>5.0791357187800008</v>
          </cell>
          <cell r="AD120">
            <v>4.6809774005940001</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cell r="EQ120">
            <v>0</v>
          </cell>
          <cell r="ER120">
            <v>0</v>
          </cell>
          <cell r="ES120">
            <v>0</v>
          </cell>
          <cell r="ET120">
            <v>0</v>
          </cell>
          <cell r="EU120">
            <v>0</v>
          </cell>
          <cell r="EV120">
            <v>0</v>
          </cell>
          <cell r="EW120">
            <v>0</v>
          </cell>
          <cell r="EX120">
            <v>0</v>
          </cell>
          <cell r="EY120">
            <v>0</v>
          </cell>
          <cell r="EZ120">
            <v>0</v>
          </cell>
          <cell r="FA120">
            <v>0</v>
          </cell>
          <cell r="FB120">
            <v>0</v>
          </cell>
          <cell r="FC120">
            <v>0</v>
          </cell>
          <cell r="FD120">
            <v>0</v>
          </cell>
          <cell r="FE120">
            <v>0</v>
          </cell>
          <cell r="FF120">
            <v>0</v>
          </cell>
          <cell r="FG120">
            <v>0</v>
          </cell>
          <cell r="FH120">
            <v>0</v>
          </cell>
          <cell r="FI120">
            <v>0</v>
          </cell>
          <cell r="FJ120">
            <v>0</v>
          </cell>
          <cell r="FK120">
            <v>0</v>
          </cell>
          <cell r="FL120">
            <v>0</v>
          </cell>
          <cell r="FM120">
            <v>0</v>
          </cell>
          <cell r="FN120">
            <v>0</v>
          </cell>
          <cell r="FO120">
            <v>0</v>
          </cell>
          <cell r="FP120">
            <v>0</v>
          </cell>
          <cell r="FQ120">
            <v>0</v>
          </cell>
          <cell r="FR120">
            <v>0</v>
          </cell>
          <cell r="FS120">
            <v>0</v>
          </cell>
          <cell r="FT120">
            <v>0</v>
          </cell>
          <cell r="FU120">
            <v>0</v>
          </cell>
          <cell r="FV120">
            <v>0</v>
          </cell>
          <cell r="FW120">
            <v>0</v>
          </cell>
          <cell r="FX120">
            <v>0</v>
          </cell>
          <cell r="FY120">
            <v>0</v>
          </cell>
          <cell r="FZ120">
            <v>0</v>
          </cell>
          <cell r="GA120">
            <v>0</v>
          </cell>
          <cell r="GB120">
            <v>0</v>
          </cell>
          <cell r="GC120">
            <v>0</v>
          </cell>
          <cell r="GD120">
            <v>0</v>
          </cell>
          <cell r="GE120">
            <v>0</v>
          </cell>
          <cell r="GF120">
            <v>0</v>
          </cell>
          <cell r="GG120">
            <v>0</v>
          </cell>
          <cell r="GH120">
            <v>0</v>
          </cell>
          <cell r="GI120">
            <v>0</v>
          </cell>
          <cell r="GJ120">
            <v>0</v>
          </cell>
          <cell r="GK120">
            <v>0</v>
          </cell>
          <cell r="GL120">
            <v>0</v>
          </cell>
          <cell r="GM120">
            <v>0</v>
          </cell>
          <cell r="GN120">
            <v>0</v>
          </cell>
          <cell r="GO120">
            <v>0</v>
          </cell>
          <cell r="GP120">
            <v>0</v>
          </cell>
          <cell r="GQ120">
            <v>0</v>
          </cell>
          <cell r="GR120">
            <v>0</v>
          </cell>
          <cell r="GS120">
            <v>0</v>
          </cell>
          <cell r="GT120">
            <v>0</v>
          </cell>
          <cell r="GU120">
            <v>0</v>
          </cell>
          <cell r="GV120">
            <v>0</v>
          </cell>
          <cell r="GW120">
            <v>0</v>
          </cell>
          <cell r="GX120">
            <v>0</v>
          </cell>
          <cell r="GY120">
            <v>0</v>
          </cell>
          <cell r="GZ120">
            <v>0</v>
          </cell>
          <cell r="HA120">
            <v>0</v>
          </cell>
          <cell r="HB120">
            <v>0</v>
          </cell>
          <cell r="HC120">
            <v>0</v>
          </cell>
          <cell r="HD120">
            <v>0</v>
          </cell>
          <cell r="HE120">
            <v>0</v>
          </cell>
          <cell r="HF120">
            <v>0</v>
          </cell>
          <cell r="HG120">
            <v>0</v>
          </cell>
          <cell r="HH120">
            <v>0</v>
          </cell>
          <cell r="HI120">
            <v>0</v>
          </cell>
          <cell r="HJ120">
            <v>0</v>
          </cell>
          <cell r="HK120">
            <v>0</v>
          </cell>
          <cell r="HL120">
            <v>0</v>
          </cell>
          <cell r="HM120">
            <v>0</v>
          </cell>
          <cell r="HN120">
            <v>0</v>
          </cell>
          <cell r="HO120">
            <v>0</v>
          </cell>
          <cell r="HP120">
            <v>0</v>
          </cell>
          <cell r="HQ120">
            <v>0</v>
          </cell>
          <cell r="HR120">
            <v>0</v>
          </cell>
          <cell r="HS120">
            <v>0</v>
          </cell>
          <cell r="HT120">
            <v>0</v>
          </cell>
          <cell r="HU120">
            <v>0</v>
          </cell>
          <cell r="HV120">
            <v>0</v>
          </cell>
          <cell r="HW120">
            <v>0</v>
          </cell>
          <cell r="HX120">
            <v>0</v>
          </cell>
          <cell r="HY120">
            <v>0</v>
          </cell>
          <cell r="HZ120">
            <v>0</v>
          </cell>
          <cell r="IA120">
            <v>0</v>
          </cell>
          <cell r="IB120">
            <v>0</v>
          </cell>
          <cell r="IC120">
            <v>0</v>
          </cell>
          <cell r="ID120">
            <v>0</v>
          </cell>
          <cell r="IE120">
            <v>0</v>
          </cell>
          <cell r="IF120">
            <v>0</v>
          </cell>
          <cell r="IG120">
            <v>0</v>
          </cell>
          <cell r="IH120">
            <v>0</v>
          </cell>
          <cell r="II120">
            <v>0</v>
          </cell>
          <cell r="IJ120">
            <v>0</v>
          </cell>
          <cell r="IK120">
            <v>0</v>
          </cell>
          <cell r="IL120">
            <v>0</v>
          </cell>
          <cell r="IM120">
            <v>0</v>
          </cell>
          <cell r="IN120">
            <v>0</v>
          </cell>
          <cell r="IO120">
            <v>0</v>
          </cell>
          <cell r="IP120">
            <v>0</v>
          </cell>
          <cell r="IQ120">
            <v>0</v>
          </cell>
          <cell r="IR120">
            <v>0</v>
          </cell>
          <cell r="IS120">
            <v>0</v>
          </cell>
          <cell r="IT120">
            <v>0</v>
          </cell>
          <cell r="IU120">
            <v>0</v>
          </cell>
          <cell r="IV120">
            <v>0</v>
          </cell>
          <cell r="IW120">
            <v>0</v>
          </cell>
          <cell r="IX120">
            <v>0</v>
          </cell>
          <cell r="IY120">
            <v>0</v>
          </cell>
          <cell r="IZ120">
            <v>0</v>
          </cell>
          <cell r="JA120">
            <v>0</v>
          </cell>
        </row>
        <row r="121">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cell r="EQ121">
            <v>0</v>
          </cell>
          <cell r="ER121">
            <v>0</v>
          </cell>
          <cell r="ES121">
            <v>0</v>
          </cell>
          <cell r="ET121">
            <v>0</v>
          </cell>
          <cell r="EU121">
            <v>0</v>
          </cell>
          <cell r="EV121">
            <v>0</v>
          </cell>
          <cell r="EW121">
            <v>0</v>
          </cell>
          <cell r="EX121">
            <v>0</v>
          </cell>
          <cell r="EY121">
            <v>0</v>
          </cell>
          <cell r="EZ121">
            <v>0</v>
          </cell>
          <cell r="FA121">
            <v>0</v>
          </cell>
          <cell r="FB121">
            <v>0</v>
          </cell>
          <cell r="FC121">
            <v>0</v>
          </cell>
          <cell r="FD121">
            <v>0</v>
          </cell>
          <cell r="FE121">
            <v>0</v>
          </cell>
          <cell r="FF121">
            <v>0</v>
          </cell>
          <cell r="FG121">
            <v>0</v>
          </cell>
          <cell r="FH121">
            <v>0</v>
          </cell>
          <cell r="FI121">
            <v>0</v>
          </cell>
          <cell r="FJ121">
            <v>0</v>
          </cell>
          <cell r="FK121">
            <v>0</v>
          </cell>
          <cell r="FL121">
            <v>0</v>
          </cell>
          <cell r="FM121">
            <v>0</v>
          </cell>
          <cell r="FN121">
            <v>0</v>
          </cell>
          <cell r="FO121">
            <v>0</v>
          </cell>
          <cell r="FP121">
            <v>0</v>
          </cell>
          <cell r="FQ121">
            <v>0</v>
          </cell>
          <cell r="FR121">
            <v>0</v>
          </cell>
          <cell r="FS121">
            <v>0</v>
          </cell>
          <cell r="FT121">
            <v>0</v>
          </cell>
          <cell r="FU121">
            <v>0</v>
          </cell>
          <cell r="FV121">
            <v>0</v>
          </cell>
          <cell r="FW121">
            <v>0</v>
          </cell>
          <cell r="FX121">
            <v>0</v>
          </cell>
          <cell r="FY121">
            <v>0</v>
          </cell>
          <cell r="FZ121">
            <v>0</v>
          </cell>
          <cell r="GA121">
            <v>0</v>
          </cell>
          <cell r="GB121">
            <v>0</v>
          </cell>
          <cell r="GC121">
            <v>0</v>
          </cell>
          <cell r="GD121">
            <v>0</v>
          </cell>
          <cell r="GE121">
            <v>0</v>
          </cell>
          <cell r="GF121">
            <v>0</v>
          </cell>
          <cell r="GG121">
            <v>0</v>
          </cell>
          <cell r="GH121">
            <v>0</v>
          </cell>
          <cell r="GI121">
            <v>0</v>
          </cell>
          <cell r="GJ121">
            <v>0</v>
          </cell>
          <cell r="GK121">
            <v>0</v>
          </cell>
          <cell r="GL121">
            <v>0</v>
          </cell>
          <cell r="GM121">
            <v>0</v>
          </cell>
          <cell r="GN121">
            <v>0</v>
          </cell>
          <cell r="GO121">
            <v>0</v>
          </cell>
          <cell r="GP121">
            <v>0</v>
          </cell>
          <cell r="GQ121">
            <v>0</v>
          </cell>
          <cell r="GR121">
            <v>0</v>
          </cell>
          <cell r="GS121">
            <v>0</v>
          </cell>
          <cell r="GT121">
            <v>0</v>
          </cell>
          <cell r="GU121">
            <v>0</v>
          </cell>
          <cell r="GV121">
            <v>0</v>
          </cell>
          <cell r="GW121">
            <v>0</v>
          </cell>
          <cell r="GX121">
            <v>0</v>
          </cell>
          <cell r="GY121">
            <v>0</v>
          </cell>
          <cell r="GZ121">
            <v>0</v>
          </cell>
          <cell r="HA121">
            <v>0</v>
          </cell>
          <cell r="HB121">
            <v>0</v>
          </cell>
          <cell r="HC121">
            <v>0</v>
          </cell>
          <cell r="HD121">
            <v>0</v>
          </cell>
          <cell r="HE121">
            <v>0</v>
          </cell>
          <cell r="HF121">
            <v>0</v>
          </cell>
          <cell r="HG121">
            <v>0</v>
          </cell>
          <cell r="HH121">
            <v>0</v>
          </cell>
          <cell r="HI121">
            <v>0</v>
          </cell>
          <cell r="HJ121">
            <v>0</v>
          </cell>
          <cell r="HK121">
            <v>0</v>
          </cell>
          <cell r="HL121">
            <v>0</v>
          </cell>
          <cell r="HM121">
            <v>0</v>
          </cell>
          <cell r="HN121">
            <v>0</v>
          </cell>
          <cell r="HO121">
            <v>0</v>
          </cell>
          <cell r="HP121">
            <v>0</v>
          </cell>
          <cell r="HQ121">
            <v>0</v>
          </cell>
          <cell r="HR121">
            <v>0</v>
          </cell>
          <cell r="HS121">
            <v>0</v>
          </cell>
          <cell r="HT121">
            <v>0</v>
          </cell>
          <cell r="HU121">
            <v>0</v>
          </cell>
          <cell r="HV121">
            <v>0</v>
          </cell>
          <cell r="HW121">
            <v>0</v>
          </cell>
          <cell r="HX121">
            <v>0</v>
          </cell>
          <cell r="HY121">
            <v>0</v>
          </cell>
          <cell r="HZ121">
            <v>0</v>
          </cell>
          <cell r="IA121">
            <v>0</v>
          </cell>
          <cell r="IB121">
            <v>0</v>
          </cell>
          <cell r="IC121">
            <v>0</v>
          </cell>
          <cell r="ID121">
            <v>0</v>
          </cell>
          <cell r="IE121">
            <v>0</v>
          </cell>
          <cell r="IF121">
            <v>0</v>
          </cell>
          <cell r="IG121">
            <v>0</v>
          </cell>
          <cell r="IH121">
            <v>0</v>
          </cell>
          <cell r="II121">
            <v>0</v>
          </cell>
          <cell r="IJ121">
            <v>0</v>
          </cell>
          <cell r="IK121">
            <v>0</v>
          </cell>
          <cell r="IL121">
            <v>0</v>
          </cell>
          <cell r="IM121">
            <v>0</v>
          </cell>
          <cell r="IN121">
            <v>0</v>
          </cell>
          <cell r="IO121">
            <v>0</v>
          </cell>
          <cell r="IP121">
            <v>0</v>
          </cell>
          <cell r="IQ121">
            <v>0</v>
          </cell>
          <cell r="IR121">
            <v>0</v>
          </cell>
          <cell r="IS121">
            <v>0</v>
          </cell>
          <cell r="IT121">
            <v>0</v>
          </cell>
          <cell r="IU121">
            <v>0</v>
          </cell>
          <cell r="IV121">
            <v>0</v>
          </cell>
          <cell r="IW121">
            <v>0</v>
          </cell>
          <cell r="IX121">
            <v>0</v>
          </cell>
          <cell r="IY121">
            <v>0</v>
          </cell>
          <cell r="IZ121">
            <v>0</v>
          </cell>
          <cell r="JA121">
            <v>0</v>
          </cell>
        </row>
        <row r="122">
          <cell r="L122">
            <v>0</v>
          </cell>
          <cell r="M122">
            <v>0</v>
          </cell>
          <cell r="N122">
            <v>0</v>
          </cell>
          <cell r="O122">
            <v>6.4799999999999996E-2</v>
          </cell>
          <cell r="P122">
            <v>3.8122449</v>
          </cell>
          <cell r="Q122">
            <v>4.1202388980000002</v>
          </cell>
          <cell r="R122">
            <v>4.2026436759600001</v>
          </cell>
          <cell r="S122">
            <v>4.2866967078889999</v>
          </cell>
          <cell r="T122">
            <v>4.3724304677959998</v>
          </cell>
          <cell r="U122">
            <v>4.459879013788</v>
          </cell>
          <cell r="V122">
            <v>4.5490764039720002</v>
          </cell>
          <cell r="W122">
            <v>4.6400582805530002</v>
          </cell>
          <cell r="X122">
            <v>4.730217547434</v>
          </cell>
          <cell r="Y122">
            <v>4.7978766287920003</v>
          </cell>
          <cell r="Z122">
            <v>4.8665052328799998</v>
          </cell>
          <cell r="AA122">
            <v>4.9365741356190007</v>
          </cell>
          <cell r="AB122">
            <v>5.0073247674449997</v>
          </cell>
          <cell r="AC122">
            <v>5.0791357187800008</v>
          </cell>
          <cell r="AD122">
            <v>4.6809774005940001</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24">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0</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cell r="EQ124">
            <v>0</v>
          </cell>
          <cell r="ER124">
            <v>0</v>
          </cell>
          <cell r="ES124">
            <v>0</v>
          </cell>
          <cell r="ET124">
            <v>0</v>
          </cell>
          <cell r="EU124">
            <v>0</v>
          </cell>
          <cell r="EV124">
            <v>0</v>
          </cell>
          <cell r="EW124">
            <v>0</v>
          </cell>
          <cell r="EX124">
            <v>0</v>
          </cell>
          <cell r="EY124">
            <v>0</v>
          </cell>
          <cell r="EZ124">
            <v>0</v>
          </cell>
          <cell r="FA124">
            <v>0</v>
          </cell>
          <cell r="FB124">
            <v>0</v>
          </cell>
          <cell r="FC124">
            <v>0</v>
          </cell>
          <cell r="FD124">
            <v>0</v>
          </cell>
          <cell r="FE124">
            <v>0</v>
          </cell>
          <cell r="FF124">
            <v>0</v>
          </cell>
          <cell r="FG124">
            <v>0</v>
          </cell>
          <cell r="FH124">
            <v>0</v>
          </cell>
          <cell r="FI124">
            <v>0</v>
          </cell>
          <cell r="FJ124">
            <v>0</v>
          </cell>
          <cell r="FK124">
            <v>0</v>
          </cell>
          <cell r="FL124">
            <v>0</v>
          </cell>
          <cell r="FM124">
            <v>0</v>
          </cell>
          <cell r="FN124">
            <v>0</v>
          </cell>
          <cell r="FO124">
            <v>0</v>
          </cell>
          <cell r="FP124">
            <v>0</v>
          </cell>
          <cell r="FQ124">
            <v>0</v>
          </cell>
          <cell r="FR124">
            <v>0</v>
          </cell>
          <cell r="FS124">
            <v>0</v>
          </cell>
          <cell r="FT124">
            <v>0</v>
          </cell>
          <cell r="FU124">
            <v>0</v>
          </cell>
          <cell r="FV124">
            <v>0</v>
          </cell>
          <cell r="FW124">
            <v>0</v>
          </cell>
          <cell r="FX124">
            <v>0</v>
          </cell>
          <cell r="FY124">
            <v>0</v>
          </cell>
          <cell r="FZ124">
            <v>0</v>
          </cell>
          <cell r="GA124">
            <v>0</v>
          </cell>
          <cell r="GB124">
            <v>0</v>
          </cell>
          <cell r="GC124">
            <v>0</v>
          </cell>
          <cell r="GD124">
            <v>0</v>
          </cell>
          <cell r="GE124">
            <v>0</v>
          </cell>
          <cell r="GF124">
            <v>0</v>
          </cell>
          <cell r="GG124">
            <v>0</v>
          </cell>
          <cell r="GH124">
            <v>0</v>
          </cell>
          <cell r="GI124">
            <v>0</v>
          </cell>
          <cell r="GJ124">
            <v>0</v>
          </cell>
          <cell r="GK124">
            <v>0</v>
          </cell>
          <cell r="GL124">
            <v>0</v>
          </cell>
          <cell r="GM124">
            <v>0</v>
          </cell>
          <cell r="GN124">
            <v>0</v>
          </cell>
          <cell r="GO124">
            <v>0</v>
          </cell>
          <cell r="GP124">
            <v>0</v>
          </cell>
          <cell r="GQ124">
            <v>0</v>
          </cell>
          <cell r="GR124">
            <v>0</v>
          </cell>
          <cell r="GS124">
            <v>0</v>
          </cell>
          <cell r="GT124">
            <v>0</v>
          </cell>
          <cell r="GU124">
            <v>0</v>
          </cell>
          <cell r="GV124">
            <v>0</v>
          </cell>
          <cell r="GW124">
            <v>0</v>
          </cell>
          <cell r="GX124">
            <v>0</v>
          </cell>
          <cell r="GY124">
            <v>0</v>
          </cell>
          <cell r="GZ124">
            <v>0</v>
          </cell>
          <cell r="HA124">
            <v>0</v>
          </cell>
          <cell r="HB124">
            <v>0</v>
          </cell>
          <cell r="HC124">
            <v>0</v>
          </cell>
          <cell r="HD124">
            <v>0</v>
          </cell>
          <cell r="HE124">
            <v>0</v>
          </cell>
          <cell r="HF124">
            <v>0</v>
          </cell>
          <cell r="HG124">
            <v>0</v>
          </cell>
          <cell r="HH124">
            <v>0</v>
          </cell>
          <cell r="HI124">
            <v>0</v>
          </cell>
          <cell r="HJ124">
            <v>0</v>
          </cell>
          <cell r="HK124">
            <v>0</v>
          </cell>
          <cell r="HL124">
            <v>0</v>
          </cell>
          <cell r="HM124">
            <v>0</v>
          </cell>
          <cell r="HN124">
            <v>0</v>
          </cell>
          <cell r="HO124">
            <v>0</v>
          </cell>
          <cell r="HP124">
            <v>0</v>
          </cell>
          <cell r="HQ124">
            <v>0</v>
          </cell>
          <cell r="HR124">
            <v>0</v>
          </cell>
          <cell r="HS124">
            <v>0</v>
          </cell>
          <cell r="HT124">
            <v>0</v>
          </cell>
          <cell r="HU124">
            <v>0</v>
          </cell>
          <cell r="HV124">
            <v>0</v>
          </cell>
          <cell r="HW124">
            <v>0</v>
          </cell>
          <cell r="HX124">
            <v>0</v>
          </cell>
          <cell r="HY124">
            <v>0</v>
          </cell>
          <cell r="HZ124">
            <v>0</v>
          </cell>
          <cell r="IA124">
            <v>0</v>
          </cell>
          <cell r="IB124">
            <v>0</v>
          </cell>
          <cell r="IC124">
            <v>0</v>
          </cell>
          <cell r="ID124">
            <v>0</v>
          </cell>
          <cell r="IE124">
            <v>0</v>
          </cell>
          <cell r="IF124">
            <v>0</v>
          </cell>
          <cell r="IG124">
            <v>0</v>
          </cell>
          <cell r="IH124">
            <v>0</v>
          </cell>
          <cell r="II124">
            <v>0</v>
          </cell>
          <cell r="IJ124">
            <v>0</v>
          </cell>
          <cell r="IK124">
            <v>0</v>
          </cell>
          <cell r="IL124">
            <v>0</v>
          </cell>
          <cell r="IM124">
            <v>0</v>
          </cell>
          <cell r="IN124">
            <v>0</v>
          </cell>
          <cell r="IO124">
            <v>0</v>
          </cell>
          <cell r="IP124">
            <v>0</v>
          </cell>
          <cell r="IQ124">
            <v>0</v>
          </cell>
          <cell r="IR124">
            <v>0</v>
          </cell>
          <cell r="IS124">
            <v>0</v>
          </cell>
          <cell r="IT124">
            <v>0</v>
          </cell>
          <cell r="IU124">
            <v>0</v>
          </cell>
          <cell r="IV124">
            <v>0</v>
          </cell>
          <cell r="IW124">
            <v>0</v>
          </cell>
          <cell r="IX124">
            <v>0</v>
          </cell>
          <cell r="IY124">
            <v>0</v>
          </cell>
          <cell r="IZ124">
            <v>0</v>
          </cell>
          <cell r="JA124">
            <v>0</v>
          </cell>
        </row>
        <row r="125">
          <cell r="L125">
            <v>0</v>
          </cell>
          <cell r="M125">
            <v>0</v>
          </cell>
          <cell r="N125">
            <v>0</v>
          </cell>
          <cell r="O125">
            <v>0.41595826949999992</v>
          </cell>
          <cell r="P125">
            <v>34.911947527500004</v>
          </cell>
          <cell r="Q125">
            <v>27.481357749999997</v>
          </cell>
          <cell r="R125">
            <v>28.030983477396997</v>
          </cell>
          <cell r="S125">
            <v>28.591603175496992</v>
          </cell>
          <cell r="T125">
            <v>29.163437052062744</v>
          </cell>
          <cell r="U125">
            <v>29.746705671757752</v>
          </cell>
          <cell r="V125">
            <v>30.341639235565751</v>
          </cell>
          <cell r="W125">
            <v>30.948472584180248</v>
          </cell>
          <cell r="X125">
            <v>31.549794310688746</v>
          </cell>
          <cell r="Y125">
            <v>32.001064710125199</v>
          </cell>
          <cell r="Z125">
            <v>32.458813372928795</v>
          </cell>
          <cell r="AA125">
            <v>32.926172951641007</v>
          </cell>
          <cell r="AB125">
            <v>33.398061412141793</v>
          </cell>
          <cell r="AC125">
            <v>33.8770461528715</v>
          </cell>
          <cell r="AD125">
            <v>31.221339758972995</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cell r="EQ125">
            <v>0</v>
          </cell>
          <cell r="ER125">
            <v>0</v>
          </cell>
          <cell r="ES125">
            <v>0</v>
          </cell>
          <cell r="ET125">
            <v>0</v>
          </cell>
          <cell r="EU125">
            <v>0</v>
          </cell>
          <cell r="EV125">
            <v>0</v>
          </cell>
          <cell r="EW125">
            <v>0</v>
          </cell>
          <cell r="EX125">
            <v>0</v>
          </cell>
          <cell r="EY125">
            <v>0</v>
          </cell>
          <cell r="EZ125">
            <v>0</v>
          </cell>
          <cell r="FA125">
            <v>0</v>
          </cell>
          <cell r="FB125">
            <v>0</v>
          </cell>
          <cell r="FC125">
            <v>0</v>
          </cell>
          <cell r="FD125">
            <v>0</v>
          </cell>
          <cell r="FE125">
            <v>0</v>
          </cell>
          <cell r="FF125">
            <v>0</v>
          </cell>
          <cell r="FG125">
            <v>0</v>
          </cell>
          <cell r="FH125">
            <v>0</v>
          </cell>
          <cell r="FI125">
            <v>0</v>
          </cell>
          <cell r="FJ125">
            <v>0</v>
          </cell>
          <cell r="FK125">
            <v>0</v>
          </cell>
          <cell r="FL125">
            <v>0</v>
          </cell>
          <cell r="FM125">
            <v>0</v>
          </cell>
          <cell r="FN125">
            <v>0</v>
          </cell>
          <cell r="FO125">
            <v>0</v>
          </cell>
          <cell r="FP125">
            <v>0</v>
          </cell>
          <cell r="FQ125">
            <v>0</v>
          </cell>
          <cell r="FR125">
            <v>0</v>
          </cell>
          <cell r="FS125">
            <v>0</v>
          </cell>
          <cell r="FT125">
            <v>0</v>
          </cell>
          <cell r="FU125">
            <v>0</v>
          </cell>
          <cell r="FV125">
            <v>0</v>
          </cell>
          <cell r="FW125">
            <v>0</v>
          </cell>
          <cell r="FX125">
            <v>0</v>
          </cell>
          <cell r="FY125">
            <v>0</v>
          </cell>
          <cell r="FZ125">
            <v>0</v>
          </cell>
          <cell r="GA125">
            <v>0</v>
          </cell>
          <cell r="GB125">
            <v>0</v>
          </cell>
          <cell r="GC125">
            <v>0</v>
          </cell>
          <cell r="GD125">
            <v>0</v>
          </cell>
          <cell r="GE125">
            <v>0</v>
          </cell>
          <cell r="GF125">
            <v>0</v>
          </cell>
          <cell r="GG125">
            <v>0</v>
          </cell>
          <cell r="GH125">
            <v>0</v>
          </cell>
          <cell r="GI125">
            <v>0</v>
          </cell>
          <cell r="GJ125">
            <v>0</v>
          </cell>
          <cell r="GK125">
            <v>0</v>
          </cell>
          <cell r="GL125">
            <v>0</v>
          </cell>
          <cell r="GM125">
            <v>0</v>
          </cell>
          <cell r="GN125">
            <v>0</v>
          </cell>
          <cell r="GO125">
            <v>0</v>
          </cell>
          <cell r="GP125">
            <v>0</v>
          </cell>
          <cell r="GQ125">
            <v>0</v>
          </cell>
          <cell r="GR125">
            <v>0</v>
          </cell>
          <cell r="GS125">
            <v>0</v>
          </cell>
          <cell r="GT125">
            <v>0</v>
          </cell>
          <cell r="GU125">
            <v>0</v>
          </cell>
          <cell r="GV125">
            <v>0</v>
          </cell>
          <cell r="GW125">
            <v>0</v>
          </cell>
          <cell r="GX125">
            <v>0</v>
          </cell>
          <cell r="GY125">
            <v>0</v>
          </cell>
          <cell r="GZ125">
            <v>0</v>
          </cell>
          <cell r="HA125">
            <v>0</v>
          </cell>
          <cell r="HB125">
            <v>0</v>
          </cell>
          <cell r="HC125">
            <v>0</v>
          </cell>
          <cell r="HD125">
            <v>0</v>
          </cell>
          <cell r="HE125">
            <v>0</v>
          </cell>
          <cell r="HF125">
            <v>0</v>
          </cell>
          <cell r="HG125">
            <v>0</v>
          </cell>
          <cell r="HH125">
            <v>0</v>
          </cell>
          <cell r="HI125">
            <v>0</v>
          </cell>
          <cell r="HJ125">
            <v>0</v>
          </cell>
          <cell r="HK125">
            <v>0</v>
          </cell>
          <cell r="HL125">
            <v>0</v>
          </cell>
          <cell r="HM125">
            <v>0</v>
          </cell>
          <cell r="HN125">
            <v>0</v>
          </cell>
          <cell r="HO125">
            <v>0</v>
          </cell>
          <cell r="HP125">
            <v>0</v>
          </cell>
          <cell r="HQ125">
            <v>0</v>
          </cell>
          <cell r="HR125">
            <v>0</v>
          </cell>
          <cell r="HS125">
            <v>0</v>
          </cell>
          <cell r="HT125">
            <v>0</v>
          </cell>
          <cell r="HU125">
            <v>0</v>
          </cell>
          <cell r="HV125">
            <v>0</v>
          </cell>
          <cell r="HW125">
            <v>0</v>
          </cell>
          <cell r="HX125">
            <v>0</v>
          </cell>
          <cell r="HY125">
            <v>0</v>
          </cell>
          <cell r="HZ125">
            <v>0</v>
          </cell>
          <cell r="IA125">
            <v>0</v>
          </cell>
          <cell r="IB125">
            <v>0</v>
          </cell>
          <cell r="IC125">
            <v>0</v>
          </cell>
          <cell r="ID125">
            <v>0</v>
          </cell>
          <cell r="IE125">
            <v>0</v>
          </cell>
          <cell r="IF125">
            <v>0</v>
          </cell>
          <cell r="IG125">
            <v>0</v>
          </cell>
          <cell r="IH125">
            <v>0</v>
          </cell>
          <cell r="II125">
            <v>0</v>
          </cell>
          <cell r="IJ125">
            <v>0</v>
          </cell>
          <cell r="IK125">
            <v>0</v>
          </cell>
          <cell r="IL125">
            <v>0</v>
          </cell>
          <cell r="IM125">
            <v>0</v>
          </cell>
          <cell r="IN125">
            <v>0</v>
          </cell>
          <cell r="IO125">
            <v>0</v>
          </cell>
          <cell r="IP125">
            <v>0</v>
          </cell>
          <cell r="IQ125">
            <v>0</v>
          </cell>
          <cell r="IR125">
            <v>0</v>
          </cell>
          <cell r="IS125">
            <v>0</v>
          </cell>
          <cell r="IT125">
            <v>0</v>
          </cell>
          <cell r="IU125">
            <v>0</v>
          </cell>
          <cell r="IV125">
            <v>0</v>
          </cell>
          <cell r="IW125">
            <v>0</v>
          </cell>
          <cell r="IX125">
            <v>0</v>
          </cell>
          <cell r="IY125">
            <v>0</v>
          </cell>
          <cell r="IZ125">
            <v>0</v>
          </cell>
          <cell r="JA125">
            <v>0</v>
          </cell>
        </row>
        <row r="127">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cell r="EQ127">
            <v>0</v>
          </cell>
          <cell r="ER127">
            <v>0</v>
          </cell>
          <cell r="ES127">
            <v>0</v>
          </cell>
          <cell r="ET127">
            <v>0</v>
          </cell>
          <cell r="EU127">
            <v>0</v>
          </cell>
          <cell r="EV127">
            <v>0</v>
          </cell>
          <cell r="EW127">
            <v>0</v>
          </cell>
          <cell r="EX127">
            <v>0</v>
          </cell>
          <cell r="EY127">
            <v>0</v>
          </cell>
          <cell r="EZ127">
            <v>0</v>
          </cell>
          <cell r="FA127">
            <v>0</v>
          </cell>
          <cell r="FB127">
            <v>0</v>
          </cell>
          <cell r="FC127">
            <v>0</v>
          </cell>
          <cell r="FD127">
            <v>0</v>
          </cell>
          <cell r="FE127">
            <v>0</v>
          </cell>
          <cell r="FF127">
            <v>0</v>
          </cell>
          <cell r="FG127">
            <v>0</v>
          </cell>
          <cell r="FH127">
            <v>0</v>
          </cell>
          <cell r="FI127">
            <v>0</v>
          </cell>
          <cell r="FJ127">
            <v>0</v>
          </cell>
          <cell r="FK127">
            <v>0</v>
          </cell>
          <cell r="FL127">
            <v>0</v>
          </cell>
          <cell r="FM127">
            <v>0</v>
          </cell>
          <cell r="FN127">
            <v>0</v>
          </cell>
          <cell r="FO127">
            <v>0</v>
          </cell>
          <cell r="FP127">
            <v>0</v>
          </cell>
          <cell r="FQ127">
            <v>0</v>
          </cell>
          <cell r="FR127">
            <v>0</v>
          </cell>
          <cell r="FS127">
            <v>0</v>
          </cell>
          <cell r="FT127">
            <v>0</v>
          </cell>
          <cell r="FU127">
            <v>0</v>
          </cell>
          <cell r="FV127">
            <v>0</v>
          </cell>
          <cell r="FW127">
            <v>0</v>
          </cell>
          <cell r="FX127">
            <v>0</v>
          </cell>
          <cell r="FY127">
            <v>0</v>
          </cell>
          <cell r="FZ127">
            <v>0</v>
          </cell>
          <cell r="GA127">
            <v>0</v>
          </cell>
          <cell r="GB127">
            <v>0</v>
          </cell>
          <cell r="GC127">
            <v>0</v>
          </cell>
          <cell r="GD127">
            <v>0</v>
          </cell>
          <cell r="GE127">
            <v>0</v>
          </cell>
          <cell r="GF127">
            <v>0</v>
          </cell>
          <cell r="GG127">
            <v>0</v>
          </cell>
          <cell r="GH127">
            <v>0</v>
          </cell>
          <cell r="GI127">
            <v>0</v>
          </cell>
          <cell r="GJ127">
            <v>0</v>
          </cell>
          <cell r="GK127">
            <v>0</v>
          </cell>
          <cell r="GL127">
            <v>0</v>
          </cell>
          <cell r="GM127">
            <v>0</v>
          </cell>
          <cell r="GN127">
            <v>0</v>
          </cell>
          <cell r="GO127">
            <v>0</v>
          </cell>
          <cell r="GP127">
            <v>0</v>
          </cell>
          <cell r="GQ127">
            <v>0</v>
          </cell>
          <cell r="GR127">
            <v>0</v>
          </cell>
          <cell r="GS127">
            <v>0</v>
          </cell>
          <cell r="GT127">
            <v>0</v>
          </cell>
          <cell r="GU127">
            <v>0</v>
          </cell>
          <cell r="GV127">
            <v>0</v>
          </cell>
          <cell r="GW127">
            <v>0</v>
          </cell>
          <cell r="GX127">
            <v>0</v>
          </cell>
          <cell r="GY127">
            <v>0</v>
          </cell>
          <cell r="GZ127">
            <v>0</v>
          </cell>
          <cell r="HA127">
            <v>0</v>
          </cell>
          <cell r="HB127">
            <v>0</v>
          </cell>
          <cell r="HC127">
            <v>0</v>
          </cell>
          <cell r="HD127">
            <v>0</v>
          </cell>
          <cell r="HE127">
            <v>0</v>
          </cell>
          <cell r="HF127">
            <v>0</v>
          </cell>
          <cell r="HG127">
            <v>0</v>
          </cell>
          <cell r="HH127">
            <v>0</v>
          </cell>
          <cell r="HI127">
            <v>0</v>
          </cell>
          <cell r="HJ127">
            <v>0</v>
          </cell>
          <cell r="HK127">
            <v>0</v>
          </cell>
          <cell r="HL127">
            <v>0</v>
          </cell>
          <cell r="HM127">
            <v>0</v>
          </cell>
          <cell r="HN127">
            <v>0</v>
          </cell>
          <cell r="HO127">
            <v>0</v>
          </cell>
          <cell r="HP127">
            <v>0</v>
          </cell>
          <cell r="HQ127">
            <v>0</v>
          </cell>
          <cell r="HR127">
            <v>0</v>
          </cell>
          <cell r="HS127">
            <v>0</v>
          </cell>
          <cell r="HT127">
            <v>0</v>
          </cell>
          <cell r="HU127">
            <v>0</v>
          </cell>
          <cell r="HV127">
            <v>0</v>
          </cell>
          <cell r="HW127">
            <v>0</v>
          </cell>
          <cell r="HX127">
            <v>0</v>
          </cell>
          <cell r="HY127">
            <v>0</v>
          </cell>
          <cell r="HZ127">
            <v>0</v>
          </cell>
          <cell r="IA127">
            <v>0</v>
          </cell>
          <cell r="IB127">
            <v>0</v>
          </cell>
          <cell r="IC127">
            <v>0</v>
          </cell>
          <cell r="ID127">
            <v>0</v>
          </cell>
          <cell r="IE127">
            <v>0</v>
          </cell>
          <cell r="IF127">
            <v>0</v>
          </cell>
          <cell r="IG127">
            <v>0</v>
          </cell>
          <cell r="IH127">
            <v>0</v>
          </cell>
          <cell r="II127">
            <v>0</v>
          </cell>
          <cell r="IJ127">
            <v>0</v>
          </cell>
          <cell r="IK127">
            <v>0</v>
          </cell>
          <cell r="IL127">
            <v>0</v>
          </cell>
          <cell r="IM127">
            <v>0</v>
          </cell>
          <cell r="IN127">
            <v>0</v>
          </cell>
          <cell r="IO127">
            <v>0</v>
          </cell>
          <cell r="IP127">
            <v>0</v>
          </cell>
          <cell r="IQ127">
            <v>0</v>
          </cell>
          <cell r="IR127">
            <v>0</v>
          </cell>
          <cell r="IS127">
            <v>0</v>
          </cell>
          <cell r="IT127">
            <v>0</v>
          </cell>
          <cell r="IU127">
            <v>0</v>
          </cell>
          <cell r="IV127">
            <v>0</v>
          </cell>
          <cell r="IW127">
            <v>0</v>
          </cell>
          <cell r="IX127">
            <v>0</v>
          </cell>
          <cell r="IY127">
            <v>0</v>
          </cell>
          <cell r="IZ127">
            <v>0</v>
          </cell>
          <cell r="JA127">
            <v>0</v>
          </cell>
        </row>
        <row r="128">
          <cell r="L128">
            <v>0</v>
          </cell>
          <cell r="M128">
            <v>0</v>
          </cell>
          <cell r="N128">
            <v>0</v>
          </cell>
          <cell r="O128">
            <v>0.48075826949999989</v>
          </cell>
          <cell r="P128">
            <v>38.724192427500007</v>
          </cell>
          <cell r="Q128">
            <v>31.601596647999997</v>
          </cell>
          <cell r="R128">
            <v>32.233627153356998</v>
          </cell>
          <cell r="S128">
            <v>32.878299883385992</v>
          </cell>
          <cell r="T128">
            <v>33.535867519858741</v>
          </cell>
          <cell r="U128">
            <v>34.206584685545749</v>
          </cell>
          <cell r="V128">
            <v>34.890715639537753</v>
          </cell>
          <cell r="W128">
            <v>35.588530864733251</v>
          </cell>
          <cell r="X128">
            <v>36.280011858122748</v>
          </cell>
          <cell r="Y128">
            <v>36.798941338917203</v>
          </cell>
          <cell r="Z128">
            <v>37.325318605808796</v>
          </cell>
          <cell r="AA128">
            <v>37.862747087260004</v>
          </cell>
          <cell r="AB128">
            <v>38.405386179586792</v>
          </cell>
          <cell r="AC128">
            <v>38.956181871651502</v>
          </cell>
          <cell r="AD128">
            <v>35.902317159566998</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cell r="EQ128">
            <v>0</v>
          </cell>
          <cell r="ER128">
            <v>0</v>
          </cell>
          <cell r="ES128">
            <v>0</v>
          </cell>
          <cell r="ET128">
            <v>0</v>
          </cell>
          <cell r="EU128">
            <v>0</v>
          </cell>
          <cell r="EV128">
            <v>0</v>
          </cell>
          <cell r="EW128">
            <v>0</v>
          </cell>
          <cell r="EX128">
            <v>0</v>
          </cell>
          <cell r="EY128">
            <v>0</v>
          </cell>
          <cell r="EZ128">
            <v>0</v>
          </cell>
          <cell r="FA128">
            <v>0</v>
          </cell>
          <cell r="FB128">
            <v>0</v>
          </cell>
          <cell r="FC128">
            <v>0</v>
          </cell>
          <cell r="FD128">
            <v>0</v>
          </cell>
          <cell r="FE128">
            <v>0</v>
          </cell>
          <cell r="FF128">
            <v>0</v>
          </cell>
          <cell r="FG128">
            <v>0</v>
          </cell>
          <cell r="FH128">
            <v>0</v>
          </cell>
          <cell r="FI128">
            <v>0</v>
          </cell>
          <cell r="FJ128">
            <v>0</v>
          </cell>
          <cell r="FK128">
            <v>0</v>
          </cell>
          <cell r="FL128">
            <v>0</v>
          </cell>
          <cell r="FM128">
            <v>0</v>
          </cell>
          <cell r="FN128">
            <v>0</v>
          </cell>
          <cell r="FO128">
            <v>0</v>
          </cell>
          <cell r="FP128">
            <v>0</v>
          </cell>
          <cell r="FQ128">
            <v>0</v>
          </cell>
          <cell r="FR128">
            <v>0</v>
          </cell>
          <cell r="FS128">
            <v>0</v>
          </cell>
          <cell r="FT128">
            <v>0</v>
          </cell>
          <cell r="FU128">
            <v>0</v>
          </cell>
          <cell r="FV128">
            <v>0</v>
          </cell>
          <cell r="FW128">
            <v>0</v>
          </cell>
          <cell r="FX128">
            <v>0</v>
          </cell>
          <cell r="FY128">
            <v>0</v>
          </cell>
          <cell r="FZ128">
            <v>0</v>
          </cell>
          <cell r="GA128">
            <v>0</v>
          </cell>
          <cell r="GB128">
            <v>0</v>
          </cell>
          <cell r="GC128">
            <v>0</v>
          </cell>
          <cell r="GD128">
            <v>0</v>
          </cell>
          <cell r="GE128">
            <v>0</v>
          </cell>
          <cell r="GF128">
            <v>0</v>
          </cell>
          <cell r="GG128">
            <v>0</v>
          </cell>
          <cell r="GH128">
            <v>0</v>
          </cell>
          <cell r="GI128">
            <v>0</v>
          </cell>
          <cell r="GJ128">
            <v>0</v>
          </cell>
          <cell r="GK128">
            <v>0</v>
          </cell>
          <cell r="GL128">
            <v>0</v>
          </cell>
          <cell r="GM128">
            <v>0</v>
          </cell>
          <cell r="GN128">
            <v>0</v>
          </cell>
          <cell r="GO128">
            <v>0</v>
          </cell>
          <cell r="GP128">
            <v>0</v>
          </cell>
          <cell r="GQ128">
            <v>0</v>
          </cell>
          <cell r="GR128">
            <v>0</v>
          </cell>
          <cell r="GS128">
            <v>0</v>
          </cell>
          <cell r="GT128">
            <v>0</v>
          </cell>
          <cell r="GU128">
            <v>0</v>
          </cell>
          <cell r="GV128">
            <v>0</v>
          </cell>
          <cell r="GW128">
            <v>0</v>
          </cell>
          <cell r="GX128">
            <v>0</v>
          </cell>
          <cell r="GY128">
            <v>0</v>
          </cell>
          <cell r="GZ128">
            <v>0</v>
          </cell>
          <cell r="HA128">
            <v>0</v>
          </cell>
          <cell r="HB128">
            <v>0</v>
          </cell>
          <cell r="HC128">
            <v>0</v>
          </cell>
          <cell r="HD128">
            <v>0</v>
          </cell>
          <cell r="HE128">
            <v>0</v>
          </cell>
          <cell r="HF128">
            <v>0</v>
          </cell>
          <cell r="HG128">
            <v>0</v>
          </cell>
          <cell r="HH128">
            <v>0</v>
          </cell>
          <cell r="HI128">
            <v>0</v>
          </cell>
          <cell r="HJ128">
            <v>0</v>
          </cell>
          <cell r="HK128">
            <v>0</v>
          </cell>
          <cell r="HL128">
            <v>0</v>
          </cell>
          <cell r="HM128">
            <v>0</v>
          </cell>
          <cell r="HN128">
            <v>0</v>
          </cell>
          <cell r="HO128">
            <v>0</v>
          </cell>
          <cell r="HP128">
            <v>0</v>
          </cell>
          <cell r="HQ128">
            <v>0</v>
          </cell>
          <cell r="HR128">
            <v>0</v>
          </cell>
          <cell r="HS128">
            <v>0</v>
          </cell>
          <cell r="HT128">
            <v>0</v>
          </cell>
          <cell r="HU128">
            <v>0</v>
          </cell>
          <cell r="HV128">
            <v>0</v>
          </cell>
          <cell r="HW128">
            <v>0</v>
          </cell>
          <cell r="HX128">
            <v>0</v>
          </cell>
          <cell r="HY128">
            <v>0</v>
          </cell>
          <cell r="HZ128">
            <v>0</v>
          </cell>
          <cell r="IA128">
            <v>0</v>
          </cell>
          <cell r="IB128">
            <v>0</v>
          </cell>
          <cell r="IC128">
            <v>0</v>
          </cell>
          <cell r="ID128">
            <v>0</v>
          </cell>
          <cell r="IE128">
            <v>0</v>
          </cell>
          <cell r="IF128">
            <v>0</v>
          </cell>
          <cell r="IG128">
            <v>0</v>
          </cell>
          <cell r="IH128">
            <v>0</v>
          </cell>
          <cell r="II128">
            <v>0</v>
          </cell>
          <cell r="IJ128">
            <v>0</v>
          </cell>
          <cell r="IK128">
            <v>0</v>
          </cell>
          <cell r="IL128">
            <v>0</v>
          </cell>
          <cell r="IM128">
            <v>0</v>
          </cell>
          <cell r="IN128">
            <v>0</v>
          </cell>
          <cell r="IO128">
            <v>0</v>
          </cell>
          <cell r="IP128">
            <v>0</v>
          </cell>
          <cell r="IQ128">
            <v>0</v>
          </cell>
          <cell r="IR128">
            <v>0</v>
          </cell>
          <cell r="IS128">
            <v>0</v>
          </cell>
          <cell r="IT128">
            <v>0</v>
          </cell>
          <cell r="IU128">
            <v>0</v>
          </cell>
          <cell r="IV128">
            <v>0</v>
          </cell>
          <cell r="IW128">
            <v>0</v>
          </cell>
          <cell r="IX128">
            <v>0</v>
          </cell>
          <cell r="IY128">
            <v>0</v>
          </cell>
          <cell r="IZ128">
            <v>0</v>
          </cell>
          <cell r="JA128">
            <v>0</v>
          </cell>
        </row>
        <row r="130">
          <cell r="L130">
            <v>0</v>
          </cell>
          <cell r="M130">
            <v>0</v>
          </cell>
          <cell r="N130">
            <v>0</v>
          </cell>
          <cell r="O130">
            <v>67.668499999999995</v>
          </cell>
          <cell r="P130">
            <v>98.467500000000015</v>
          </cell>
          <cell r="Q130">
            <v>73.149999999999991</v>
          </cell>
          <cell r="R130">
            <v>74.612996199999998</v>
          </cell>
          <cell r="S130">
            <v>76.105256199999985</v>
          </cell>
          <cell r="T130">
            <v>77.627366149999986</v>
          </cell>
          <cell r="U130">
            <v>79.179913150000004</v>
          </cell>
          <cell r="V130">
            <v>80.76350995</v>
          </cell>
          <cell r="W130">
            <v>82.378781649999993</v>
          </cell>
          <cell r="X130">
            <v>84.026351449999993</v>
          </cell>
          <cell r="Y130">
            <v>85.706883399999995</v>
          </cell>
          <cell r="Z130">
            <v>87.421021599999989</v>
          </cell>
          <cell r="AA130">
            <v>89.169441500000019</v>
          </cell>
          <cell r="AB130">
            <v>90.952830899999981</v>
          </cell>
          <cell r="AC130">
            <v>92.771887100000001</v>
          </cell>
          <cell r="AD130">
            <v>94.627325449999987</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31">
          <cell r="L131">
            <v>0</v>
          </cell>
          <cell r="M131">
            <v>0</v>
          </cell>
          <cell r="N131">
            <v>0</v>
          </cell>
          <cell r="O131">
            <v>5</v>
          </cell>
          <cell r="P131">
            <v>5.0999999999999996</v>
          </cell>
          <cell r="Q131">
            <v>5.202</v>
          </cell>
          <cell r="R131">
            <v>5.3060400000000003</v>
          </cell>
          <cell r="S131">
            <v>5.4121610000000002</v>
          </cell>
          <cell r="T131">
            <v>5.5204040000000001</v>
          </cell>
          <cell r="U131">
            <v>5.6308119999999997</v>
          </cell>
          <cell r="V131">
            <v>5.7434280000000006</v>
          </cell>
          <cell r="W131">
            <v>5.8582970000000003</v>
          </cell>
          <cell r="X131">
            <v>5.9754620000000003</v>
          </cell>
          <cell r="Y131">
            <v>6.0949720000000003</v>
          </cell>
          <cell r="Z131">
            <v>6.2168719999999995</v>
          </cell>
          <cell r="AA131">
            <v>6.341209000000001</v>
          </cell>
          <cell r="AB131">
            <v>6.4680329999999993</v>
          </cell>
          <cell r="AC131">
            <v>6.5973940000000004</v>
          </cell>
          <cell r="AD131">
            <v>6.7293420000000008</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cell r="EQ131">
            <v>0</v>
          </cell>
          <cell r="ER131">
            <v>0</v>
          </cell>
          <cell r="ES131">
            <v>0</v>
          </cell>
          <cell r="ET131">
            <v>0</v>
          </cell>
          <cell r="EU131">
            <v>0</v>
          </cell>
          <cell r="EV131">
            <v>0</v>
          </cell>
          <cell r="EW131">
            <v>0</v>
          </cell>
          <cell r="EX131">
            <v>0</v>
          </cell>
          <cell r="EY131">
            <v>0</v>
          </cell>
          <cell r="EZ131">
            <v>0</v>
          </cell>
          <cell r="FA131">
            <v>0</v>
          </cell>
          <cell r="FB131">
            <v>0</v>
          </cell>
          <cell r="FC131">
            <v>0</v>
          </cell>
          <cell r="FD131">
            <v>0</v>
          </cell>
          <cell r="FE131">
            <v>0</v>
          </cell>
          <cell r="FF131">
            <v>0</v>
          </cell>
          <cell r="FG131">
            <v>0</v>
          </cell>
          <cell r="FH131">
            <v>0</v>
          </cell>
          <cell r="FI131">
            <v>0</v>
          </cell>
          <cell r="FJ131">
            <v>0</v>
          </cell>
          <cell r="FK131">
            <v>0</v>
          </cell>
          <cell r="FL131">
            <v>0</v>
          </cell>
          <cell r="FM131">
            <v>0</v>
          </cell>
          <cell r="FN131">
            <v>0</v>
          </cell>
          <cell r="FO131">
            <v>0</v>
          </cell>
          <cell r="FP131">
            <v>0</v>
          </cell>
          <cell r="FQ131">
            <v>0</v>
          </cell>
          <cell r="FR131">
            <v>0</v>
          </cell>
          <cell r="FS131">
            <v>0</v>
          </cell>
          <cell r="FT131">
            <v>0</v>
          </cell>
          <cell r="FU131">
            <v>0</v>
          </cell>
          <cell r="FV131">
            <v>0</v>
          </cell>
          <cell r="FW131">
            <v>0</v>
          </cell>
          <cell r="FX131">
            <v>0</v>
          </cell>
          <cell r="FY131">
            <v>0</v>
          </cell>
          <cell r="FZ131">
            <v>0</v>
          </cell>
          <cell r="GA131">
            <v>0</v>
          </cell>
          <cell r="GB131">
            <v>0</v>
          </cell>
          <cell r="GC131">
            <v>0</v>
          </cell>
          <cell r="GD131">
            <v>0</v>
          </cell>
          <cell r="GE131">
            <v>0</v>
          </cell>
          <cell r="GF131">
            <v>0</v>
          </cell>
          <cell r="GG131">
            <v>0</v>
          </cell>
          <cell r="GH131">
            <v>0</v>
          </cell>
          <cell r="GI131">
            <v>0</v>
          </cell>
          <cell r="GJ131">
            <v>0</v>
          </cell>
          <cell r="GK131">
            <v>0</v>
          </cell>
          <cell r="GL131">
            <v>0</v>
          </cell>
          <cell r="GM131">
            <v>0</v>
          </cell>
          <cell r="GN131">
            <v>0</v>
          </cell>
          <cell r="GO131">
            <v>0</v>
          </cell>
          <cell r="GP131">
            <v>0</v>
          </cell>
          <cell r="GQ131">
            <v>0</v>
          </cell>
          <cell r="GR131">
            <v>0</v>
          </cell>
          <cell r="GS131">
            <v>0</v>
          </cell>
          <cell r="GT131">
            <v>0</v>
          </cell>
          <cell r="GU131">
            <v>0</v>
          </cell>
          <cell r="GV131">
            <v>0</v>
          </cell>
          <cell r="GW131">
            <v>0</v>
          </cell>
          <cell r="GX131">
            <v>0</v>
          </cell>
          <cell r="GY131">
            <v>0</v>
          </cell>
          <cell r="GZ131">
            <v>0</v>
          </cell>
          <cell r="HA131">
            <v>0</v>
          </cell>
          <cell r="HB131">
            <v>0</v>
          </cell>
          <cell r="HC131">
            <v>0</v>
          </cell>
          <cell r="HD131">
            <v>0</v>
          </cell>
          <cell r="HE131">
            <v>0</v>
          </cell>
          <cell r="HF131">
            <v>0</v>
          </cell>
          <cell r="HG131">
            <v>0</v>
          </cell>
          <cell r="HH131">
            <v>0</v>
          </cell>
          <cell r="HI131">
            <v>0</v>
          </cell>
          <cell r="HJ131">
            <v>0</v>
          </cell>
          <cell r="HK131">
            <v>0</v>
          </cell>
          <cell r="HL131">
            <v>0</v>
          </cell>
          <cell r="HM131">
            <v>0</v>
          </cell>
          <cell r="HN131">
            <v>0</v>
          </cell>
          <cell r="HO131">
            <v>0</v>
          </cell>
          <cell r="HP131">
            <v>0</v>
          </cell>
          <cell r="HQ131">
            <v>0</v>
          </cell>
          <cell r="HR131">
            <v>0</v>
          </cell>
          <cell r="HS131">
            <v>0</v>
          </cell>
          <cell r="HT131">
            <v>0</v>
          </cell>
          <cell r="HU131">
            <v>0</v>
          </cell>
          <cell r="HV131">
            <v>0</v>
          </cell>
          <cell r="HW131">
            <v>0</v>
          </cell>
          <cell r="HX131">
            <v>0</v>
          </cell>
          <cell r="HY131">
            <v>0</v>
          </cell>
          <cell r="HZ131">
            <v>0</v>
          </cell>
          <cell r="IA131">
            <v>0</v>
          </cell>
          <cell r="IB131">
            <v>0</v>
          </cell>
          <cell r="IC131">
            <v>0</v>
          </cell>
          <cell r="ID131">
            <v>0</v>
          </cell>
          <cell r="IE131">
            <v>0</v>
          </cell>
          <cell r="IF131">
            <v>0</v>
          </cell>
          <cell r="IG131">
            <v>0</v>
          </cell>
          <cell r="IH131">
            <v>0</v>
          </cell>
          <cell r="II131">
            <v>0</v>
          </cell>
          <cell r="IJ131">
            <v>0</v>
          </cell>
          <cell r="IK131">
            <v>0</v>
          </cell>
          <cell r="IL131">
            <v>0</v>
          </cell>
          <cell r="IM131">
            <v>0</v>
          </cell>
          <cell r="IN131">
            <v>0</v>
          </cell>
          <cell r="IO131">
            <v>0</v>
          </cell>
          <cell r="IP131">
            <v>0</v>
          </cell>
          <cell r="IQ131">
            <v>0</v>
          </cell>
          <cell r="IR131">
            <v>0</v>
          </cell>
          <cell r="IS131">
            <v>0</v>
          </cell>
          <cell r="IT131">
            <v>0</v>
          </cell>
          <cell r="IU131">
            <v>0</v>
          </cell>
          <cell r="IV131">
            <v>0</v>
          </cell>
          <cell r="IW131">
            <v>0</v>
          </cell>
          <cell r="IX131">
            <v>0</v>
          </cell>
          <cell r="IY131">
            <v>0</v>
          </cell>
          <cell r="IZ131">
            <v>0</v>
          </cell>
          <cell r="JA131">
            <v>0</v>
          </cell>
        </row>
        <row r="134">
          <cell r="I134">
            <v>0.87192386764822694</v>
          </cell>
          <cell r="L134">
            <v>0</v>
          </cell>
          <cell r="M134">
            <v>0</v>
          </cell>
          <cell r="N134">
            <v>0</v>
          </cell>
          <cell r="O134">
            <v>0.86521292693021479</v>
          </cell>
          <cell r="P134">
            <v>0.90155392117892852</v>
          </cell>
          <cell r="Q134">
            <v>0.86961928082640838</v>
          </cell>
          <cell r="R134">
            <v>0.86961927505194481</v>
          </cell>
          <cell r="S134">
            <v>0.86961927097528702</v>
          </cell>
          <cell r="T134">
            <v>0.86961928254258514</v>
          </cell>
          <cell r="U134">
            <v>0.86961928369093944</v>
          </cell>
          <cell r="V134">
            <v>0.86961928637493924</v>
          </cell>
          <cell r="W134">
            <v>0.86961927992506405</v>
          </cell>
          <cell r="X134">
            <v>0.86961918408593486</v>
          </cell>
          <cell r="Y134">
            <v>0.86961916690472973</v>
          </cell>
          <cell r="Z134">
            <v>0.86961919108380648</v>
          </cell>
          <cell r="AA134">
            <v>0.86961922957565729</v>
          </cell>
          <cell r="AB134">
            <v>0.86961920538878767</v>
          </cell>
          <cell r="AC134">
            <v>0.8696192625983169</v>
          </cell>
          <cell r="AD134">
            <v>0.86961907278046957</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cell r="BP134">
            <v>0</v>
          </cell>
          <cell r="BQ134">
            <v>0</v>
          </cell>
          <cell r="BR134">
            <v>0</v>
          </cell>
          <cell r="BS134">
            <v>0</v>
          </cell>
          <cell r="BT134">
            <v>0</v>
          </cell>
          <cell r="BU134">
            <v>0</v>
          </cell>
          <cell r="BV134">
            <v>0</v>
          </cell>
          <cell r="BW134">
            <v>0</v>
          </cell>
          <cell r="BX134">
            <v>0</v>
          </cell>
          <cell r="BY134">
            <v>0</v>
          </cell>
          <cell r="BZ134">
            <v>0</v>
          </cell>
          <cell r="CA134">
            <v>0</v>
          </cell>
          <cell r="CB134">
            <v>0</v>
          </cell>
          <cell r="CC134">
            <v>0</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0</v>
          </cell>
          <cell r="CR134">
            <v>0</v>
          </cell>
          <cell r="CS134">
            <v>0</v>
          </cell>
          <cell r="CT134">
            <v>0</v>
          </cell>
          <cell r="CU134">
            <v>0</v>
          </cell>
          <cell r="CV134">
            <v>0</v>
          </cell>
          <cell r="CW134">
            <v>0</v>
          </cell>
          <cell r="CX134">
            <v>0</v>
          </cell>
          <cell r="CY134">
            <v>0</v>
          </cell>
          <cell r="CZ134">
            <v>0</v>
          </cell>
          <cell r="DA134">
            <v>0</v>
          </cell>
          <cell r="DB134">
            <v>0</v>
          </cell>
          <cell r="DC134">
            <v>0</v>
          </cell>
          <cell r="DD134">
            <v>0</v>
          </cell>
          <cell r="DE134">
            <v>0</v>
          </cell>
          <cell r="DF134">
            <v>0</v>
          </cell>
          <cell r="DG134">
            <v>0</v>
          </cell>
          <cell r="DH134">
            <v>0</v>
          </cell>
          <cell r="DI134">
            <v>0</v>
          </cell>
          <cell r="DJ134">
            <v>0</v>
          </cell>
          <cell r="DK134">
            <v>0</v>
          </cell>
          <cell r="DL134">
            <v>0</v>
          </cell>
          <cell r="DM134">
            <v>0</v>
          </cell>
          <cell r="DN134">
            <v>0</v>
          </cell>
          <cell r="DO134">
            <v>0</v>
          </cell>
          <cell r="DP134">
            <v>0</v>
          </cell>
          <cell r="DQ134">
            <v>0</v>
          </cell>
          <cell r="DR134">
            <v>0</v>
          </cell>
          <cell r="DS134">
            <v>0</v>
          </cell>
          <cell r="DT134">
            <v>0</v>
          </cell>
          <cell r="DU134">
            <v>0</v>
          </cell>
          <cell r="DV134">
            <v>0</v>
          </cell>
          <cell r="DW134">
            <v>0</v>
          </cell>
          <cell r="DX134">
            <v>0</v>
          </cell>
          <cell r="DY134">
            <v>0</v>
          </cell>
          <cell r="DZ134">
            <v>0</v>
          </cell>
          <cell r="EA134">
            <v>0</v>
          </cell>
          <cell r="EB134">
            <v>0</v>
          </cell>
          <cell r="EC134">
            <v>0</v>
          </cell>
          <cell r="ED134">
            <v>0</v>
          </cell>
          <cell r="EE134">
            <v>0</v>
          </cell>
          <cell r="EF134">
            <v>0</v>
          </cell>
          <cell r="EG134">
            <v>0</v>
          </cell>
          <cell r="EH134">
            <v>0</v>
          </cell>
          <cell r="EI134">
            <v>0</v>
          </cell>
          <cell r="EJ134">
            <v>0</v>
          </cell>
          <cell r="EK134">
            <v>0</v>
          </cell>
          <cell r="EL134">
            <v>0</v>
          </cell>
          <cell r="EM134">
            <v>0</v>
          </cell>
          <cell r="EN134">
            <v>0</v>
          </cell>
          <cell r="EO134">
            <v>0</v>
          </cell>
          <cell r="EP134">
            <v>0</v>
          </cell>
          <cell r="EQ134">
            <v>0</v>
          </cell>
          <cell r="ER134">
            <v>0</v>
          </cell>
          <cell r="ES134">
            <v>0</v>
          </cell>
          <cell r="ET134">
            <v>0</v>
          </cell>
          <cell r="EU134">
            <v>0</v>
          </cell>
          <cell r="EV134">
            <v>0</v>
          </cell>
          <cell r="EW134">
            <v>0</v>
          </cell>
          <cell r="EX134">
            <v>0</v>
          </cell>
          <cell r="EY134">
            <v>0</v>
          </cell>
          <cell r="EZ134">
            <v>0</v>
          </cell>
          <cell r="FA134">
            <v>0</v>
          </cell>
          <cell r="FB134">
            <v>0</v>
          </cell>
          <cell r="FC134">
            <v>0</v>
          </cell>
          <cell r="FD134">
            <v>0</v>
          </cell>
          <cell r="FE134">
            <v>0</v>
          </cell>
          <cell r="FF134">
            <v>0</v>
          </cell>
          <cell r="FG134">
            <v>0</v>
          </cell>
          <cell r="FH134">
            <v>0</v>
          </cell>
          <cell r="FI134">
            <v>0</v>
          </cell>
          <cell r="FJ134">
            <v>0</v>
          </cell>
          <cell r="FK134">
            <v>0</v>
          </cell>
          <cell r="FL134">
            <v>0</v>
          </cell>
          <cell r="FM134">
            <v>0</v>
          </cell>
          <cell r="FN134">
            <v>0</v>
          </cell>
          <cell r="FO134">
            <v>0</v>
          </cell>
          <cell r="FP134">
            <v>0</v>
          </cell>
          <cell r="FQ134">
            <v>0</v>
          </cell>
          <cell r="FR134">
            <v>0</v>
          </cell>
          <cell r="FS134">
            <v>0</v>
          </cell>
          <cell r="FT134">
            <v>0</v>
          </cell>
          <cell r="FU134">
            <v>0</v>
          </cell>
          <cell r="FV134">
            <v>0</v>
          </cell>
          <cell r="FW134">
            <v>0</v>
          </cell>
          <cell r="FX134">
            <v>0</v>
          </cell>
          <cell r="FY134">
            <v>0</v>
          </cell>
          <cell r="FZ134">
            <v>0</v>
          </cell>
          <cell r="GA134">
            <v>0</v>
          </cell>
          <cell r="GB134">
            <v>0</v>
          </cell>
          <cell r="GC134">
            <v>0</v>
          </cell>
          <cell r="GD134">
            <v>0</v>
          </cell>
          <cell r="GE134">
            <v>0</v>
          </cell>
          <cell r="GF134">
            <v>0</v>
          </cell>
          <cell r="GG134">
            <v>0</v>
          </cell>
          <cell r="GH134">
            <v>0</v>
          </cell>
          <cell r="GI134">
            <v>0</v>
          </cell>
          <cell r="GJ134">
            <v>0</v>
          </cell>
          <cell r="GK134">
            <v>0</v>
          </cell>
          <cell r="GL134">
            <v>0</v>
          </cell>
          <cell r="GM134">
            <v>0</v>
          </cell>
          <cell r="GN134">
            <v>0</v>
          </cell>
          <cell r="GO134">
            <v>0</v>
          </cell>
          <cell r="GP134">
            <v>0</v>
          </cell>
          <cell r="GQ134">
            <v>0</v>
          </cell>
          <cell r="GR134">
            <v>0</v>
          </cell>
          <cell r="GS134">
            <v>0</v>
          </cell>
          <cell r="GT134">
            <v>0</v>
          </cell>
          <cell r="GU134">
            <v>0</v>
          </cell>
          <cell r="GV134">
            <v>0</v>
          </cell>
          <cell r="GW134">
            <v>0</v>
          </cell>
          <cell r="GX134">
            <v>0</v>
          </cell>
          <cell r="GY134">
            <v>0</v>
          </cell>
          <cell r="GZ134">
            <v>0</v>
          </cell>
          <cell r="HA134">
            <v>0</v>
          </cell>
          <cell r="HB134">
            <v>0</v>
          </cell>
          <cell r="HC134">
            <v>0</v>
          </cell>
          <cell r="HD134">
            <v>0</v>
          </cell>
          <cell r="HE134">
            <v>0</v>
          </cell>
          <cell r="HF134">
            <v>0</v>
          </cell>
          <cell r="HG134">
            <v>0</v>
          </cell>
          <cell r="HH134">
            <v>0</v>
          </cell>
          <cell r="HI134">
            <v>0</v>
          </cell>
          <cell r="HJ134">
            <v>0</v>
          </cell>
          <cell r="HK134">
            <v>0</v>
          </cell>
          <cell r="HL134">
            <v>0</v>
          </cell>
          <cell r="HM134">
            <v>0</v>
          </cell>
          <cell r="HN134">
            <v>0</v>
          </cell>
          <cell r="HO134">
            <v>0</v>
          </cell>
          <cell r="HP134">
            <v>0</v>
          </cell>
          <cell r="HQ134">
            <v>0</v>
          </cell>
          <cell r="HR134">
            <v>0</v>
          </cell>
          <cell r="HS134">
            <v>0</v>
          </cell>
          <cell r="HT134">
            <v>0</v>
          </cell>
          <cell r="HU134">
            <v>0</v>
          </cell>
          <cell r="HV134">
            <v>0</v>
          </cell>
          <cell r="HW134">
            <v>0</v>
          </cell>
          <cell r="HX134">
            <v>0</v>
          </cell>
          <cell r="HY134">
            <v>0</v>
          </cell>
          <cell r="HZ134">
            <v>0</v>
          </cell>
          <cell r="IA134">
            <v>0</v>
          </cell>
          <cell r="IB134">
            <v>0</v>
          </cell>
          <cell r="IC134">
            <v>0</v>
          </cell>
          <cell r="ID134">
            <v>0</v>
          </cell>
          <cell r="IE134">
            <v>0</v>
          </cell>
          <cell r="IF134">
            <v>0</v>
          </cell>
          <cell r="IG134">
            <v>0</v>
          </cell>
          <cell r="IH134">
            <v>0</v>
          </cell>
          <cell r="II134">
            <v>0</v>
          </cell>
          <cell r="IJ134">
            <v>0</v>
          </cell>
          <cell r="IK134">
            <v>0</v>
          </cell>
          <cell r="IL134">
            <v>0</v>
          </cell>
          <cell r="IM134">
            <v>0</v>
          </cell>
          <cell r="IN134">
            <v>0</v>
          </cell>
          <cell r="IO134">
            <v>0</v>
          </cell>
          <cell r="IP134">
            <v>0</v>
          </cell>
          <cell r="IQ134">
            <v>0</v>
          </cell>
          <cell r="IR134">
            <v>0</v>
          </cell>
          <cell r="IS134">
            <v>0</v>
          </cell>
          <cell r="IT134">
            <v>0</v>
          </cell>
          <cell r="IU134">
            <v>0</v>
          </cell>
          <cell r="IV134">
            <v>0</v>
          </cell>
          <cell r="IW134">
            <v>0</v>
          </cell>
          <cell r="IX134">
            <v>0</v>
          </cell>
          <cell r="IY134">
            <v>0</v>
          </cell>
          <cell r="IZ134">
            <v>0</v>
          </cell>
          <cell r="JA134">
            <v>0</v>
          </cell>
        </row>
        <row r="135">
          <cell r="I135">
            <v>0.12807613235177301</v>
          </cell>
          <cell r="L135">
            <v>0</v>
          </cell>
          <cell r="M135">
            <v>0</v>
          </cell>
          <cell r="N135">
            <v>0</v>
          </cell>
          <cell r="O135">
            <v>0.13478707306978524</v>
          </cell>
          <cell r="P135">
            <v>9.8446078821071356E-2</v>
          </cell>
          <cell r="Q135">
            <v>0.13038071917359156</v>
          </cell>
          <cell r="R135">
            <v>0.13038072494805514</v>
          </cell>
          <cell r="S135">
            <v>0.13038072902471293</v>
          </cell>
          <cell r="T135">
            <v>0.13038071745741489</v>
          </cell>
          <cell r="U135">
            <v>0.13038071630906067</v>
          </cell>
          <cell r="V135">
            <v>0.13038071362506076</v>
          </cell>
          <cell r="W135">
            <v>0.13038072007493584</v>
          </cell>
          <cell r="X135">
            <v>0.13038081591406508</v>
          </cell>
          <cell r="Y135">
            <v>0.13038083309527013</v>
          </cell>
          <cell r="Z135">
            <v>0.13038080891619352</v>
          </cell>
          <cell r="AA135">
            <v>0.13038077042434279</v>
          </cell>
          <cell r="AB135">
            <v>0.13038079461121238</v>
          </cell>
          <cell r="AC135">
            <v>0.13038073740168307</v>
          </cell>
          <cell r="AD135">
            <v>0.13038092721953035</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cell r="BO135">
            <v>0</v>
          </cell>
          <cell r="BP135">
            <v>0</v>
          </cell>
          <cell r="BQ135">
            <v>0</v>
          </cell>
          <cell r="BR135">
            <v>0</v>
          </cell>
          <cell r="BS135">
            <v>0</v>
          </cell>
          <cell r="BT135">
            <v>0</v>
          </cell>
          <cell r="BU135">
            <v>0</v>
          </cell>
          <cell r="BV135">
            <v>0</v>
          </cell>
          <cell r="BW135">
            <v>0</v>
          </cell>
          <cell r="BX135">
            <v>0</v>
          </cell>
          <cell r="BY135">
            <v>0</v>
          </cell>
          <cell r="BZ135">
            <v>0</v>
          </cell>
          <cell r="CA135">
            <v>0</v>
          </cell>
          <cell r="CB135">
            <v>0</v>
          </cell>
          <cell r="CC135">
            <v>0</v>
          </cell>
          <cell r="CD135">
            <v>0</v>
          </cell>
          <cell r="CE135">
            <v>0</v>
          </cell>
          <cell r="CF135">
            <v>0</v>
          </cell>
          <cell r="CG135">
            <v>0</v>
          </cell>
          <cell r="CH135">
            <v>0</v>
          </cell>
          <cell r="CI135">
            <v>0</v>
          </cell>
          <cell r="CJ135">
            <v>0</v>
          </cell>
          <cell r="CK135">
            <v>0</v>
          </cell>
          <cell r="CL135">
            <v>0</v>
          </cell>
          <cell r="CM135">
            <v>0</v>
          </cell>
          <cell r="CN135">
            <v>0</v>
          </cell>
          <cell r="CO135">
            <v>0</v>
          </cell>
          <cell r="CP135">
            <v>0</v>
          </cell>
          <cell r="CQ135">
            <v>0</v>
          </cell>
          <cell r="CR135">
            <v>0</v>
          </cell>
          <cell r="CS135">
            <v>0</v>
          </cell>
          <cell r="CT135">
            <v>0</v>
          </cell>
          <cell r="CU135">
            <v>0</v>
          </cell>
          <cell r="CV135">
            <v>0</v>
          </cell>
          <cell r="CW135">
            <v>0</v>
          </cell>
          <cell r="CX135">
            <v>0</v>
          </cell>
          <cell r="CY135">
            <v>0</v>
          </cell>
          <cell r="CZ135">
            <v>0</v>
          </cell>
          <cell r="DA135">
            <v>0</v>
          </cell>
          <cell r="DB135">
            <v>0</v>
          </cell>
          <cell r="DC135">
            <v>0</v>
          </cell>
          <cell r="DD135">
            <v>0</v>
          </cell>
          <cell r="DE135">
            <v>0</v>
          </cell>
          <cell r="DF135">
            <v>0</v>
          </cell>
          <cell r="DG135">
            <v>0</v>
          </cell>
          <cell r="DH135">
            <v>0</v>
          </cell>
          <cell r="DI135">
            <v>0</v>
          </cell>
          <cell r="DJ135">
            <v>0</v>
          </cell>
          <cell r="DK135">
            <v>0</v>
          </cell>
          <cell r="DL135">
            <v>0</v>
          </cell>
          <cell r="DM135">
            <v>0</v>
          </cell>
          <cell r="DN135">
            <v>0</v>
          </cell>
          <cell r="DO135">
            <v>0</v>
          </cell>
          <cell r="DP135">
            <v>0</v>
          </cell>
          <cell r="DQ135">
            <v>0</v>
          </cell>
          <cell r="DR135">
            <v>0</v>
          </cell>
          <cell r="DS135">
            <v>0</v>
          </cell>
          <cell r="DT135">
            <v>0</v>
          </cell>
          <cell r="DU135">
            <v>0</v>
          </cell>
          <cell r="DV135">
            <v>0</v>
          </cell>
          <cell r="DW135">
            <v>0</v>
          </cell>
          <cell r="DX135">
            <v>0</v>
          </cell>
          <cell r="DY135">
            <v>0</v>
          </cell>
          <cell r="DZ135">
            <v>0</v>
          </cell>
          <cell r="EA135">
            <v>0</v>
          </cell>
          <cell r="EB135">
            <v>0</v>
          </cell>
          <cell r="EC135">
            <v>0</v>
          </cell>
          <cell r="ED135">
            <v>0</v>
          </cell>
          <cell r="EE135">
            <v>0</v>
          </cell>
          <cell r="EF135">
            <v>0</v>
          </cell>
          <cell r="EG135">
            <v>0</v>
          </cell>
          <cell r="EH135">
            <v>0</v>
          </cell>
          <cell r="EI135">
            <v>0</v>
          </cell>
          <cell r="EJ135">
            <v>0</v>
          </cell>
          <cell r="EK135">
            <v>0</v>
          </cell>
          <cell r="EL135">
            <v>0</v>
          </cell>
          <cell r="EM135">
            <v>0</v>
          </cell>
          <cell r="EN135">
            <v>0</v>
          </cell>
          <cell r="EO135">
            <v>0</v>
          </cell>
          <cell r="EP135">
            <v>0</v>
          </cell>
          <cell r="EQ135">
            <v>0</v>
          </cell>
          <cell r="ER135">
            <v>0</v>
          </cell>
          <cell r="ES135">
            <v>0</v>
          </cell>
          <cell r="ET135">
            <v>0</v>
          </cell>
          <cell r="EU135">
            <v>0</v>
          </cell>
          <cell r="EV135">
            <v>0</v>
          </cell>
          <cell r="EW135">
            <v>0</v>
          </cell>
          <cell r="EX135">
            <v>0</v>
          </cell>
          <cell r="EY135">
            <v>0</v>
          </cell>
          <cell r="EZ135">
            <v>0</v>
          </cell>
          <cell r="FA135">
            <v>0</v>
          </cell>
          <cell r="FB135">
            <v>0</v>
          </cell>
          <cell r="FC135">
            <v>0</v>
          </cell>
          <cell r="FD135">
            <v>0</v>
          </cell>
          <cell r="FE135">
            <v>0</v>
          </cell>
          <cell r="FF135">
            <v>0</v>
          </cell>
          <cell r="FG135">
            <v>0</v>
          </cell>
          <cell r="FH135">
            <v>0</v>
          </cell>
          <cell r="FI135">
            <v>0</v>
          </cell>
          <cell r="FJ135">
            <v>0</v>
          </cell>
          <cell r="FK135">
            <v>0</v>
          </cell>
          <cell r="FL135">
            <v>0</v>
          </cell>
          <cell r="FM135">
            <v>0</v>
          </cell>
          <cell r="FN135">
            <v>0</v>
          </cell>
          <cell r="FO135">
            <v>0</v>
          </cell>
          <cell r="FP135">
            <v>0</v>
          </cell>
          <cell r="FQ135">
            <v>0</v>
          </cell>
          <cell r="FR135">
            <v>0</v>
          </cell>
          <cell r="FS135">
            <v>0</v>
          </cell>
          <cell r="FT135">
            <v>0</v>
          </cell>
          <cell r="FU135">
            <v>0</v>
          </cell>
          <cell r="FV135">
            <v>0</v>
          </cell>
          <cell r="FW135">
            <v>0</v>
          </cell>
          <cell r="FX135">
            <v>0</v>
          </cell>
          <cell r="FY135">
            <v>0</v>
          </cell>
          <cell r="FZ135">
            <v>0</v>
          </cell>
          <cell r="GA135">
            <v>0</v>
          </cell>
          <cell r="GB135">
            <v>0</v>
          </cell>
          <cell r="GC135">
            <v>0</v>
          </cell>
          <cell r="GD135">
            <v>0</v>
          </cell>
          <cell r="GE135">
            <v>0</v>
          </cell>
          <cell r="GF135">
            <v>0</v>
          </cell>
          <cell r="GG135">
            <v>0</v>
          </cell>
          <cell r="GH135">
            <v>0</v>
          </cell>
          <cell r="GI135">
            <v>0</v>
          </cell>
          <cell r="GJ135">
            <v>0</v>
          </cell>
          <cell r="GK135">
            <v>0</v>
          </cell>
          <cell r="GL135">
            <v>0</v>
          </cell>
          <cell r="GM135">
            <v>0</v>
          </cell>
          <cell r="GN135">
            <v>0</v>
          </cell>
          <cell r="GO135">
            <v>0</v>
          </cell>
          <cell r="GP135">
            <v>0</v>
          </cell>
          <cell r="GQ135">
            <v>0</v>
          </cell>
          <cell r="GR135">
            <v>0</v>
          </cell>
          <cell r="GS135">
            <v>0</v>
          </cell>
          <cell r="GT135">
            <v>0</v>
          </cell>
          <cell r="GU135">
            <v>0</v>
          </cell>
          <cell r="GV135">
            <v>0</v>
          </cell>
          <cell r="GW135">
            <v>0</v>
          </cell>
          <cell r="GX135">
            <v>0</v>
          </cell>
          <cell r="GY135">
            <v>0</v>
          </cell>
          <cell r="GZ135">
            <v>0</v>
          </cell>
          <cell r="HA135">
            <v>0</v>
          </cell>
          <cell r="HB135">
            <v>0</v>
          </cell>
          <cell r="HC135">
            <v>0</v>
          </cell>
          <cell r="HD135">
            <v>0</v>
          </cell>
          <cell r="HE135">
            <v>0</v>
          </cell>
          <cell r="HF135">
            <v>0</v>
          </cell>
          <cell r="HG135">
            <v>0</v>
          </cell>
          <cell r="HH135">
            <v>0</v>
          </cell>
          <cell r="HI135">
            <v>0</v>
          </cell>
          <cell r="HJ135">
            <v>0</v>
          </cell>
          <cell r="HK135">
            <v>0</v>
          </cell>
          <cell r="HL135">
            <v>0</v>
          </cell>
          <cell r="HM135">
            <v>0</v>
          </cell>
          <cell r="HN135">
            <v>0</v>
          </cell>
          <cell r="HO135">
            <v>0</v>
          </cell>
          <cell r="HP135">
            <v>0</v>
          </cell>
          <cell r="HQ135">
            <v>0</v>
          </cell>
          <cell r="HR135">
            <v>0</v>
          </cell>
          <cell r="HS135">
            <v>0</v>
          </cell>
          <cell r="HT135">
            <v>0</v>
          </cell>
          <cell r="HU135">
            <v>0</v>
          </cell>
          <cell r="HV135">
            <v>0</v>
          </cell>
          <cell r="HW135">
            <v>0</v>
          </cell>
          <cell r="HX135">
            <v>0</v>
          </cell>
          <cell r="HY135">
            <v>0</v>
          </cell>
          <cell r="HZ135">
            <v>0</v>
          </cell>
          <cell r="IA135">
            <v>0</v>
          </cell>
          <cell r="IB135">
            <v>0</v>
          </cell>
          <cell r="IC135">
            <v>0</v>
          </cell>
          <cell r="ID135">
            <v>0</v>
          </cell>
          <cell r="IE135">
            <v>0</v>
          </cell>
          <cell r="IF135">
            <v>0</v>
          </cell>
          <cell r="IG135">
            <v>0</v>
          </cell>
          <cell r="IH135">
            <v>0</v>
          </cell>
          <cell r="II135">
            <v>0</v>
          </cell>
          <cell r="IJ135">
            <v>0</v>
          </cell>
          <cell r="IK135">
            <v>0</v>
          </cell>
          <cell r="IL135">
            <v>0</v>
          </cell>
          <cell r="IM135">
            <v>0</v>
          </cell>
          <cell r="IN135">
            <v>0</v>
          </cell>
          <cell r="IO135">
            <v>0</v>
          </cell>
          <cell r="IP135">
            <v>0</v>
          </cell>
          <cell r="IQ135">
            <v>0</v>
          </cell>
          <cell r="IR135">
            <v>0</v>
          </cell>
          <cell r="IS135">
            <v>0</v>
          </cell>
          <cell r="IT135">
            <v>0</v>
          </cell>
          <cell r="IU135">
            <v>0</v>
          </cell>
          <cell r="IV135">
            <v>0</v>
          </cell>
          <cell r="IW135">
            <v>0</v>
          </cell>
          <cell r="IX135">
            <v>0</v>
          </cell>
          <cell r="IY135">
            <v>0</v>
          </cell>
          <cell r="IZ135">
            <v>0</v>
          </cell>
          <cell r="JA135">
            <v>0</v>
          </cell>
        </row>
        <row r="139">
          <cell r="B139">
            <v>0</v>
          </cell>
        </row>
        <row r="146">
          <cell r="L146">
            <v>0</v>
          </cell>
          <cell r="M146">
            <v>0</v>
          </cell>
          <cell r="N146">
            <v>0</v>
          </cell>
          <cell r="O146">
            <v>5.7149999999999996E-3</v>
          </cell>
          <cell r="P146">
            <v>0.40626800000000002</v>
          </cell>
          <cell r="Q146">
            <v>0.43909199999999998</v>
          </cell>
          <cell r="R146">
            <v>0.44787399999999999</v>
          </cell>
          <cell r="S146">
            <v>0.45683099999999999</v>
          </cell>
          <cell r="T146">
            <v>0.46596799999999999</v>
          </cell>
          <cell r="U146">
            <v>0.47528700000000002</v>
          </cell>
          <cell r="V146">
            <v>0.48479299999999997</v>
          </cell>
          <cell r="W146">
            <v>0.49448900000000001</v>
          </cell>
          <cell r="X146">
            <v>0.50409599999999999</v>
          </cell>
          <cell r="Y146">
            <v>0.51130699999999996</v>
          </cell>
          <cell r="Z146">
            <v>0.51861999999999997</v>
          </cell>
          <cell r="AA146">
            <v>0.52608900000000003</v>
          </cell>
          <cell r="AB146">
            <v>0.53362699999999996</v>
          </cell>
          <cell r="AC146">
            <v>0.54128100000000001</v>
          </cell>
          <cell r="AD146">
            <v>0.49884800000000001</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0</v>
          </cell>
          <cell r="CR146">
            <v>0</v>
          </cell>
          <cell r="CS146">
            <v>0</v>
          </cell>
          <cell r="CT146">
            <v>0</v>
          </cell>
          <cell r="CU146">
            <v>0</v>
          </cell>
          <cell r="CV146">
            <v>0</v>
          </cell>
          <cell r="CW146">
            <v>0</v>
          </cell>
          <cell r="CX146">
            <v>0</v>
          </cell>
          <cell r="CY146">
            <v>0</v>
          </cell>
          <cell r="CZ146">
            <v>0</v>
          </cell>
          <cell r="DA146">
            <v>0</v>
          </cell>
          <cell r="DB146">
            <v>0</v>
          </cell>
          <cell r="DC146">
            <v>0</v>
          </cell>
          <cell r="DD146">
            <v>0</v>
          </cell>
          <cell r="DE146">
            <v>0</v>
          </cell>
          <cell r="DF146">
            <v>0</v>
          </cell>
          <cell r="DG146">
            <v>0</v>
          </cell>
          <cell r="DH146">
            <v>0</v>
          </cell>
          <cell r="DI146">
            <v>0</v>
          </cell>
          <cell r="DJ146">
            <v>0</v>
          </cell>
          <cell r="DK146">
            <v>0</v>
          </cell>
          <cell r="DL146">
            <v>0</v>
          </cell>
          <cell r="DM146">
            <v>0</v>
          </cell>
          <cell r="DN146">
            <v>0</v>
          </cell>
          <cell r="DO146">
            <v>0</v>
          </cell>
          <cell r="DP146">
            <v>0</v>
          </cell>
          <cell r="DQ146">
            <v>0</v>
          </cell>
          <cell r="DR146">
            <v>0</v>
          </cell>
          <cell r="DS146">
            <v>0</v>
          </cell>
          <cell r="DT146">
            <v>0</v>
          </cell>
          <cell r="DU146">
            <v>0</v>
          </cell>
          <cell r="DV146">
            <v>0</v>
          </cell>
          <cell r="DW146">
            <v>0</v>
          </cell>
          <cell r="DX146">
            <v>0</v>
          </cell>
          <cell r="DY146">
            <v>0</v>
          </cell>
          <cell r="DZ146">
            <v>0</v>
          </cell>
          <cell r="EA146">
            <v>0</v>
          </cell>
          <cell r="EB146">
            <v>0</v>
          </cell>
          <cell r="EC146">
            <v>0</v>
          </cell>
          <cell r="ED146">
            <v>0</v>
          </cell>
          <cell r="EE146">
            <v>0</v>
          </cell>
          <cell r="EF146">
            <v>0</v>
          </cell>
          <cell r="EG146">
            <v>0</v>
          </cell>
          <cell r="EH146">
            <v>0</v>
          </cell>
          <cell r="EI146">
            <v>0</v>
          </cell>
          <cell r="EJ146">
            <v>0</v>
          </cell>
          <cell r="EK146">
            <v>0</v>
          </cell>
          <cell r="EL146">
            <v>0</v>
          </cell>
          <cell r="EM146">
            <v>0</v>
          </cell>
          <cell r="EN146">
            <v>0</v>
          </cell>
          <cell r="EO146">
            <v>0</v>
          </cell>
          <cell r="EP146">
            <v>0</v>
          </cell>
          <cell r="EQ146">
            <v>0</v>
          </cell>
          <cell r="ER146">
            <v>0</v>
          </cell>
          <cell r="ES146">
            <v>0</v>
          </cell>
          <cell r="ET146">
            <v>0</v>
          </cell>
          <cell r="EU146">
            <v>0</v>
          </cell>
          <cell r="EV146">
            <v>0</v>
          </cell>
          <cell r="EW146">
            <v>0</v>
          </cell>
          <cell r="EX146">
            <v>0</v>
          </cell>
          <cell r="EY146">
            <v>0</v>
          </cell>
          <cell r="EZ146">
            <v>0</v>
          </cell>
          <cell r="FA146">
            <v>0</v>
          </cell>
          <cell r="FB146">
            <v>0</v>
          </cell>
          <cell r="FC146">
            <v>0</v>
          </cell>
          <cell r="FD146">
            <v>0</v>
          </cell>
          <cell r="FE146">
            <v>0</v>
          </cell>
          <cell r="FF146">
            <v>0</v>
          </cell>
          <cell r="FG146">
            <v>0</v>
          </cell>
          <cell r="FH146">
            <v>0</v>
          </cell>
          <cell r="FI146">
            <v>0</v>
          </cell>
          <cell r="FJ146">
            <v>0</v>
          </cell>
          <cell r="FK146">
            <v>0</v>
          </cell>
          <cell r="FL146">
            <v>0</v>
          </cell>
          <cell r="FM146">
            <v>0</v>
          </cell>
          <cell r="FN146">
            <v>0</v>
          </cell>
          <cell r="FO146">
            <v>0</v>
          </cell>
          <cell r="FP146">
            <v>0</v>
          </cell>
          <cell r="FQ146">
            <v>0</v>
          </cell>
          <cell r="FR146">
            <v>0</v>
          </cell>
          <cell r="FS146">
            <v>0</v>
          </cell>
          <cell r="FT146">
            <v>0</v>
          </cell>
          <cell r="FU146">
            <v>0</v>
          </cell>
          <cell r="FV146">
            <v>0</v>
          </cell>
          <cell r="FW146">
            <v>0</v>
          </cell>
          <cell r="FX146">
            <v>0</v>
          </cell>
          <cell r="FY146">
            <v>0</v>
          </cell>
          <cell r="FZ146">
            <v>0</v>
          </cell>
          <cell r="GA146">
            <v>0</v>
          </cell>
          <cell r="GB146">
            <v>0</v>
          </cell>
          <cell r="GC146">
            <v>0</v>
          </cell>
          <cell r="GD146">
            <v>0</v>
          </cell>
          <cell r="GE146">
            <v>0</v>
          </cell>
          <cell r="GF146">
            <v>0</v>
          </cell>
          <cell r="GG146">
            <v>0</v>
          </cell>
          <cell r="GH146">
            <v>0</v>
          </cell>
          <cell r="GI146">
            <v>0</v>
          </cell>
          <cell r="GJ146">
            <v>0</v>
          </cell>
          <cell r="GK146">
            <v>0</v>
          </cell>
          <cell r="GL146">
            <v>0</v>
          </cell>
          <cell r="GM146">
            <v>0</v>
          </cell>
          <cell r="GN146">
            <v>0</v>
          </cell>
          <cell r="GO146">
            <v>0</v>
          </cell>
          <cell r="GP146">
            <v>0</v>
          </cell>
          <cell r="GQ146">
            <v>0</v>
          </cell>
          <cell r="GR146">
            <v>0</v>
          </cell>
          <cell r="GS146">
            <v>0</v>
          </cell>
          <cell r="GT146">
            <v>0</v>
          </cell>
          <cell r="GU146">
            <v>0</v>
          </cell>
          <cell r="GV146">
            <v>0</v>
          </cell>
          <cell r="GW146">
            <v>0</v>
          </cell>
          <cell r="GX146">
            <v>0</v>
          </cell>
          <cell r="GY146">
            <v>0</v>
          </cell>
          <cell r="GZ146">
            <v>0</v>
          </cell>
          <cell r="HA146">
            <v>0</v>
          </cell>
          <cell r="HB146">
            <v>0</v>
          </cell>
          <cell r="HC146">
            <v>0</v>
          </cell>
          <cell r="HD146">
            <v>0</v>
          </cell>
          <cell r="HE146">
            <v>0</v>
          </cell>
          <cell r="HF146">
            <v>0</v>
          </cell>
          <cell r="HG146">
            <v>0</v>
          </cell>
          <cell r="HH146">
            <v>0</v>
          </cell>
          <cell r="HI146">
            <v>0</v>
          </cell>
          <cell r="HJ146">
            <v>0</v>
          </cell>
          <cell r="HK146">
            <v>0</v>
          </cell>
          <cell r="HL146">
            <v>0</v>
          </cell>
          <cell r="HM146">
            <v>0</v>
          </cell>
          <cell r="HN146">
            <v>0</v>
          </cell>
          <cell r="HO146">
            <v>0</v>
          </cell>
          <cell r="HP146">
            <v>0</v>
          </cell>
          <cell r="HQ146">
            <v>0</v>
          </cell>
          <cell r="HR146">
            <v>0</v>
          </cell>
          <cell r="HS146">
            <v>0</v>
          </cell>
          <cell r="HT146">
            <v>0</v>
          </cell>
          <cell r="HU146">
            <v>0</v>
          </cell>
          <cell r="HV146">
            <v>0</v>
          </cell>
          <cell r="HW146">
            <v>0</v>
          </cell>
          <cell r="HX146">
            <v>0</v>
          </cell>
          <cell r="HY146">
            <v>0</v>
          </cell>
          <cell r="HZ146">
            <v>0</v>
          </cell>
          <cell r="IA146">
            <v>0</v>
          </cell>
          <cell r="IB146">
            <v>0</v>
          </cell>
          <cell r="IC146">
            <v>0</v>
          </cell>
          <cell r="ID146">
            <v>0</v>
          </cell>
          <cell r="IE146">
            <v>0</v>
          </cell>
          <cell r="IF146">
            <v>0</v>
          </cell>
          <cell r="IG146">
            <v>0</v>
          </cell>
          <cell r="IH146">
            <v>0</v>
          </cell>
          <cell r="II146">
            <v>0</v>
          </cell>
          <cell r="IJ146">
            <v>0</v>
          </cell>
          <cell r="IK146">
            <v>0</v>
          </cell>
          <cell r="IL146">
            <v>0</v>
          </cell>
          <cell r="IM146">
            <v>0</v>
          </cell>
          <cell r="IN146">
            <v>0</v>
          </cell>
          <cell r="IO146">
            <v>0</v>
          </cell>
          <cell r="IP146">
            <v>0</v>
          </cell>
          <cell r="IQ146">
            <v>0</v>
          </cell>
          <cell r="IR146">
            <v>0</v>
          </cell>
          <cell r="IS146">
            <v>0</v>
          </cell>
          <cell r="IT146">
            <v>0</v>
          </cell>
          <cell r="IU146">
            <v>0</v>
          </cell>
          <cell r="IV146">
            <v>0</v>
          </cell>
          <cell r="IW146">
            <v>0</v>
          </cell>
          <cell r="IX146">
            <v>0</v>
          </cell>
          <cell r="IY146">
            <v>0</v>
          </cell>
          <cell r="IZ146">
            <v>0</v>
          </cell>
          <cell r="JA146">
            <v>0</v>
          </cell>
        </row>
        <row r="148">
          <cell r="L148">
            <v>0</v>
          </cell>
          <cell r="M148">
            <v>0</v>
          </cell>
          <cell r="N148">
            <v>0</v>
          </cell>
          <cell r="O148">
            <v>11.964463</v>
          </cell>
          <cell r="P148">
            <v>14.114901</v>
          </cell>
          <cell r="Q148">
            <v>14.397199000000001</v>
          </cell>
          <cell r="R148">
            <v>14.685142000000001</v>
          </cell>
          <cell r="S148">
            <v>14.978845</v>
          </cell>
          <cell r="T148">
            <v>15.278423</v>
          </cell>
          <cell r="U148">
            <v>15.583990999999999</v>
          </cell>
          <cell r="V148">
            <v>15.895671</v>
          </cell>
          <cell r="W148">
            <v>16.213584999999998</v>
          </cell>
          <cell r="X148">
            <v>16.537855</v>
          </cell>
          <cell r="Y148">
            <v>16.868613</v>
          </cell>
          <cell r="Z148">
            <v>16.542335999999999</v>
          </cell>
          <cell r="AA148">
            <v>15.791589999999999</v>
          </cell>
          <cell r="AB148">
            <v>15.010325999999999</v>
          </cell>
          <cell r="AC148">
            <v>14.197702</v>
          </cell>
          <cell r="AD148">
            <v>13.456065000000001</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cell r="BM148">
            <v>0</v>
          </cell>
          <cell r="BN148">
            <v>0</v>
          </cell>
          <cell r="BO148">
            <v>0</v>
          </cell>
          <cell r="BP148">
            <v>0</v>
          </cell>
          <cell r="BQ148">
            <v>0</v>
          </cell>
          <cell r="BR148">
            <v>0</v>
          </cell>
          <cell r="BS148">
            <v>0</v>
          </cell>
          <cell r="BT148">
            <v>0</v>
          </cell>
          <cell r="BU148">
            <v>0</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0</v>
          </cell>
          <cell r="CR148">
            <v>0</v>
          </cell>
          <cell r="CS148">
            <v>0</v>
          </cell>
          <cell r="CT148">
            <v>0</v>
          </cell>
          <cell r="CU148">
            <v>0</v>
          </cell>
          <cell r="CV148">
            <v>0</v>
          </cell>
          <cell r="CW148">
            <v>0</v>
          </cell>
          <cell r="CX148">
            <v>0</v>
          </cell>
          <cell r="CY148">
            <v>0</v>
          </cell>
          <cell r="CZ148">
            <v>0</v>
          </cell>
          <cell r="DA148">
            <v>0</v>
          </cell>
          <cell r="DB148">
            <v>0</v>
          </cell>
          <cell r="DC148">
            <v>0</v>
          </cell>
          <cell r="DD148">
            <v>0</v>
          </cell>
          <cell r="DE148">
            <v>0</v>
          </cell>
          <cell r="DF148">
            <v>0</v>
          </cell>
          <cell r="DG148">
            <v>0</v>
          </cell>
          <cell r="DH148">
            <v>0</v>
          </cell>
          <cell r="DI148">
            <v>0</v>
          </cell>
          <cell r="DJ148">
            <v>0</v>
          </cell>
          <cell r="DK148">
            <v>0</v>
          </cell>
          <cell r="DL148">
            <v>0</v>
          </cell>
          <cell r="DM148">
            <v>0</v>
          </cell>
          <cell r="DN148">
            <v>0</v>
          </cell>
          <cell r="DO148">
            <v>0</v>
          </cell>
          <cell r="DP148">
            <v>0</v>
          </cell>
          <cell r="DQ148">
            <v>0</v>
          </cell>
          <cell r="DR148">
            <v>0</v>
          </cell>
          <cell r="DS148">
            <v>0</v>
          </cell>
          <cell r="DT148">
            <v>0</v>
          </cell>
          <cell r="DU148">
            <v>0</v>
          </cell>
          <cell r="DV148">
            <v>0</v>
          </cell>
          <cell r="DW148">
            <v>0</v>
          </cell>
          <cell r="DX148">
            <v>0</v>
          </cell>
          <cell r="DY148">
            <v>0</v>
          </cell>
          <cell r="DZ148">
            <v>0</v>
          </cell>
          <cell r="EA148">
            <v>0</v>
          </cell>
          <cell r="EB148">
            <v>0</v>
          </cell>
          <cell r="EC148">
            <v>0</v>
          </cell>
          <cell r="ED148">
            <v>0</v>
          </cell>
          <cell r="EE148">
            <v>0</v>
          </cell>
          <cell r="EF148">
            <v>0</v>
          </cell>
          <cell r="EG148">
            <v>0</v>
          </cell>
          <cell r="EH148">
            <v>0</v>
          </cell>
          <cell r="EI148">
            <v>0</v>
          </cell>
          <cell r="EJ148">
            <v>0</v>
          </cell>
          <cell r="EK148">
            <v>0</v>
          </cell>
          <cell r="EL148">
            <v>0</v>
          </cell>
          <cell r="EM148">
            <v>0</v>
          </cell>
          <cell r="EN148">
            <v>0</v>
          </cell>
          <cell r="EO148">
            <v>0</v>
          </cell>
          <cell r="EP148">
            <v>0</v>
          </cell>
          <cell r="EQ148">
            <v>0</v>
          </cell>
          <cell r="ER148">
            <v>0</v>
          </cell>
          <cell r="ES148">
            <v>0</v>
          </cell>
          <cell r="ET148">
            <v>0</v>
          </cell>
          <cell r="EU148">
            <v>0</v>
          </cell>
          <cell r="EV148">
            <v>0</v>
          </cell>
          <cell r="EW148">
            <v>0</v>
          </cell>
          <cell r="EX148">
            <v>0</v>
          </cell>
          <cell r="EY148">
            <v>0</v>
          </cell>
          <cell r="EZ148">
            <v>0</v>
          </cell>
          <cell r="FA148">
            <v>0</v>
          </cell>
          <cell r="FB148">
            <v>0</v>
          </cell>
          <cell r="FC148">
            <v>0</v>
          </cell>
          <cell r="FD148">
            <v>0</v>
          </cell>
          <cell r="FE148">
            <v>0</v>
          </cell>
          <cell r="FF148">
            <v>0</v>
          </cell>
          <cell r="FG148">
            <v>0</v>
          </cell>
          <cell r="FH148">
            <v>0</v>
          </cell>
          <cell r="FI148">
            <v>0</v>
          </cell>
          <cell r="FJ148">
            <v>0</v>
          </cell>
          <cell r="FK148">
            <v>0</v>
          </cell>
          <cell r="FL148">
            <v>0</v>
          </cell>
          <cell r="FM148">
            <v>0</v>
          </cell>
          <cell r="FN148">
            <v>0</v>
          </cell>
          <cell r="FO148">
            <v>0</v>
          </cell>
          <cell r="FP148">
            <v>0</v>
          </cell>
          <cell r="FQ148">
            <v>0</v>
          </cell>
          <cell r="FR148">
            <v>0</v>
          </cell>
          <cell r="FS148">
            <v>0</v>
          </cell>
          <cell r="FT148">
            <v>0</v>
          </cell>
          <cell r="FU148">
            <v>0</v>
          </cell>
          <cell r="FV148">
            <v>0</v>
          </cell>
          <cell r="FW148">
            <v>0</v>
          </cell>
          <cell r="FX148">
            <v>0</v>
          </cell>
          <cell r="FY148">
            <v>0</v>
          </cell>
          <cell r="FZ148">
            <v>0</v>
          </cell>
          <cell r="GA148">
            <v>0</v>
          </cell>
          <cell r="GB148">
            <v>0</v>
          </cell>
          <cell r="GC148">
            <v>0</v>
          </cell>
          <cell r="GD148">
            <v>0</v>
          </cell>
          <cell r="GE148">
            <v>0</v>
          </cell>
          <cell r="GF148">
            <v>0</v>
          </cell>
          <cell r="GG148">
            <v>0</v>
          </cell>
          <cell r="GH148">
            <v>0</v>
          </cell>
          <cell r="GI148">
            <v>0</v>
          </cell>
          <cell r="GJ148">
            <v>0</v>
          </cell>
          <cell r="GK148">
            <v>0</v>
          </cell>
          <cell r="GL148">
            <v>0</v>
          </cell>
          <cell r="GM148">
            <v>0</v>
          </cell>
          <cell r="GN148">
            <v>0</v>
          </cell>
          <cell r="GO148">
            <v>0</v>
          </cell>
          <cell r="GP148">
            <v>0</v>
          </cell>
          <cell r="GQ148">
            <v>0</v>
          </cell>
          <cell r="GR148">
            <v>0</v>
          </cell>
          <cell r="GS148">
            <v>0</v>
          </cell>
          <cell r="GT148">
            <v>0</v>
          </cell>
          <cell r="GU148">
            <v>0</v>
          </cell>
          <cell r="GV148">
            <v>0</v>
          </cell>
          <cell r="GW148">
            <v>0</v>
          </cell>
          <cell r="GX148">
            <v>0</v>
          </cell>
          <cell r="GY148">
            <v>0</v>
          </cell>
          <cell r="GZ148">
            <v>0</v>
          </cell>
          <cell r="HA148">
            <v>0</v>
          </cell>
          <cell r="HB148">
            <v>0</v>
          </cell>
          <cell r="HC148">
            <v>0</v>
          </cell>
          <cell r="HD148">
            <v>0</v>
          </cell>
          <cell r="HE148">
            <v>0</v>
          </cell>
          <cell r="HF148">
            <v>0</v>
          </cell>
          <cell r="HG148">
            <v>0</v>
          </cell>
          <cell r="HH148">
            <v>0</v>
          </cell>
          <cell r="HI148">
            <v>0</v>
          </cell>
          <cell r="HJ148">
            <v>0</v>
          </cell>
          <cell r="HK148">
            <v>0</v>
          </cell>
          <cell r="HL148">
            <v>0</v>
          </cell>
          <cell r="HM148">
            <v>0</v>
          </cell>
          <cell r="HN148">
            <v>0</v>
          </cell>
          <cell r="HO148">
            <v>0</v>
          </cell>
          <cell r="HP148">
            <v>0</v>
          </cell>
          <cell r="HQ148">
            <v>0</v>
          </cell>
          <cell r="HR148">
            <v>0</v>
          </cell>
          <cell r="HS148">
            <v>0</v>
          </cell>
          <cell r="HT148">
            <v>0</v>
          </cell>
          <cell r="HU148">
            <v>0</v>
          </cell>
          <cell r="HV148">
            <v>0</v>
          </cell>
          <cell r="HW148">
            <v>0</v>
          </cell>
          <cell r="HX148">
            <v>0</v>
          </cell>
          <cell r="HY148">
            <v>0</v>
          </cell>
          <cell r="HZ148">
            <v>0</v>
          </cell>
          <cell r="IA148">
            <v>0</v>
          </cell>
          <cell r="IB148">
            <v>0</v>
          </cell>
          <cell r="IC148">
            <v>0</v>
          </cell>
          <cell r="ID148">
            <v>0</v>
          </cell>
          <cell r="IE148">
            <v>0</v>
          </cell>
          <cell r="IF148">
            <v>0</v>
          </cell>
          <cell r="IG148">
            <v>0</v>
          </cell>
          <cell r="IH148">
            <v>0</v>
          </cell>
          <cell r="II148">
            <v>0</v>
          </cell>
          <cell r="IJ148">
            <v>0</v>
          </cell>
          <cell r="IK148">
            <v>0</v>
          </cell>
          <cell r="IL148">
            <v>0</v>
          </cell>
          <cell r="IM148">
            <v>0</v>
          </cell>
          <cell r="IN148">
            <v>0</v>
          </cell>
          <cell r="IO148">
            <v>0</v>
          </cell>
          <cell r="IP148">
            <v>0</v>
          </cell>
          <cell r="IQ148">
            <v>0</v>
          </cell>
          <cell r="IR148">
            <v>0</v>
          </cell>
          <cell r="IS148">
            <v>0</v>
          </cell>
          <cell r="IT148">
            <v>0</v>
          </cell>
          <cell r="IU148">
            <v>0</v>
          </cell>
          <cell r="IV148">
            <v>0</v>
          </cell>
          <cell r="IW148">
            <v>0</v>
          </cell>
          <cell r="IX148">
            <v>0</v>
          </cell>
          <cell r="IY148">
            <v>0</v>
          </cell>
          <cell r="IZ148">
            <v>0</v>
          </cell>
          <cell r="JA148">
            <v>0</v>
          </cell>
        </row>
        <row r="150">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cell r="BM150">
            <v>0</v>
          </cell>
          <cell r="BN150">
            <v>0</v>
          </cell>
          <cell r="BO150">
            <v>0</v>
          </cell>
          <cell r="BP150">
            <v>0</v>
          </cell>
          <cell r="BQ150">
            <v>0</v>
          </cell>
          <cell r="BR150">
            <v>0</v>
          </cell>
          <cell r="BS150">
            <v>0</v>
          </cell>
          <cell r="BT150">
            <v>0</v>
          </cell>
          <cell r="BU150">
            <v>0</v>
          </cell>
          <cell r="BV150">
            <v>0</v>
          </cell>
          <cell r="BW150">
            <v>0</v>
          </cell>
          <cell r="BX150">
            <v>0</v>
          </cell>
          <cell r="BY150">
            <v>0</v>
          </cell>
          <cell r="BZ150">
            <v>0</v>
          </cell>
          <cell r="CA150">
            <v>0</v>
          </cell>
          <cell r="CB150">
            <v>0</v>
          </cell>
          <cell r="CC150">
            <v>0</v>
          </cell>
          <cell r="CD150">
            <v>0</v>
          </cell>
          <cell r="CE150">
            <v>0</v>
          </cell>
          <cell r="CF150">
            <v>0</v>
          </cell>
          <cell r="CG150">
            <v>0</v>
          </cell>
          <cell r="CH150">
            <v>0</v>
          </cell>
          <cell r="CI150">
            <v>0</v>
          </cell>
          <cell r="CJ150">
            <v>0</v>
          </cell>
          <cell r="CK150">
            <v>0</v>
          </cell>
          <cell r="CL150">
            <v>0</v>
          </cell>
          <cell r="CM150">
            <v>0</v>
          </cell>
          <cell r="CN150">
            <v>0</v>
          </cell>
          <cell r="CO150">
            <v>0</v>
          </cell>
          <cell r="CP150">
            <v>0</v>
          </cell>
          <cell r="CQ150">
            <v>0</v>
          </cell>
          <cell r="CR150">
            <v>0</v>
          </cell>
          <cell r="CS150">
            <v>0</v>
          </cell>
          <cell r="CT150">
            <v>0</v>
          </cell>
          <cell r="CU150">
            <v>0</v>
          </cell>
          <cell r="CV150">
            <v>0</v>
          </cell>
          <cell r="CW150">
            <v>0</v>
          </cell>
          <cell r="CX150">
            <v>0</v>
          </cell>
          <cell r="CY150">
            <v>0</v>
          </cell>
          <cell r="CZ150">
            <v>0</v>
          </cell>
          <cell r="DA150">
            <v>0</v>
          </cell>
          <cell r="DB150">
            <v>0</v>
          </cell>
          <cell r="DC150">
            <v>0</v>
          </cell>
          <cell r="DD150">
            <v>0</v>
          </cell>
          <cell r="DE150">
            <v>0</v>
          </cell>
          <cell r="DF150">
            <v>0</v>
          </cell>
          <cell r="DG150">
            <v>0</v>
          </cell>
          <cell r="DH150">
            <v>0</v>
          </cell>
          <cell r="DI150">
            <v>0</v>
          </cell>
          <cell r="DJ150">
            <v>0</v>
          </cell>
          <cell r="DK150">
            <v>0</v>
          </cell>
          <cell r="DL150">
            <v>0</v>
          </cell>
          <cell r="DM150">
            <v>0</v>
          </cell>
          <cell r="DN150">
            <v>0</v>
          </cell>
          <cell r="DO150">
            <v>0</v>
          </cell>
          <cell r="DP150">
            <v>0</v>
          </cell>
          <cell r="DQ150">
            <v>0</v>
          </cell>
          <cell r="DR150">
            <v>0</v>
          </cell>
          <cell r="DS150">
            <v>0</v>
          </cell>
          <cell r="DT150">
            <v>0</v>
          </cell>
          <cell r="DU150">
            <v>0</v>
          </cell>
          <cell r="DV150">
            <v>0</v>
          </cell>
          <cell r="DW150">
            <v>0</v>
          </cell>
          <cell r="DX150">
            <v>0</v>
          </cell>
          <cell r="DY150">
            <v>0</v>
          </cell>
          <cell r="DZ150">
            <v>0</v>
          </cell>
          <cell r="EA150">
            <v>0</v>
          </cell>
          <cell r="EB150">
            <v>0</v>
          </cell>
          <cell r="EC150">
            <v>0</v>
          </cell>
          <cell r="ED150">
            <v>0</v>
          </cell>
          <cell r="EE150">
            <v>0</v>
          </cell>
          <cell r="EF150">
            <v>0</v>
          </cell>
          <cell r="EG150">
            <v>0</v>
          </cell>
          <cell r="EH150">
            <v>0</v>
          </cell>
          <cell r="EI150">
            <v>0</v>
          </cell>
          <cell r="EJ150">
            <v>0</v>
          </cell>
          <cell r="EK150">
            <v>0</v>
          </cell>
          <cell r="EL150">
            <v>0</v>
          </cell>
          <cell r="EM150">
            <v>0</v>
          </cell>
          <cell r="EN150">
            <v>0</v>
          </cell>
          <cell r="EO150">
            <v>0</v>
          </cell>
          <cell r="EP150">
            <v>0</v>
          </cell>
          <cell r="EQ150">
            <v>0</v>
          </cell>
          <cell r="ER150">
            <v>0</v>
          </cell>
          <cell r="ES150">
            <v>0</v>
          </cell>
          <cell r="ET150">
            <v>0</v>
          </cell>
          <cell r="EU150">
            <v>0</v>
          </cell>
          <cell r="EV150">
            <v>0</v>
          </cell>
          <cell r="EW150">
            <v>0</v>
          </cell>
          <cell r="EX150">
            <v>0</v>
          </cell>
          <cell r="EY150">
            <v>0</v>
          </cell>
          <cell r="EZ150">
            <v>0</v>
          </cell>
          <cell r="FA150">
            <v>0</v>
          </cell>
          <cell r="FB150">
            <v>0</v>
          </cell>
          <cell r="FC150">
            <v>0</v>
          </cell>
          <cell r="FD150">
            <v>0</v>
          </cell>
          <cell r="FE150">
            <v>0</v>
          </cell>
          <cell r="FF150">
            <v>0</v>
          </cell>
          <cell r="FG150">
            <v>0</v>
          </cell>
          <cell r="FH150">
            <v>0</v>
          </cell>
          <cell r="FI150">
            <v>0</v>
          </cell>
          <cell r="FJ150">
            <v>0</v>
          </cell>
          <cell r="FK150">
            <v>0</v>
          </cell>
          <cell r="FL150">
            <v>0</v>
          </cell>
          <cell r="FM150">
            <v>0</v>
          </cell>
          <cell r="FN150">
            <v>0</v>
          </cell>
          <cell r="FO150">
            <v>0</v>
          </cell>
          <cell r="FP150">
            <v>0</v>
          </cell>
          <cell r="FQ150">
            <v>0</v>
          </cell>
          <cell r="FR150">
            <v>0</v>
          </cell>
          <cell r="FS150">
            <v>0</v>
          </cell>
          <cell r="FT150">
            <v>0</v>
          </cell>
          <cell r="FU150">
            <v>0</v>
          </cell>
          <cell r="FV150">
            <v>0</v>
          </cell>
          <cell r="FW150">
            <v>0</v>
          </cell>
          <cell r="FX150">
            <v>0</v>
          </cell>
          <cell r="FY150">
            <v>0</v>
          </cell>
          <cell r="FZ150">
            <v>0</v>
          </cell>
          <cell r="GA150">
            <v>0</v>
          </cell>
          <cell r="GB150">
            <v>0</v>
          </cell>
          <cell r="GC150">
            <v>0</v>
          </cell>
          <cell r="GD150">
            <v>0</v>
          </cell>
          <cell r="GE150">
            <v>0</v>
          </cell>
          <cell r="GF150">
            <v>0</v>
          </cell>
          <cell r="GG150">
            <v>0</v>
          </cell>
          <cell r="GH150">
            <v>0</v>
          </cell>
          <cell r="GI150">
            <v>0</v>
          </cell>
          <cell r="GJ150">
            <v>0</v>
          </cell>
          <cell r="GK150">
            <v>0</v>
          </cell>
          <cell r="GL150">
            <v>0</v>
          </cell>
          <cell r="GM150">
            <v>0</v>
          </cell>
          <cell r="GN150">
            <v>0</v>
          </cell>
          <cell r="GO150">
            <v>0</v>
          </cell>
          <cell r="GP150">
            <v>0</v>
          </cell>
          <cell r="GQ150">
            <v>0</v>
          </cell>
          <cell r="GR150">
            <v>0</v>
          </cell>
          <cell r="GS150">
            <v>0</v>
          </cell>
          <cell r="GT150">
            <v>0</v>
          </cell>
          <cell r="GU150">
            <v>0</v>
          </cell>
          <cell r="GV150">
            <v>0</v>
          </cell>
          <cell r="GW150">
            <v>0</v>
          </cell>
          <cell r="GX150">
            <v>0</v>
          </cell>
          <cell r="GY150">
            <v>0</v>
          </cell>
          <cell r="GZ150">
            <v>0</v>
          </cell>
          <cell r="HA150">
            <v>0</v>
          </cell>
          <cell r="HB150">
            <v>0</v>
          </cell>
          <cell r="HC150">
            <v>0</v>
          </cell>
          <cell r="HD150">
            <v>0</v>
          </cell>
          <cell r="HE150">
            <v>0</v>
          </cell>
          <cell r="HF150">
            <v>0</v>
          </cell>
          <cell r="HG150">
            <v>0</v>
          </cell>
          <cell r="HH150">
            <v>0</v>
          </cell>
          <cell r="HI150">
            <v>0</v>
          </cell>
          <cell r="HJ150">
            <v>0</v>
          </cell>
          <cell r="HK150">
            <v>0</v>
          </cell>
          <cell r="HL150">
            <v>0</v>
          </cell>
          <cell r="HM150">
            <v>0</v>
          </cell>
          <cell r="HN150">
            <v>0</v>
          </cell>
          <cell r="HO150">
            <v>0</v>
          </cell>
          <cell r="HP150">
            <v>0</v>
          </cell>
          <cell r="HQ150">
            <v>0</v>
          </cell>
          <cell r="HR150">
            <v>0</v>
          </cell>
          <cell r="HS150">
            <v>0</v>
          </cell>
          <cell r="HT150">
            <v>0</v>
          </cell>
          <cell r="HU150">
            <v>0</v>
          </cell>
          <cell r="HV150">
            <v>0</v>
          </cell>
          <cell r="HW150">
            <v>0</v>
          </cell>
          <cell r="HX150">
            <v>0</v>
          </cell>
          <cell r="HY150">
            <v>0</v>
          </cell>
          <cell r="HZ150">
            <v>0</v>
          </cell>
          <cell r="IA150">
            <v>0</v>
          </cell>
          <cell r="IB150">
            <v>0</v>
          </cell>
          <cell r="IC150">
            <v>0</v>
          </cell>
          <cell r="ID150">
            <v>0</v>
          </cell>
          <cell r="IE150">
            <v>0</v>
          </cell>
          <cell r="IF150">
            <v>0</v>
          </cell>
          <cell r="IG150">
            <v>0</v>
          </cell>
          <cell r="IH150">
            <v>0</v>
          </cell>
          <cell r="II150">
            <v>0</v>
          </cell>
          <cell r="IJ150">
            <v>0</v>
          </cell>
          <cell r="IK150">
            <v>0</v>
          </cell>
          <cell r="IL150">
            <v>0</v>
          </cell>
          <cell r="IM150">
            <v>0</v>
          </cell>
          <cell r="IN150">
            <v>0</v>
          </cell>
          <cell r="IO150">
            <v>0</v>
          </cell>
          <cell r="IP150">
            <v>0</v>
          </cell>
          <cell r="IQ150">
            <v>0</v>
          </cell>
          <cell r="IR150">
            <v>0</v>
          </cell>
          <cell r="IS150">
            <v>0</v>
          </cell>
          <cell r="IT150">
            <v>0</v>
          </cell>
          <cell r="IU150">
            <v>0</v>
          </cell>
          <cell r="IV150">
            <v>0</v>
          </cell>
          <cell r="IW150">
            <v>0</v>
          </cell>
          <cell r="IX150">
            <v>0</v>
          </cell>
          <cell r="IY150">
            <v>0</v>
          </cell>
          <cell r="IZ150">
            <v>0</v>
          </cell>
          <cell r="JA150">
            <v>0</v>
          </cell>
        </row>
        <row r="152">
          <cell r="L152">
            <v>0</v>
          </cell>
          <cell r="M152">
            <v>0</v>
          </cell>
          <cell r="N152">
            <v>0</v>
          </cell>
          <cell r="O152">
            <v>11.970178000000001</v>
          </cell>
          <cell r="P152">
            <v>14.521169</v>
          </cell>
          <cell r="Q152">
            <v>14.836291000000001</v>
          </cell>
          <cell r="R152">
            <v>15.133016000000001</v>
          </cell>
          <cell r="S152">
            <v>15.435675999999999</v>
          </cell>
          <cell r="T152">
            <v>15.744391</v>
          </cell>
          <cell r="U152">
            <v>16.059277999999999</v>
          </cell>
          <cell r="V152">
            <v>16.380464</v>
          </cell>
          <cell r="W152">
            <v>16.708074</v>
          </cell>
          <cell r="X152">
            <v>17.041951000000001</v>
          </cell>
          <cell r="Y152">
            <v>17.379919999999998</v>
          </cell>
          <cell r="Z152">
            <v>17.060955999999997</v>
          </cell>
          <cell r="AA152">
            <v>16.317678999999998</v>
          </cell>
          <cell r="AB152">
            <v>15.543952999999998</v>
          </cell>
          <cell r="AC152">
            <v>14.738982999999999</v>
          </cell>
          <cell r="AD152">
            <v>13.954913000000001</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cell r="BT152">
            <v>0</v>
          </cell>
          <cell r="BU152">
            <v>0</v>
          </cell>
          <cell r="BV152">
            <v>0</v>
          </cell>
          <cell r="BW152">
            <v>0</v>
          </cell>
          <cell r="BX152">
            <v>0</v>
          </cell>
          <cell r="BY152">
            <v>0</v>
          </cell>
          <cell r="BZ152">
            <v>0</v>
          </cell>
          <cell r="CA152">
            <v>0</v>
          </cell>
          <cell r="CB152">
            <v>0</v>
          </cell>
          <cell r="CC152">
            <v>0</v>
          </cell>
          <cell r="CD152">
            <v>0</v>
          </cell>
          <cell r="CE152">
            <v>0</v>
          </cell>
          <cell r="CF152">
            <v>0</v>
          </cell>
          <cell r="CG152">
            <v>0</v>
          </cell>
          <cell r="CH152">
            <v>0</v>
          </cell>
          <cell r="CI152">
            <v>0</v>
          </cell>
          <cell r="CJ152">
            <v>0</v>
          </cell>
          <cell r="CK152">
            <v>0</v>
          </cell>
          <cell r="CL152">
            <v>0</v>
          </cell>
          <cell r="CM152">
            <v>0</v>
          </cell>
          <cell r="CN152">
            <v>0</v>
          </cell>
          <cell r="CO152">
            <v>0</v>
          </cell>
          <cell r="CP152">
            <v>0</v>
          </cell>
          <cell r="CQ152">
            <v>0</v>
          </cell>
          <cell r="CR152">
            <v>0</v>
          </cell>
          <cell r="CS152">
            <v>0</v>
          </cell>
          <cell r="CT152">
            <v>0</v>
          </cell>
          <cell r="CU152">
            <v>0</v>
          </cell>
          <cell r="CV152">
            <v>0</v>
          </cell>
          <cell r="CW152">
            <v>0</v>
          </cell>
          <cell r="CX152">
            <v>0</v>
          </cell>
          <cell r="CY152">
            <v>0</v>
          </cell>
          <cell r="CZ152">
            <v>0</v>
          </cell>
          <cell r="DA152">
            <v>0</v>
          </cell>
          <cell r="DB152">
            <v>0</v>
          </cell>
          <cell r="DC152">
            <v>0</v>
          </cell>
          <cell r="DD152">
            <v>0</v>
          </cell>
          <cell r="DE152">
            <v>0</v>
          </cell>
          <cell r="DF152">
            <v>0</v>
          </cell>
          <cell r="DG152">
            <v>0</v>
          </cell>
          <cell r="DH152">
            <v>0</v>
          </cell>
          <cell r="DI152">
            <v>0</v>
          </cell>
          <cell r="DJ152">
            <v>0</v>
          </cell>
          <cell r="DK152">
            <v>0</v>
          </cell>
          <cell r="DL152">
            <v>0</v>
          </cell>
          <cell r="DM152">
            <v>0</v>
          </cell>
          <cell r="DN152">
            <v>0</v>
          </cell>
          <cell r="DO152">
            <v>0</v>
          </cell>
          <cell r="DP152">
            <v>0</v>
          </cell>
          <cell r="DQ152">
            <v>0</v>
          </cell>
          <cell r="DR152">
            <v>0</v>
          </cell>
          <cell r="DS152">
            <v>0</v>
          </cell>
          <cell r="DT152">
            <v>0</v>
          </cell>
          <cell r="DU152">
            <v>0</v>
          </cell>
          <cell r="DV152">
            <v>0</v>
          </cell>
          <cell r="DW152">
            <v>0</v>
          </cell>
          <cell r="DX152">
            <v>0</v>
          </cell>
          <cell r="DY152">
            <v>0</v>
          </cell>
          <cell r="DZ152">
            <v>0</v>
          </cell>
          <cell r="EA152">
            <v>0</v>
          </cell>
          <cell r="EB152">
            <v>0</v>
          </cell>
          <cell r="EC152">
            <v>0</v>
          </cell>
          <cell r="ED152">
            <v>0</v>
          </cell>
          <cell r="EE152">
            <v>0</v>
          </cell>
          <cell r="EF152">
            <v>0</v>
          </cell>
          <cell r="EG152">
            <v>0</v>
          </cell>
          <cell r="EH152">
            <v>0</v>
          </cell>
          <cell r="EI152">
            <v>0</v>
          </cell>
          <cell r="EJ152">
            <v>0</v>
          </cell>
          <cell r="EK152">
            <v>0</v>
          </cell>
          <cell r="EL152">
            <v>0</v>
          </cell>
          <cell r="EM152">
            <v>0</v>
          </cell>
          <cell r="EN152">
            <v>0</v>
          </cell>
          <cell r="EO152">
            <v>0</v>
          </cell>
          <cell r="EP152">
            <v>0</v>
          </cell>
          <cell r="EQ152">
            <v>0</v>
          </cell>
          <cell r="ER152">
            <v>0</v>
          </cell>
          <cell r="ES152">
            <v>0</v>
          </cell>
          <cell r="ET152">
            <v>0</v>
          </cell>
          <cell r="EU152">
            <v>0</v>
          </cell>
          <cell r="EV152">
            <v>0</v>
          </cell>
          <cell r="EW152">
            <v>0</v>
          </cell>
          <cell r="EX152">
            <v>0</v>
          </cell>
          <cell r="EY152">
            <v>0</v>
          </cell>
          <cell r="EZ152">
            <v>0</v>
          </cell>
          <cell r="FA152">
            <v>0</v>
          </cell>
          <cell r="FB152">
            <v>0</v>
          </cell>
          <cell r="FC152">
            <v>0</v>
          </cell>
          <cell r="FD152">
            <v>0</v>
          </cell>
          <cell r="FE152">
            <v>0</v>
          </cell>
          <cell r="FF152">
            <v>0</v>
          </cell>
          <cell r="FG152">
            <v>0</v>
          </cell>
          <cell r="FH152">
            <v>0</v>
          </cell>
          <cell r="FI152">
            <v>0</v>
          </cell>
          <cell r="FJ152">
            <v>0</v>
          </cell>
          <cell r="FK152">
            <v>0</v>
          </cell>
          <cell r="FL152">
            <v>0</v>
          </cell>
          <cell r="FM152">
            <v>0</v>
          </cell>
          <cell r="FN152">
            <v>0</v>
          </cell>
          <cell r="FO152">
            <v>0</v>
          </cell>
          <cell r="FP152">
            <v>0</v>
          </cell>
          <cell r="FQ152">
            <v>0</v>
          </cell>
          <cell r="FR152">
            <v>0</v>
          </cell>
          <cell r="FS152">
            <v>0</v>
          </cell>
          <cell r="FT152">
            <v>0</v>
          </cell>
          <cell r="FU152">
            <v>0</v>
          </cell>
          <cell r="FV152">
            <v>0</v>
          </cell>
          <cell r="FW152">
            <v>0</v>
          </cell>
          <cell r="FX152">
            <v>0</v>
          </cell>
          <cell r="FY152">
            <v>0</v>
          </cell>
          <cell r="FZ152">
            <v>0</v>
          </cell>
          <cell r="GA152">
            <v>0</v>
          </cell>
          <cell r="GB152">
            <v>0</v>
          </cell>
          <cell r="GC152">
            <v>0</v>
          </cell>
          <cell r="GD152">
            <v>0</v>
          </cell>
          <cell r="GE152">
            <v>0</v>
          </cell>
          <cell r="GF152">
            <v>0</v>
          </cell>
          <cell r="GG152">
            <v>0</v>
          </cell>
          <cell r="GH152">
            <v>0</v>
          </cell>
          <cell r="GI152">
            <v>0</v>
          </cell>
          <cell r="GJ152">
            <v>0</v>
          </cell>
          <cell r="GK152">
            <v>0</v>
          </cell>
          <cell r="GL152">
            <v>0</v>
          </cell>
          <cell r="GM152">
            <v>0</v>
          </cell>
          <cell r="GN152">
            <v>0</v>
          </cell>
          <cell r="GO152">
            <v>0</v>
          </cell>
          <cell r="GP152">
            <v>0</v>
          </cell>
          <cell r="GQ152">
            <v>0</v>
          </cell>
          <cell r="GR152">
            <v>0</v>
          </cell>
          <cell r="GS152">
            <v>0</v>
          </cell>
          <cell r="GT152">
            <v>0</v>
          </cell>
          <cell r="GU152">
            <v>0</v>
          </cell>
          <cell r="GV152">
            <v>0</v>
          </cell>
          <cell r="GW152">
            <v>0</v>
          </cell>
          <cell r="GX152">
            <v>0</v>
          </cell>
          <cell r="GY152">
            <v>0</v>
          </cell>
          <cell r="GZ152">
            <v>0</v>
          </cell>
          <cell r="HA152">
            <v>0</v>
          </cell>
          <cell r="HB152">
            <v>0</v>
          </cell>
          <cell r="HC152">
            <v>0</v>
          </cell>
          <cell r="HD152">
            <v>0</v>
          </cell>
          <cell r="HE152">
            <v>0</v>
          </cell>
          <cell r="HF152">
            <v>0</v>
          </cell>
          <cell r="HG152">
            <v>0</v>
          </cell>
          <cell r="HH152">
            <v>0</v>
          </cell>
          <cell r="HI152">
            <v>0</v>
          </cell>
          <cell r="HJ152">
            <v>0</v>
          </cell>
          <cell r="HK152">
            <v>0</v>
          </cell>
          <cell r="HL152">
            <v>0</v>
          </cell>
          <cell r="HM152">
            <v>0</v>
          </cell>
          <cell r="HN152">
            <v>0</v>
          </cell>
          <cell r="HO152">
            <v>0</v>
          </cell>
          <cell r="HP152">
            <v>0</v>
          </cell>
          <cell r="HQ152">
            <v>0</v>
          </cell>
          <cell r="HR152">
            <v>0</v>
          </cell>
          <cell r="HS152">
            <v>0</v>
          </cell>
          <cell r="HT152">
            <v>0</v>
          </cell>
          <cell r="HU152">
            <v>0</v>
          </cell>
          <cell r="HV152">
            <v>0</v>
          </cell>
          <cell r="HW152">
            <v>0</v>
          </cell>
          <cell r="HX152">
            <v>0</v>
          </cell>
          <cell r="HY152">
            <v>0</v>
          </cell>
          <cell r="HZ152">
            <v>0</v>
          </cell>
          <cell r="IA152">
            <v>0</v>
          </cell>
          <cell r="IB152">
            <v>0</v>
          </cell>
          <cell r="IC152">
            <v>0</v>
          </cell>
          <cell r="ID152">
            <v>0</v>
          </cell>
          <cell r="IE152">
            <v>0</v>
          </cell>
          <cell r="IF152">
            <v>0</v>
          </cell>
          <cell r="IG152">
            <v>0</v>
          </cell>
          <cell r="IH152">
            <v>0</v>
          </cell>
          <cell r="II152">
            <v>0</v>
          </cell>
          <cell r="IJ152">
            <v>0</v>
          </cell>
          <cell r="IK152">
            <v>0</v>
          </cell>
          <cell r="IL152">
            <v>0</v>
          </cell>
          <cell r="IM152">
            <v>0</v>
          </cell>
          <cell r="IN152">
            <v>0</v>
          </cell>
          <cell r="IO152">
            <v>0</v>
          </cell>
          <cell r="IP152">
            <v>0</v>
          </cell>
          <cell r="IQ152">
            <v>0</v>
          </cell>
          <cell r="IR152">
            <v>0</v>
          </cell>
          <cell r="IS152">
            <v>0</v>
          </cell>
          <cell r="IT152">
            <v>0</v>
          </cell>
          <cell r="IU152">
            <v>0</v>
          </cell>
          <cell r="IV152">
            <v>0</v>
          </cell>
          <cell r="IW152">
            <v>0</v>
          </cell>
          <cell r="IX152">
            <v>0</v>
          </cell>
          <cell r="IY152">
            <v>0</v>
          </cell>
          <cell r="IZ152">
            <v>0</v>
          </cell>
          <cell r="JA152">
            <v>0</v>
          </cell>
        </row>
        <row r="155">
          <cell r="B155">
            <v>0</v>
          </cell>
        </row>
        <row r="156">
          <cell r="L156">
            <v>0</v>
          </cell>
        </row>
        <row r="157">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cell r="BM157">
            <v>0</v>
          </cell>
          <cell r="BN157">
            <v>0</v>
          </cell>
          <cell r="BO157">
            <v>0</v>
          </cell>
          <cell r="BP157">
            <v>0</v>
          </cell>
          <cell r="BQ157">
            <v>0</v>
          </cell>
          <cell r="BR157">
            <v>0</v>
          </cell>
          <cell r="BS157">
            <v>0</v>
          </cell>
          <cell r="BT157">
            <v>0</v>
          </cell>
          <cell r="BU157">
            <v>0</v>
          </cell>
          <cell r="BV157">
            <v>0</v>
          </cell>
          <cell r="BW157">
            <v>0</v>
          </cell>
          <cell r="BX157">
            <v>0</v>
          </cell>
          <cell r="BY157">
            <v>0</v>
          </cell>
          <cell r="BZ157">
            <v>0</v>
          </cell>
          <cell r="CA157">
            <v>0</v>
          </cell>
          <cell r="CB157">
            <v>0</v>
          </cell>
          <cell r="CC157">
            <v>0</v>
          </cell>
          <cell r="CD157">
            <v>0</v>
          </cell>
          <cell r="CE157">
            <v>0</v>
          </cell>
          <cell r="CF157">
            <v>0</v>
          </cell>
          <cell r="CG157">
            <v>0</v>
          </cell>
          <cell r="CH157">
            <v>0</v>
          </cell>
          <cell r="CI157">
            <v>0</v>
          </cell>
          <cell r="CJ157">
            <v>0</v>
          </cell>
          <cell r="CK157">
            <v>0</v>
          </cell>
          <cell r="CL157">
            <v>0</v>
          </cell>
          <cell r="CM157">
            <v>0</v>
          </cell>
          <cell r="CN157">
            <v>0</v>
          </cell>
          <cell r="CO157">
            <v>0</v>
          </cell>
          <cell r="CP157">
            <v>0</v>
          </cell>
          <cell r="CQ157">
            <v>0</v>
          </cell>
          <cell r="CR157">
            <v>0</v>
          </cell>
          <cell r="CS157">
            <v>0</v>
          </cell>
          <cell r="CT157">
            <v>0</v>
          </cell>
          <cell r="CU157">
            <v>0</v>
          </cell>
          <cell r="CV157">
            <v>0</v>
          </cell>
          <cell r="CW157">
            <v>0</v>
          </cell>
          <cell r="CX157">
            <v>0</v>
          </cell>
          <cell r="CY157">
            <v>0</v>
          </cell>
          <cell r="CZ157">
            <v>0</v>
          </cell>
          <cell r="DA157">
            <v>0</v>
          </cell>
          <cell r="DB157">
            <v>0</v>
          </cell>
          <cell r="DC157">
            <v>0</v>
          </cell>
          <cell r="DD157">
            <v>0</v>
          </cell>
          <cell r="DE157">
            <v>0</v>
          </cell>
          <cell r="DF157">
            <v>0</v>
          </cell>
          <cell r="DG157">
            <v>0</v>
          </cell>
          <cell r="DH157">
            <v>0</v>
          </cell>
          <cell r="DI157">
            <v>0</v>
          </cell>
          <cell r="DJ157">
            <v>0</v>
          </cell>
          <cell r="DK157">
            <v>0</v>
          </cell>
          <cell r="DL157">
            <v>0</v>
          </cell>
          <cell r="DM157">
            <v>0</v>
          </cell>
          <cell r="DN157">
            <v>0</v>
          </cell>
          <cell r="DO157">
            <v>0</v>
          </cell>
          <cell r="DP157">
            <v>0</v>
          </cell>
          <cell r="DQ157">
            <v>0</v>
          </cell>
          <cell r="DR157">
            <v>0</v>
          </cell>
          <cell r="DS157">
            <v>0</v>
          </cell>
          <cell r="DT157">
            <v>0</v>
          </cell>
          <cell r="DU157">
            <v>0</v>
          </cell>
          <cell r="DV157">
            <v>0</v>
          </cell>
          <cell r="DW157">
            <v>0</v>
          </cell>
          <cell r="DX157">
            <v>0</v>
          </cell>
          <cell r="DY157">
            <v>0</v>
          </cell>
          <cell r="DZ157">
            <v>0</v>
          </cell>
          <cell r="EA157">
            <v>0</v>
          </cell>
          <cell r="EB157">
            <v>0</v>
          </cell>
          <cell r="EC157">
            <v>0</v>
          </cell>
          <cell r="ED157">
            <v>0</v>
          </cell>
          <cell r="EE157">
            <v>0</v>
          </cell>
          <cell r="EF157">
            <v>0</v>
          </cell>
          <cell r="EG157">
            <v>0</v>
          </cell>
          <cell r="EH157">
            <v>0</v>
          </cell>
          <cell r="EI157">
            <v>0</v>
          </cell>
          <cell r="EJ157">
            <v>0</v>
          </cell>
          <cell r="EK157">
            <v>0</v>
          </cell>
          <cell r="EL157">
            <v>0</v>
          </cell>
          <cell r="EM157">
            <v>0</v>
          </cell>
          <cell r="EN157">
            <v>0</v>
          </cell>
          <cell r="EO157">
            <v>0</v>
          </cell>
          <cell r="EP157">
            <v>0</v>
          </cell>
          <cell r="EQ157">
            <v>0</v>
          </cell>
          <cell r="ER157">
            <v>0</v>
          </cell>
          <cell r="ES157">
            <v>0</v>
          </cell>
          <cell r="ET157">
            <v>0</v>
          </cell>
          <cell r="EU157">
            <v>0</v>
          </cell>
          <cell r="EV157">
            <v>0</v>
          </cell>
          <cell r="EW157">
            <v>0</v>
          </cell>
          <cell r="EX157">
            <v>0</v>
          </cell>
          <cell r="EY157">
            <v>0</v>
          </cell>
          <cell r="EZ157">
            <v>0</v>
          </cell>
          <cell r="FA157">
            <v>0</v>
          </cell>
          <cell r="FB157">
            <v>0</v>
          </cell>
          <cell r="FC157">
            <v>0</v>
          </cell>
          <cell r="FD157">
            <v>0</v>
          </cell>
          <cell r="FE157">
            <v>0</v>
          </cell>
          <cell r="FF157">
            <v>0</v>
          </cell>
          <cell r="FG157">
            <v>0</v>
          </cell>
          <cell r="FH157">
            <v>0</v>
          </cell>
          <cell r="FI157">
            <v>0</v>
          </cell>
          <cell r="FJ157">
            <v>0</v>
          </cell>
          <cell r="FK157">
            <v>0</v>
          </cell>
          <cell r="FL157">
            <v>0</v>
          </cell>
          <cell r="FM157">
            <v>0</v>
          </cell>
          <cell r="FN157">
            <v>0</v>
          </cell>
          <cell r="FO157">
            <v>0</v>
          </cell>
          <cell r="FP157">
            <v>0</v>
          </cell>
          <cell r="FQ157">
            <v>0</v>
          </cell>
          <cell r="FR157">
            <v>0</v>
          </cell>
          <cell r="FS157">
            <v>0</v>
          </cell>
          <cell r="FT157">
            <v>0</v>
          </cell>
          <cell r="FU157">
            <v>0</v>
          </cell>
          <cell r="FV157">
            <v>0</v>
          </cell>
          <cell r="FW157">
            <v>0</v>
          </cell>
          <cell r="FX157">
            <v>0</v>
          </cell>
          <cell r="FY157">
            <v>0</v>
          </cell>
          <cell r="FZ157">
            <v>0</v>
          </cell>
          <cell r="GA157">
            <v>0</v>
          </cell>
          <cell r="GB157">
            <v>0</v>
          </cell>
          <cell r="GC157">
            <v>0</v>
          </cell>
          <cell r="GD157">
            <v>0</v>
          </cell>
          <cell r="GE157">
            <v>0</v>
          </cell>
          <cell r="GF157">
            <v>0</v>
          </cell>
          <cell r="GG157">
            <v>0</v>
          </cell>
          <cell r="GH157">
            <v>0</v>
          </cell>
          <cell r="GI157">
            <v>0</v>
          </cell>
          <cell r="GJ157">
            <v>0</v>
          </cell>
          <cell r="GK157">
            <v>0</v>
          </cell>
          <cell r="GL157">
            <v>0</v>
          </cell>
          <cell r="GM157">
            <v>0</v>
          </cell>
          <cell r="GN157">
            <v>0</v>
          </cell>
          <cell r="GO157">
            <v>0</v>
          </cell>
          <cell r="GP157">
            <v>0</v>
          </cell>
          <cell r="GQ157">
            <v>0</v>
          </cell>
          <cell r="GR157">
            <v>0</v>
          </cell>
          <cell r="GS157">
            <v>0</v>
          </cell>
          <cell r="GT157">
            <v>0</v>
          </cell>
          <cell r="GU157">
            <v>0</v>
          </cell>
          <cell r="GV157">
            <v>0</v>
          </cell>
          <cell r="GW157">
            <v>0</v>
          </cell>
          <cell r="GX157">
            <v>0</v>
          </cell>
          <cell r="GY157">
            <v>0</v>
          </cell>
          <cell r="GZ157">
            <v>0</v>
          </cell>
          <cell r="HA157">
            <v>0</v>
          </cell>
          <cell r="HB157">
            <v>0</v>
          </cell>
          <cell r="HC157">
            <v>0</v>
          </cell>
          <cell r="HD157">
            <v>0</v>
          </cell>
          <cell r="HE157">
            <v>0</v>
          </cell>
          <cell r="HF157">
            <v>0</v>
          </cell>
          <cell r="HG157">
            <v>0</v>
          </cell>
          <cell r="HH157">
            <v>0</v>
          </cell>
          <cell r="HI157">
            <v>0</v>
          </cell>
          <cell r="HJ157">
            <v>0</v>
          </cell>
          <cell r="HK157">
            <v>0</v>
          </cell>
          <cell r="HL157">
            <v>0</v>
          </cell>
          <cell r="HM157">
            <v>0</v>
          </cell>
          <cell r="HN157">
            <v>0</v>
          </cell>
          <cell r="HO157">
            <v>0</v>
          </cell>
          <cell r="HP157">
            <v>0</v>
          </cell>
          <cell r="HQ157">
            <v>0</v>
          </cell>
          <cell r="HR157">
            <v>0</v>
          </cell>
          <cell r="HS157">
            <v>0</v>
          </cell>
          <cell r="HT157">
            <v>0</v>
          </cell>
          <cell r="HU157">
            <v>0</v>
          </cell>
          <cell r="HV157">
            <v>0</v>
          </cell>
          <cell r="HW157">
            <v>0</v>
          </cell>
          <cell r="HX157">
            <v>0</v>
          </cell>
          <cell r="HY157">
            <v>0</v>
          </cell>
          <cell r="HZ157">
            <v>0</v>
          </cell>
          <cell r="IA157">
            <v>0</v>
          </cell>
          <cell r="IB157">
            <v>0</v>
          </cell>
          <cell r="IC157">
            <v>0</v>
          </cell>
          <cell r="ID157">
            <v>0</v>
          </cell>
          <cell r="IE157">
            <v>0</v>
          </cell>
          <cell r="IF157">
            <v>0</v>
          </cell>
          <cell r="IG157">
            <v>0</v>
          </cell>
          <cell r="IH157">
            <v>0</v>
          </cell>
          <cell r="II157">
            <v>0</v>
          </cell>
          <cell r="IJ157">
            <v>0</v>
          </cell>
          <cell r="IK157">
            <v>0</v>
          </cell>
          <cell r="IL157">
            <v>0</v>
          </cell>
          <cell r="IM157">
            <v>0</v>
          </cell>
          <cell r="IN157">
            <v>0</v>
          </cell>
          <cell r="IO157">
            <v>0</v>
          </cell>
          <cell r="IP157">
            <v>0</v>
          </cell>
          <cell r="IQ157">
            <v>0</v>
          </cell>
          <cell r="IR157">
            <v>0</v>
          </cell>
          <cell r="IS157">
            <v>0</v>
          </cell>
          <cell r="IT157">
            <v>0</v>
          </cell>
          <cell r="IU157">
            <v>0</v>
          </cell>
          <cell r="IV157">
            <v>0</v>
          </cell>
          <cell r="IW157">
            <v>0</v>
          </cell>
          <cell r="IX157">
            <v>0</v>
          </cell>
          <cell r="IY157">
            <v>0</v>
          </cell>
          <cell r="IZ157">
            <v>0</v>
          </cell>
          <cell r="JA157">
            <v>0</v>
          </cell>
        </row>
        <row r="158">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cell r="BM158">
            <v>0</v>
          </cell>
          <cell r="BN158">
            <v>0</v>
          </cell>
          <cell r="BO158">
            <v>0</v>
          </cell>
          <cell r="BP158">
            <v>0</v>
          </cell>
          <cell r="BQ158">
            <v>0</v>
          </cell>
          <cell r="BR158">
            <v>0</v>
          </cell>
          <cell r="BS158">
            <v>0</v>
          </cell>
          <cell r="BT158">
            <v>0</v>
          </cell>
          <cell r="BU158">
            <v>0</v>
          </cell>
          <cell r="BV158">
            <v>0</v>
          </cell>
          <cell r="BW158">
            <v>0</v>
          </cell>
          <cell r="BX158">
            <v>0</v>
          </cell>
          <cell r="BY158">
            <v>0</v>
          </cell>
          <cell r="BZ158">
            <v>0</v>
          </cell>
          <cell r="CA158">
            <v>0</v>
          </cell>
          <cell r="CB158">
            <v>0</v>
          </cell>
          <cell r="CC158">
            <v>0</v>
          </cell>
          <cell r="CD158">
            <v>0</v>
          </cell>
          <cell r="CE158">
            <v>0</v>
          </cell>
          <cell r="CF158">
            <v>0</v>
          </cell>
          <cell r="CG158">
            <v>0</v>
          </cell>
          <cell r="CH158">
            <v>0</v>
          </cell>
          <cell r="CI158">
            <v>0</v>
          </cell>
          <cell r="CJ158">
            <v>0</v>
          </cell>
          <cell r="CK158">
            <v>0</v>
          </cell>
          <cell r="CL158">
            <v>0</v>
          </cell>
          <cell r="CM158">
            <v>0</v>
          </cell>
          <cell r="CN158">
            <v>0</v>
          </cell>
          <cell r="CO158">
            <v>0</v>
          </cell>
          <cell r="CP158">
            <v>0</v>
          </cell>
          <cell r="CQ158">
            <v>0</v>
          </cell>
          <cell r="CR158">
            <v>0</v>
          </cell>
          <cell r="CS158">
            <v>0</v>
          </cell>
          <cell r="CT158">
            <v>0</v>
          </cell>
          <cell r="CU158">
            <v>0</v>
          </cell>
          <cell r="CV158">
            <v>0</v>
          </cell>
          <cell r="CW158">
            <v>0</v>
          </cell>
          <cell r="CX158">
            <v>0</v>
          </cell>
          <cell r="CY158">
            <v>0</v>
          </cell>
          <cell r="CZ158">
            <v>0</v>
          </cell>
          <cell r="DA158">
            <v>0</v>
          </cell>
          <cell r="DB158">
            <v>0</v>
          </cell>
          <cell r="DC158">
            <v>0</v>
          </cell>
          <cell r="DD158">
            <v>0</v>
          </cell>
          <cell r="DE158">
            <v>0</v>
          </cell>
          <cell r="DF158">
            <v>0</v>
          </cell>
          <cell r="DG158">
            <v>0</v>
          </cell>
          <cell r="DH158">
            <v>0</v>
          </cell>
          <cell r="DI158">
            <v>0</v>
          </cell>
          <cell r="DJ158">
            <v>0</v>
          </cell>
          <cell r="DK158">
            <v>0</v>
          </cell>
          <cell r="DL158">
            <v>0</v>
          </cell>
          <cell r="DM158">
            <v>0</v>
          </cell>
          <cell r="DN158">
            <v>0</v>
          </cell>
          <cell r="DO158">
            <v>0</v>
          </cell>
          <cell r="DP158">
            <v>0</v>
          </cell>
          <cell r="DQ158">
            <v>0</v>
          </cell>
          <cell r="DR158">
            <v>0</v>
          </cell>
          <cell r="DS158">
            <v>0</v>
          </cell>
          <cell r="DT158">
            <v>0</v>
          </cell>
          <cell r="DU158">
            <v>0</v>
          </cell>
          <cell r="DV158">
            <v>0</v>
          </cell>
          <cell r="DW158">
            <v>0</v>
          </cell>
          <cell r="DX158">
            <v>0</v>
          </cell>
          <cell r="DY158">
            <v>0</v>
          </cell>
          <cell r="DZ158">
            <v>0</v>
          </cell>
          <cell r="EA158">
            <v>0</v>
          </cell>
          <cell r="EB158">
            <v>0</v>
          </cell>
          <cell r="EC158">
            <v>0</v>
          </cell>
          <cell r="ED158">
            <v>0</v>
          </cell>
          <cell r="EE158">
            <v>0</v>
          </cell>
          <cell r="EF158">
            <v>0</v>
          </cell>
          <cell r="EG158">
            <v>0</v>
          </cell>
          <cell r="EH158">
            <v>0</v>
          </cell>
          <cell r="EI158">
            <v>0</v>
          </cell>
          <cell r="EJ158">
            <v>0</v>
          </cell>
          <cell r="EK158">
            <v>0</v>
          </cell>
          <cell r="EL158">
            <v>0</v>
          </cell>
          <cell r="EM158">
            <v>0</v>
          </cell>
          <cell r="EN158">
            <v>0</v>
          </cell>
          <cell r="EO158">
            <v>0</v>
          </cell>
          <cell r="EP158">
            <v>0</v>
          </cell>
          <cell r="EQ158">
            <v>0</v>
          </cell>
          <cell r="ER158">
            <v>0</v>
          </cell>
          <cell r="ES158">
            <v>0</v>
          </cell>
          <cell r="ET158">
            <v>0</v>
          </cell>
          <cell r="EU158">
            <v>0</v>
          </cell>
          <cell r="EV158">
            <v>0</v>
          </cell>
          <cell r="EW158">
            <v>0</v>
          </cell>
          <cell r="EX158">
            <v>0</v>
          </cell>
          <cell r="EY158">
            <v>0</v>
          </cell>
          <cell r="EZ158">
            <v>0</v>
          </cell>
          <cell r="FA158">
            <v>0</v>
          </cell>
          <cell r="FB158">
            <v>0</v>
          </cell>
          <cell r="FC158">
            <v>0</v>
          </cell>
          <cell r="FD158">
            <v>0</v>
          </cell>
          <cell r="FE158">
            <v>0</v>
          </cell>
          <cell r="FF158">
            <v>0</v>
          </cell>
          <cell r="FG158">
            <v>0</v>
          </cell>
          <cell r="FH158">
            <v>0</v>
          </cell>
          <cell r="FI158">
            <v>0</v>
          </cell>
          <cell r="FJ158">
            <v>0</v>
          </cell>
          <cell r="FK158">
            <v>0</v>
          </cell>
          <cell r="FL158">
            <v>0</v>
          </cell>
          <cell r="FM158">
            <v>0</v>
          </cell>
          <cell r="FN158">
            <v>0</v>
          </cell>
          <cell r="FO158">
            <v>0</v>
          </cell>
          <cell r="FP158">
            <v>0</v>
          </cell>
          <cell r="FQ158">
            <v>0</v>
          </cell>
          <cell r="FR158">
            <v>0</v>
          </cell>
          <cell r="FS158">
            <v>0</v>
          </cell>
          <cell r="FT158">
            <v>0</v>
          </cell>
          <cell r="FU158">
            <v>0</v>
          </cell>
          <cell r="FV158">
            <v>0</v>
          </cell>
          <cell r="FW158">
            <v>0</v>
          </cell>
          <cell r="FX158">
            <v>0</v>
          </cell>
          <cell r="FY158">
            <v>0</v>
          </cell>
          <cell r="FZ158">
            <v>0</v>
          </cell>
          <cell r="GA158">
            <v>0</v>
          </cell>
          <cell r="GB158">
            <v>0</v>
          </cell>
          <cell r="GC158">
            <v>0</v>
          </cell>
          <cell r="GD158">
            <v>0</v>
          </cell>
          <cell r="GE158">
            <v>0</v>
          </cell>
          <cell r="GF158">
            <v>0</v>
          </cell>
          <cell r="GG158">
            <v>0</v>
          </cell>
          <cell r="GH158">
            <v>0</v>
          </cell>
          <cell r="GI158">
            <v>0</v>
          </cell>
          <cell r="GJ158">
            <v>0</v>
          </cell>
          <cell r="GK158">
            <v>0</v>
          </cell>
          <cell r="GL158">
            <v>0</v>
          </cell>
          <cell r="GM158">
            <v>0</v>
          </cell>
          <cell r="GN158">
            <v>0</v>
          </cell>
          <cell r="GO158">
            <v>0</v>
          </cell>
          <cell r="GP158">
            <v>0</v>
          </cell>
          <cell r="GQ158">
            <v>0</v>
          </cell>
          <cell r="GR158">
            <v>0</v>
          </cell>
          <cell r="GS158">
            <v>0</v>
          </cell>
          <cell r="GT158">
            <v>0</v>
          </cell>
          <cell r="GU158">
            <v>0</v>
          </cell>
          <cell r="GV158">
            <v>0</v>
          </cell>
          <cell r="GW158">
            <v>0</v>
          </cell>
          <cell r="GX158">
            <v>0</v>
          </cell>
          <cell r="GY158">
            <v>0</v>
          </cell>
          <cell r="GZ158">
            <v>0</v>
          </cell>
          <cell r="HA158">
            <v>0</v>
          </cell>
          <cell r="HB158">
            <v>0</v>
          </cell>
          <cell r="HC158">
            <v>0</v>
          </cell>
          <cell r="HD158">
            <v>0</v>
          </cell>
          <cell r="HE158">
            <v>0</v>
          </cell>
          <cell r="HF158">
            <v>0</v>
          </cell>
          <cell r="HG158">
            <v>0</v>
          </cell>
          <cell r="HH158">
            <v>0</v>
          </cell>
          <cell r="HI158">
            <v>0</v>
          </cell>
          <cell r="HJ158">
            <v>0</v>
          </cell>
          <cell r="HK158">
            <v>0</v>
          </cell>
          <cell r="HL158">
            <v>0</v>
          </cell>
          <cell r="HM158">
            <v>0</v>
          </cell>
          <cell r="HN158">
            <v>0</v>
          </cell>
          <cell r="HO158">
            <v>0</v>
          </cell>
          <cell r="HP158">
            <v>0</v>
          </cell>
          <cell r="HQ158">
            <v>0</v>
          </cell>
          <cell r="HR158">
            <v>0</v>
          </cell>
          <cell r="HS158">
            <v>0</v>
          </cell>
          <cell r="HT158">
            <v>0</v>
          </cell>
          <cell r="HU158">
            <v>0</v>
          </cell>
          <cell r="HV158">
            <v>0</v>
          </cell>
          <cell r="HW158">
            <v>0</v>
          </cell>
          <cell r="HX158">
            <v>0</v>
          </cell>
          <cell r="HY158">
            <v>0</v>
          </cell>
          <cell r="HZ158">
            <v>0</v>
          </cell>
          <cell r="IA158">
            <v>0</v>
          </cell>
          <cell r="IB158">
            <v>0</v>
          </cell>
          <cell r="IC158">
            <v>0</v>
          </cell>
          <cell r="ID158">
            <v>0</v>
          </cell>
          <cell r="IE158">
            <v>0</v>
          </cell>
          <cell r="IF158">
            <v>0</v>
          </cell>
          <cell r="IG158">
            <v>0</v>
          </cell>
          <cell r="IH158">
            <v>0</v>
          </cell>
          <cell r="II158">
            <v>0</v>
          </cell>
          <cell r="IJ158">
            <v>0</v>
          </cell>
          <cell r="IK158">
            <v>0</v>
          </cell>
          <cell r="IL158">
            <v>0</v>
          </cell>
          <cell r="IM158">
            <v>0</v>
          </cell>
          <cell r="IN158">
            <v>0</v>
          </cell>
          <cell r="IO158">
            <v>0</v>
          </cell>
          <cell r="IP158">
            <v>0</v>
          </cell>
          <cell r="IQ158">
            <v>0</v>
          </cell>
          <cell r="IR158">
            <v>0</v>
          </cell>
          <cell r="IS158">
            <v>0</v>
          </cell>
          <cell r="IT158">
            <v>0</v>
          </cell>
          <cell r="IU158">
            <v>0</v>
          </cell>
          <cell r="IV158">
            <v>0</v>
          </cell>
          <cell r="IW158">
            <v>0</v>
          </cell>
          <cell r="IX158">
            <v>0</v>
          </cell>
          <cell r="IY158">
            <v>0</v>
          </cell>
          <cell r="IZ158">
            <v>0</v>
          </cell>
          <cell r="JA158">
            <v>0</v>
          </cell>
        </row>
        <row r="159">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cell r="BM159">
            <v>0</v>
          </cell>
          <cell r="BN159">
            <v>0</v>
          </cell>
          <cell r="BO159">
            <v>0</v>
          </cell>
          <cell r="BP159">
            <v>0</v>
          </cell>
          <cell r="BQ159">
            <v>0</v>
          </cell>
          <cell r="BR159">
            <v>0</v>
          </cell>
          <cell r="BS159">
            <v>0</v>
          </cell>
          <cell r="BT159">
            <v>0</v>
          </cell>
          <cell r="BU159">
            <v>0</v>
          </cell>
          <cell r="BV159">
            <v>0</v>
          </cell>
          <cell r="BW159">
            <v>0</v>
          </cell>
          <cell r="BX159">
            <v>0</v>
          </cell>
          <cell r="BY159">
            <v>0</v>
          </cell>
          <cell r="BZ159">
            <v>0</v>
          </cell>
          <cell r="CA159">
            <v>0</v>
          </cell>
          <cell r="CB159">
            <v>0</v>
          </cell>
          <cell r="CC159">
            <v>0</v>
          </cell>
          <cell r="CD159">
            <v>0</v>
          </cell>
          <cell r="CE159">
            <v>0</v>
          </cell>
          <cell r="CF159">
            <v>0</v>
          </cell>
          <cell r="CG159">
            <v>0</v>
          </cell>
          <cell r="CH159">
            <v>0</v>
          </cell>
          <cell r="CI159">
            <v>0</v>
          </cell>
          <cell r="CJ159">
            <v>0</v>
          </cell>
          <cell r="CK159">
            <v>0</v>
          </cell>
          <cell r="CL159">
            <v>0</v>
          </cell>
          <cell r="CM159">
            <v>0</v>
          </cell>
          <cell r="CN159">
            <v>0</v>
          </cell>
          <cell r="CO159">
            <v>0</v>
          </cell>
          <cell r="CP159">
            <v>0</v>
          </cell>
          <cell r="CQ159">
            <v>0</v>
          </cell>
          <cell r="CR159">
            <v>0</v>
          </cell>
          <cell r="CS159">
            <v>0</v>
          </cell>
          <cell r="CT159">
            <v>0</v>
          </cell>
          <cell r="CU159">
            <v>0</v>
          </cell>
          <cell r="CV159">
            <v>0</v>
          </cell>
          <cell r="CW159">
            <v>0</v>
          </cell>
          <cell r="CX159">
            <v>0</v>
          </cell>
          <cell r="CY159">
            <v>0</v>
          </cell>
          <cell r="CZ159">
            <v>0</v>
          </cell>
          <cell r="DA159">
            <v>0</v>
          </cell>
          <cell r="DB159">
            <v>0</v>
          </cell>
          <cell r="DC159">
            <v>0</v>
          </cell>
          <cell r="DD159">
            <v>0</v>
          </cell>
          <cell r="DE159">
            <v>0</v>
          </cell>
          <cell r="DF159">
            <v>0</v>
          </cell>
          <cell r="DG159">
            <v>0</v>
          </cell>
          <cell r="DH159">
            <v>0</v>
          </cell>
          <cell r="DI159">
            <v>0</v>
          </cell>
          <cell r="DJ159">
            <v>0</v>
          </cell>
          <cell r="DK159">
            <v>0</v>
          </cell>
          <cell r="DL159">
            <v>0</v>
          </cell>
          <cell r="DM159">
            <v>0</v>
          </cell>
          <cell r="DN159">
            <v>0</v>
          </cell>
          <cell r="DO159">
            <v>0</v>
          </cell>
          <cell r="DP159">
            <v>0</v>
          </cell>
          <cell r="DQ159">
            <v>0</v>
          </cell>
          <cell r="DR159">
            <v>0</v>
          </cell>
          <cell r="DS159">
            <v>0</v>
          </cell>
          <cell r="DT159">
            <v>0</v>
          </cell>
          <cell r="DU159">
            <v>0</v>
          </cell>
          <cell r="DV159">
            <v>0</v>
          </cell>
          <cell r="DW159">
            <v>0</v>
          </cell>
          <cell r="DX159">
            <v>0</v>
          </cell>
          <cell r="DY159">
            <v>0</v>
          </cell>
          <cell r="DZ159">
            <v>0</v>
          </cell>
          <cell r="EA159">
            <v>0</v>
          </cell>
          <cell r="EB159">
            <v>0</v>
          </cell>
          <cell r="EC159">
            <v>0</v>
          </cell>
          <cell r="ED159">
            <v>0</v>
          </cell>
          <cell r="EE159">
            <v>0</v>
          </cell>
          <cell r="EF159">
            <v>0</v>
          </cell>
          <cell r="EG159">
            <v>0</v>
          </cell>
          <cell r="EH159">
            <v>0</v>
          </cell>
          <cell r="EI159">
            <v>0</v>
          </cell>
          <cell r="EJ159">
            <v>0</v>
          </cell>
          <cell r="EK159">
            <v>0</v>
          </cell>
          <cell r="EL159">
            <v>0</v>
          </cell>
          <cell r="EM159">
            <v>0</v>
          </cell>
          <cell r="EN159">
            <v>0</v>
          </cell>
          <cell r="EO159">
            <v>0</v>
          </cell>
          <cell r="EP159">
            <v>0</v>
          </cell>
          <cell r="EQ159">
            <v>0</v>
          </cell>
          <cell r="ER159">
            <v>0</v>
          </cell>
          <cell r="ES159">
            <v>0</v>
          </cell>
          <cell r="ET159">
            <v>0</v>
          </cell>
          <cell r="EU159">
            <v>0</v>
          </cell>
          <cell r="EV159">
            <v>0</v>
          </cell>
          <cell r="EW159">
            <v>0</v>
          </cell>
          <cell r="EX159">
            <v>0</v>
          </cell>
          <cell r="EY159">
            <v>0</v>
          </cell>
          <cell r="EZ159">
            <v>0</v>
          </cell>
          <cell r="FA159">
            <v>0</v>
          </cell>
          <cell r="FB159">
            <v>0</v>
          </cell>
          <cell r="FC159">
            <v>0</v>
          </cell>
          <cell r="FD159">
            <v>0</v>
          </cell>
          <cell r="FE159">
            <v>0</v>
          </cell>
          <cell r="FF159">
            <v>0</v>
          </cell>
          <cell r="FG159">
            <v>0</v>
          </cell>
          <cell r="FH159">
            <v>0</v>
          </cell>
          <cell r="FI159">
            <v>0</v>
          </cell>
          <cell r="FJ159">
            <v>0</v>
          </cell>
          <cell r="FK159">
            <v>0</v>
          </cell>
          <cell r="FL159">
            <v>0</v>
          </cell>
          <cell r="FM159">
            <v>0</v>
          </cell>
          <cell r="FN159">
            <v>0</v>
          </cell>
          <cell r="FO159">
            <v>0</v>
          </cell>
          <cell r="FP159">
            <v>0</v>
          </cell>
          <cell r="FQ159">
            <v>0</v>
          </cell>
          <cell r="FR159">
            <v>0</v>
          </cell>
          <cell r="FS159">
            <v>0</v>
          </cell>
          <cell r="FT159">
            <v>0</v>
          </cell>
          <cell r="FU159">
            <v>0</v>
          </cell>
          <cell r="FV159">
            <v>0</v>
          </cell>
          <cell r="FW159">
            <v>0</v>
          </cell>
          <cell r="FX159">
            <v>0</v>
          </cell>
          <cell r="FY159">
            <v>0</v>
          </cell>
          <cell r="FZ159">
            <v>0</v>
          </cell>
          <cell r="GA159">
            <v>0</v>
          </cell>
          <cell r="GB159">
            <v>0</v>
          </cell>
          <cell r="GC159">
            <v>0</v>
          </cell>
          <cell r="GD159">
            <v>0</v>
          </cell>
          <cell r="GE159">
            <v>0</v>
          </cell>
          <cell r="GF159">
            <v>0</v>
          </cell>
          <cell r="GG159">
            <v>0</v>
          </cell>
          <cell r="GH159">
            <v>0</v>
          </cell>
          <cell r="GI159">
            <v>0</v>
          </cell>
          <cell r="GJ159">
            <v>0</v>
          </cell>
          <cell r="GK159">
            <v>0</v>
          </cell>
          <cell r="GL159">
            <v>0</v>
          </cell>
          <cell r="GM159">
            <v>0</v>
          </cell>
          <cell r="GN159">
            <v>0</v>
          </cell>
          <cell r="GO159">
            <v>0</v>
          </cell>
          <cell r="GP159">
            <v>0</v>
          </cell>
          <cell r="GQ159">
            <v>0</v>
          </cell>
          <cell r="GR159">
            <v>0</v>
          </cell>
          <cell r="GS159">
            <v>0</v>
          </cell>
          <cell r="GT159">
            <v>0</v>
          </cell>
          <cell r="GU159">
            <v>0</v>
          </cell>
          <cell r="GV159">
            <v>0</v>
          </cell>
          <cell r="GW159">
            <v>0</v>
          </cell>
          <cell r="GX159">
            <v>0</v>
          </cell>
          <cell r="GY159">
            <v>0</v>
          </cell>
          <cell r="GZ159">
            <v>0</v>
          </cell>
          <cell r="HA159">
            <v>0</v>
          </cell>
          <cell r="HB159">
            <v>0</v>
          </cell>
          <cell r="HC159">
            <v>0</v>
          </cell>
          <cell r="HD159">
            <v>0</v>
          </cell>
          <cell r="HE159">
            <v>0</v>
          </cell>
          <cell r="HF159">
            <v>0</v>
          </cell>
          <cell r="HG159">
            <v>0</v>
          </cell>
          <cell r="HH159">
            <v>0</v>
          </cell>
          <cell r="HI159">
            <v>0</v>
          </cell>
          <cell r="HJ159">
            <v>0</v>
          </cell>
          <cell r="HK159">
            <v>0</v>
          </cell>
          <cell r="HL159">
            <v>0</v>
          </cell>
          <cell r="HM159">
            <v>0</v>
          </cell>
          <cell r="HN159">
            <v>0</v>
          </cell>
          <cell r="HO159">
            <v>0</v>
          </cell>
          <cell r="HP159">
            <v>0</v>
          </cell>
          <cell r="HQ159">
            <v>0</v>
          </cell>
          <cell r="HR159">
            <v>0</v>
          </cell>
          <cell r="HS159">
            <v>0</v>
          </cell>
          <cell r="HT159">
            <v>0</v>
          </cell>
          <cell r="HU159">
            <v>0</v>
          </cell>
          <cell r="HV159">
            <v>0</v>
          </cell>
          <cell r="HW159">
            <v>0</v>
          </cell>
          <cell r="HX159">
            <v>0</v>
          </cell>
          <cell r="HY159">
            <v>0</v>
          </cell>
          <cell r="HZ159">
            <v>0</v>
          </cell>
          <cell r="IA159">
            <v>0</v>
          </cell>
          <cell r="IB159">
            <v>0</v>
          </cell>
          <cell r="IC159">
            <v>0</v>
          </cell>
          <cell r="ID159">
            <v>0</v>
          </cell>
          <cell r="IE159">
            <v>0</v>
          </cell>
          <cell r="IF159">
            <v>0</v>
          </cell>
          <cell r="IG159">
            <v>0</v>
          </cell>
          <cell r="IH159">
            <v>0</v>
          </cell>
          <cell r="II159">
            <v>0</v>
          </cell>
          <cell r="IJ159">
            <v>0</v>
          </cell>
          <cell r="IK159">
            <v>0</v>
          </cell>
          <cell r="IL159">
            <v>0</v>
          </cell>
          <cell r="IM159">
            <v>0</v>
          </cell>
          <cell r="IN159">
            <v>0</v>
          </cell>
          <cell r="IO159">
            <v>0</v>
          </cell>
          <cell r="IP159">
            <v>0</v>
          </cell>
          <cell r="IQ159">
            <v>0</v>
          </cell>
          <cell r="IR159">
            <v>0</v>
          </cell>
          <cell r="IS159">
            <v>0</v>
          </cell>
          <cell r="IT159">
            <v>0</v>
          </cell>
          <cell r="IU159">
            <v>0</v>
          </cell>
          <cell r="IV159">
            <v>0</v>
          </cell>
          <cell r="IW159">
            <v>0</v>
          </cell>
          <cell r="IX159">
            <v>0</v>
          </cell>
          <cell r="IY159">
            <v>0</v>
          </cell>
          <cell r="IZ159">
            <v>0</v>
          </cell>
          <cell r="JA159">
            <v>0</v>
          </cell>
        </row>
        <row r="160">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cell r="BM160">
            <v>0</v>
          </cell>
          <cell r="BN160">
            <v>0</v>
          </cell>
          <cell r="BO160">
            <v>0</v>
          </cell>
          <cell r="BP160">
            <v>0</v>
          </cell>
          <cell r="BQ160">
            <v>0</v>
          </cell>
          <cell r="BR160">
            <v>0</v>
          </cell>
          <cell r="BS160">
            <v>0</v>
          </cell>
          <cell r="BT160">
            <v>0</v>
          </cell>
          <cell r="BU160">
            <v>0</v>
          </cell>
          <cell r="BV160">
            <v>0</v>
          </cell>
          <cell r="BW160">
            <v>0</v>
          </cell>
          <cell r="BX160">
            <v>0</v>
          </cell>
          <cell r="BY160">
            <v>0</v>
          </cell>
          <cell r="BZ160">
            <v>0</v>
          </cell>
          <cell r="CA160">
            <v>0</v>
          </cell>
          <cell r="CB160">
            <v>0</v>
          </cell>
          <cell r="CC160">
            <v>0</v>
          </cell>
          <cell r="CD160">
            <v>0</v>
          </cell>
          <cell r="CE160">
            <v>0</v>
          </cell>
          <cell r="CF160">
            <v>0</v>
          </cell>
          <cell r="CG160">
            <v>0</v>
          </cell>
          <cell r="CH160">
            <v>0</v>
          </cell>
          <cell r="CI160">
            <v>0</v>
          </cell>
          <cell r="CJ160">
            <v>0</v>
          </cell>
          <cell r="CK160">
            <v>0</v>
          </cell>
          <cell r="CL160">
            <v>0</v>
          </cell>
          <cell r="CM160">
            <v>0</v>
          </cell>
          <cell r="CN160">
            <v>0</v>
          </cell>
          <cell r="CO160">
            <v>0</v>
          </cell>
          <cell r="CP160">
            <v>0</v>
          </cell>
          <cell r="CQ160">
            <v>0</v>
          </cell>
          <cell r="CR160">
            <v>0</v>
          </cell>
          <cell r="CS160">
            <v>0</v>
          </cell>
          <cell r="CT160">
            <v>0</v>
          </cell>
          <cell r="CU160">
            <v>0</v>
          </cell>
          <cell r="CV160">
            <v>0</v>
          </cell>
          <cell r="CW160">
            <v>0</v>
          </cell>
          <cell r="CX160">
            <v>0</v>
          </cell>
          <cell r="CY160">
            <v>0</v>
          </cell>
          <cell r="CZ160">
            <v>0</v>
          </cell>
          <cell r="DA160">
            <v>0</v>
          </cell>
          <cell r="DB160">
            <v>0</v>
          </cell>
          <cell r="DC160">
            <v>0</v>
          </cell>
          <cell r="DD160">
            <v>0</v>
          </cell>
          <cell r="DE160">
            <v>0</v>
          </cell>
          <cell r="DF160">
            <v>0</v>
          </cell>
          <cell r="DG160">
            <v>0</v>
          </cell>
          <cell r="DH160">
            <v>0</v>
          </cell>
          <cell r="DI160">
            <v>0</v>
          </cell>
          <cell r="DJ160">
            <v>0</v>
          </cell>
          <cell r="DK160">
            <v>0</v>
          </cell>
          <cell r="DL160">
            <v>0</v>
          </cell>
          <cell r="DM160">
            <v>0</v>
          </cell>
          <cell r="DN160">
            <v>0</v>
          </cell>
          <cell r="DO160">
            <v>0</v>
          </cell>
          <cell r="DP160">
            <v>0</v>
          </cell>
          <cell r="DQ160">
            <v>0</v>
          </cell>
          <cell r="DR160">
            <v>0</v>
          </cell>
          <cell r="DS160">
            <v>0</v>
          </cell>
          <cell r="DT160">
            <v>0</v>
          </cell>
          <cell r="DU160">
            <v>0</v>
          </cell>
          <cell r="DV160">
            <v>0</v>
          </cell>
          <cell r="DW160">
            <v>0</v>
          </cell>
          <cell r="DX160">
            <v>0</v>
          </cell>
          <cell r="DY160">
            <v>0</v>
          </cell>
          <cell r="DZ160">
            <v>0</v>
          </cell>
          <cell r="EA160">
            <v>0</v>
          </cell>
          <cell r="EB160">
            <v>0</v>
          </cell>
          <cell r="EC160">
            <v>0</v>
          </cell>
          <cell r="ED160">
            <v>0</v>
          </cell>
          <cell r="EE160">
            <v>0</v>
          </cell>
          <cell r="EF160">
            <v>0</v>
          </cell>
          <cell r="EG160">
            <v>0</v>
          </cell>
          <cell r="EH160">
            <v>0</v>
          </cell>
          <cell r="EI160">
            <v>0</v>
          </cell>
          <cell r="EJ160">
            <v>0</v>
          </cell>
          <cell r="EK160">
            <v>0</v>
          </cell>
          <cell r="EL160">
            <v>0</v>
          </cell>
          <cell r="EM160">
            <v>0</v>
          </cell>
          <cell r="EN160">
            <v>0</v>
          </cell>
          <cell r="EO160">
            <v>0</v>
          </cell>
          <cell r="EP160">
            <v>0</v>
          </cell>
          <cell r="EQ160">
            <v>0</v>
          </cell>
          <cell r="ER160">
            <v>0</v>
          </cell>
          <cell r="ES160">
            <v>0</v>
          </cell>
          <cell r="ET160">
            <v>0</v>
          </cell>
          <cell r="EU160">
            <v>0</v>
          </cell>
          <cell r="EV160">
            <v>0</v>
          </cell>
          <cell r="EW160">
            <v>0</v>
          </cell>
          <cell r="EX160">
            <v>0</v>
          </cell>
          <cell r="EY160">
            <v>0</v>
          </cell>
          <cell r="EZ160">
            <v>0</v>
          </cell>
          <cell r="FA160">
            <v>0</v>
          </cell>
          <cell r="FB160">
            <v>0</v>
          </cell>
          <cell r="FC160">
            <v>0</v>
          </cell>
          <cell r="FD160">
            <v>0</v>
          </cell>
          <cell r="FE160">
            <v>0</v>
          </cell>
          <cell r="FF160">
            <v>0</v>
          </cell>
          <cell r="FG160">
            <v>0</v>
          </cell>
          <cell r="FH160">
            <v>0</v>
          </cell>
          <cell r="FI160">
            <v>0</v>
          </cell>
          <cell r="FJ160">
            <v>0</v>
          </cell>
          <cell r="FK160">
            <v>0</v>
          </cell>
          <cell r="FL160">
            <v>0</v>
          </cell>
          <cell r="FM160">
            <v>0</v>
          </cell>
          <cell r="FN160">
            <v>0</v>
          </cell>
          <cell r="FO160">
            <v>0</v>
          </cell>
          <cell r="FP160">
            <v>0</v>
          </cell>
          <cell r="FQ160">
            <v>0</v>
          </cell>
          <cell r="FR160">
            <v>0</v>
          </cell>
          <cell r="FS160">
            <v>0</v>
          </cell>
          <cell r="FT160">
            <v>0</v>
          </cell>
          <cell r="FU160">
            <v>0</v>
          </cell>
          <cell r="FV160">
            <v>0</v>
          </cell>
          <cell r="FW160">
            <v>0</v>
          </cell>
          <cell r="FX160">
            <v>0</v>
          </cell>
          <cell r="FY160">
            <v>0</v>
          </cell>
          <cell r="FZ160">
            <v>0</v>
          </cell>
          <cell r="GA160">
            <v>0</v>
          </cell>
          <cell r="GB160">
            <v>0</v>
          </cell>
          <cell r="GC160">
            <v>0</v>
          </cell>
          <cell r="GD160">
            <v>0</v>
          </cell>
          <cell r="GE160">
            <v>0</v>
          </cell>
          <cell r="GF160">
            <v>0</v>
          </cell>
          <cell r="GG160">
            <v>0</v>
          </cell>
          <cell r="GH160">
            <v>0</v>
          </cell>
          <cell r="GI160">
            <v>0</v>
          </cell>
          <cell r="GJ160">
            <v>0</v>
          </cell>
          <cell r="GK160">
            <v>0</v>
          </cell>
          <cell r="GL160">
            <v>0</v>
          </cell>
          <cell r="GM160">
            <v>0</v>
          </cell>
          <cell r="GN160">
            <v>0</v>
          </cell>
          <cell r="GO160">
            <v>0</v>
          </cell>
          <cell r="GP160">
            <v>0</v>
          </cell>
          <cell r="GQ160">
            <v>0</v>
          </cell>
          <cell r="GR160">
            <v>0</v>
          </cell>
          <cell r="GS160">
            <v>0</v>
          </cell>
          <cell r="GT160">
            <v>0</v>
          </cell>
          <cell r="GU160">
            <v>0</v>
          </cell>
          <cell r="GV160">
            <v>0</v>
          </cell>
          <cell r="GW160">
            <v>0</v>
          </cell>
          <cell r="GX160">
            <v>0</v>
          </cell>
          <cell r="GY160">
            <v>0</v>
          </cell>
          <cell r="GZ160">
            <v>0</v>
          </cell>
          <cell r="HA160">
            <v>0</v>
          </cell>
          <cell r="HB160">
            <v>0</v>
          </cell>
          <cell r="HC160">
            <v>0</v>
          </cell>
          <cell r="HD160">
            <v>0</v>
          </cell>
          <cell r="HE160">
            <v>0</v>
          </cell>
          <cell r="HF160">
            <v>0</v>
          </cell>
          <cell r="HG160">
            <v>0</v>
          </cell>
          <cell r="HH160">
            <v>0</v>
          </cell>
          <cell r="HI160">
            <v>0</v>
          </cell>
          <cell r="HJ160">
            <v>0</v>
          </cell>
          <cell r="HK160">
            <v>0</v>
          </cell>
          <cell r="HL160">
            <v>0</v>
          </cell>
          <cell r="HM160">
            <v>0</v>
          </cell>
          <cell r="HN160">
            <v>0</v>
          </cell>
          <cell r="HO160">
            <v>0</v>
          </cell>
          <cell r="HP160">
            <v>0</v>
          </cell>
          <cell r="HQ160">
            <v>0</v>
          </cell>
          <cell r="HR160">
            <v>0</v>
          </cell>
          <cell r="HS160">
            <v>0</v>
          </cell>
          <cell r="HT160">
            <v>0</v>
          </cell>
          <cell r="HU160">
            <v>0</v>
          </cell>
          <cell r="HV160">
            <v>0</v>
          </cell>
          <cell r="HW160">
            <v>0</v>
          </cell>
          <cell r="HX160">
            <v>0</v>
          </cell>
          <cell r="HY160">
            <v>0</v>
          </cell>
          <cell r="HZ160">
            <v>0</v>
          </cell>
          <cell r="IA160">
            <v>0</v>
          </cell>
          <cell r="IB160">
            <v>0</v>
          </cell>
          <cell r="IC160">
            <v>0</v>
          </cell>
          <cell r="ID160">
            <v>0</v>
          </cell>
          <cell r="IE160">
            <v>0</v>
          </cell>
          <cell r="IF160">
            <v>0</v>
          </cell>
          <cell r="IG160">
            <v>0</v>
          </cell>
          <cell r="IH160">
            <v>0</v>
          </cell>
          <cell r="II160">
            <v>0</v>
          </cell>
          <cell r="IJ160">
            <v>0</v>
          </cell>
          <cell r="IK160">
            <v>0</v>
          </cell>
          <cell r="IL160">
            <v>0</v>
          </cell>
          <cell r="IM160">
            <v>0</v>
          </cell>
          <cell r="IN160">
            <v>0</v>
          </cell>
          <cell r="IO160">
            <v>0</v>
          </cell>
          <cell r="IP160">
            <v>0</v>
          </cell>
          <cell r="IQ160">
            <v>0</v>
          </cell>
          <cell r="IR160">
            <v>0</v>
          </cell>
          <cell r="IS160">
            <v>0</v>
          </cell>
          <cell r="IT160">
            <v>0</v>
          </cell>
          <cell r="IU160">
            <v>0</v>
          </cell>
          <cell r="IV160">
            <v>0</v>
          </cell>
          <cell r="IW160">
            <v>0</v>
          </cell>
          <cell r="IX160">
            <v>0</v>
          </cell>
          <cell r="IY160">
            <v>0</v>
          </cell>
          <cell r="IZ160">
            <v>0</v>
          </cell>
          <cell r="JA160">
            <v>0</v>
          </cell>
        </row>
        <row r="163">
          <cell r="L163">
            <v>0</v>
          </cell>
          <cell r="M163">
            <v>1.141E-2</v>
          </cell>
          <cell r="N163">
            <v>0.63560899999999998</v>
          </cell>
          <cell r="O163">
            <v>7.0738500000000002</v>
          </cell>
          <cell r="P163">
            <v>1.8969009999999999</v>
          </cell>
          <cell r="Q163">
            <v>9.4848000000000002E-2</v>
          </cell>
          <cell r="R163">
            <v>5.9811999999999997E-2</v>
          </cell>
          <cell r="S163">
            <v>6.4681000000000002E-2</v>
          </cell>
          <cell r="T163">
            <v>8.2790000000000002E-2</v>
          </cell>
          <cell r="U163">
            <v>0.103032</v>
          </cell>
          <cell r="V163">
            <v>0.11045000000000001</v>
          </cell>
          <cell r="W163">
            <v>0.13347899999999999</v>
          </cell>
          <cell r="X163">
            <v>0.15234900000000001</v>
          </cell>
          <cell r="Y163">
            <v>0.16131699999999999</v>
          </cell>
          <cell r="Z163">
            <v>0.18984599999999999</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cell r="BO163">
            <v>0</v>
          </cell>
          <cell r="BP163">
            <v>0</v>
          </cell>
          <cell r="BQ163">
            <v>0</v>
          </cell>
          <cell r="BR163">
            <v>0</v>
          </cell>
          <cell r="BS163">
            <v>0</v>
          </cell>
          <cell r="BT163">
            <v>0</v>
          </cell>
          <cell r="BU163">
            <v>0</v>
          </cell>
          <cell r="BV163">
            <v>0</v>
          </cell>
          <cell r="BW163">
            <v>0</v>
          </cell>
          <cell r="BX163">
            <v>0</v>
          </cell>
          <cell r="BY163">
            <v>0</v>
          </cell>
          <cell r="BZ163">
            <v>0</v>
          </cell>
          <cell r="CA163">
            <v>0</v>
          </cell>
          <cell r="CB163">
            <v>0</v>
          </cell>
          <cell r="CC163">
            <v>0</v>
          </cell>
          <cell r="CD163">
            <v>0</v>
          </cell>
          <cell r="CE163">
            <v>0</v>
          </cell>
          <cell r="CF163">
            <v>0</v>
          </cell>
          <cell r="CG163">
            <v>0</v>
          </cell>
          <cell r="CH163">
            <v>0</v>
          </cell>
          <cell r="CI163">
            <v>0</v>
          </cell>
          <cell r="CJ163">
            <v>0</v>
          </cell>
          <cell r="CK163">
            <v>0</v>
          </cell>
          <cell r="CL163">
            <v>0</v>
          </cell>
          <cell r="CM163">
            <v>0</v>
          </cell>
          <cell r="CN163">
            <v>0</v>
          </cell>
          <cell r="CO163">
            <v>0</v>
          </cell>
          <cell r="CP163">
            <v>0</v>
          </cell>
          <cell r="CQ163">
            <v>0</v>
          </cell>
          <cell r="CR163">
            <v>0</v>
          </cell>
          <cell r="CS163">
            <v>0</v>
          </cell>
          <cell r="CT163">
            <v>0</v>
          </cell>
          <cell r="CU163">
            <v>0</v>
          </cell>
          <cell r="CV163">
            <v>0</v>
          </cell>
          <cell r="CW163">
            <v>0</v>
          </cell>
          <cell r="CX163">
            <v>0</v>
          </cell>
          <cell r="CY163">
            <v>0</v>
          </cell>
          <cell r="CZ163">
            <v>0</v>
          </cell>
          <cell r="DA163">
            <v>0</v>
          </cell>
          <cell r="DB163">
            <v>0</v>
          </cell>
          <cell r="DC163">
            <v>0</v>
          </cell>
          <cell r="DD163">
            <v>0</v>
          </cell>
          <cell r="DE163">
            <v>0</v>
          </cell>
          <cell r="DF163">
            <v>0</v>
          </cell>
          <cell r="DG163">
            <v>0</v>
          </cell>
          <cell r="DH163">
            <v>0</v>
          </cell>
          <cell r="DI163">
            <v>0</v>
          </cell>
          <cell r="DJ163">
            <v>0</v>
          </cell>
          <cell r="DK163">
            <v>0</v>
          </cell>
          <cell r="DL163">
            <v>0</v>
          </cell>
          <cell r="DM163">
            <v>0</v>
          </cell>
          <cell r="DN163">
            <v>0</v>
          </cell>
          <cell r="DO163">
            <v>0</v>
          </cell>
          <cell r="DP163">
            <v>0</v>
          </cell>
          <cell r="DQ163">
            <v>0</v>
          </cell>
          <cell r="DR163">
            <v>0</v>
          </cell>
          <cell r="DS163">
            <v>0</v>
          </cell>
          <cell r="DT163">
            <v>0</v>
          </cell>
          <cell r="DU163">
            <v>0</v>
          </cell>
          <cell r="DV163">
            <v>0</v>
          </cell>
          <cell r="DW163">
            <v>0</v>
          </cell>
          <cell r="DX163">
            <v>0</v>
          </cell>
          <cell r="DY163">
            <v>0</v>
          </cell>
          <cell r="DZ163">
            <v>0</v>
          </cell>
          <cell r="EA163">
            <v>0</v>
          </cell>
          <cell r="EB163">
            <v>0</v>
          </cell>
          <cell r="EC163">
            <v>0</v>
          </cell>
          <cell r="ED163">
            <v>0</v>
          </cell>
          <cell r="EE163">
            <v>0</v>
          </cell>
          <cell r="EF163">
            <v>0</v>
          </cell>
          <cell r="EG163">
            <v>0</v>
          </cell>
          <cell r="EH163">
            <v>0</v>
          </cell>
          <cell r="EI163">
            <v>0</v>
          </cell>
          <cell r="EJ163">
            <v>0</v>
          </cell>
          <cell r="EK163">
            <v>0</v>
          </cell>
          <cell r="EL163">
            <v>0</v>
          </cell>
          <cell r="EM163">
            <v>0</v>
          </cell>
          <cell r="EN163">
            <v>0</v>
          </cell>
          <cell r="EO163">
            <v>0</v>
          </cell>
          <cell r="EP163">
            <v>0</v>
          </cell>
          <cell r="EQ163">
            <v>0</v>
          </cell>
          <cell r="ER163">
            <v>0</v>
          </cell>
          <cell r="ES163">
            <v>0</v>
          </cell>
          <cell r="ET163">
            <v>0</v>
          </cell>
          <cell r="EU163">
            <v>0</v>
          </cell>
          <cell r="EV163">
            <v>0</v>
          </cell>
          <cell r="EW163">
            <v>0</v>
          </cell>
          <cell r="EX163">
            <v>0</v>
          </cell>
          <cell r="EY163">
            <v>0</v>
          </cell>
          <cell r="EZ163">
            <v>0</v>
          </cell>
          <cell r="FA163">
            <v>0</v>
          </cell>
          <cell r="FB163">
            <v>0</v>
          </cell>
          <cell r="FC163">
            <v>0</v>
          </cell>
          <cell r="FD163">
            <v>0</v>
          </cell>
          <cell r="FE163">
            <v>0</v>
          </cell>
          <cell r="FF163">
            <v>0</v>
          </cell>
          <cell r="FG163">
            <v>0</v>
          </cell>
          <cell r="FH163">
            <v>0</v>
          </cell>
          <cell r="FI163">
            <v>0</v>
          </cell>
          <cell r="FJ163">
            <v>0</v>
          </cell>
          <cell r="FK163">
            <v>0</v>
          </cell>
          <cell r="FL163">
            <v>0</v>
          </cell>
          <cell r="FM163">
            <v>0</v>
          </cell>
          <cell r="FN163">
            <v>0</v>
          </cell>
          <cell r="FO163">
            <v>0</v>
          </cell>
          <cell r="FP163">
            <v>0</v>
          </cell>
          <cell r="FQ163">
            <v>0</v>
          </cell>
          <cell r="FR163">
            <v>0</v>
          </cell>
          <cell r="FS163">
            <v>0</v>
          </cell>
          <cell r="FT163">
            <v>0</v>
          </cell>
          <cell r="FU163">
            <v>0</v>
          </cell>
          <cell r="FV163">
            <v>0</v>
          </cell>
          <cell r="FW163">
            <v>0</v>
          </cell>
          <cell r="FX163">
            <v>0</v>
          </cell>
          <cell r="FY163">
            <v>0</v>
          </cell>
          <cell r="FZ163">
            <v>0</v>
          </cell>
          <cell r="GA163">
            <v>0</v>
          </cell>
          <cell r="GB163">
            <v>0</v>
          </cell>
          <cell r="GC163">
            <v>0</v>
          </cell>
          <cell r="GD163">
            <v>0</v>
          </cell>
          <cell r="GE163">
            <v>0</v>
          </cell>
          <cell r="GF163">
            <v>0</v>
          </cell>
          <cell r="GG163">
            <v>0</v>
          </cell>
          <cell r="GH163">
            <v>0</v>
          </cell>
          <cell r="GI163">
            <v>0</v>
          </cell>
          <cell r="GJ163">
            <v>0</v>
          </cell>
          <cell r="GK163">
            <v>0</v>
          </cell>
          <cell r="GL163">
            <v>0</v>
          </cell>
          <cell r="GM163">
            <v>0</v>
          </cell>
          <cell r="GN163">
            <v>0</v>
          </cell>
          <cell r="GO163">
            <v>0</v>
          </cell>
          <cell r="GP163">
            <v>0</v>
          </cell>
          <cell r="GQ163">
            <v>0</v>
          </cell>
          <cell r="GR163">
            <v>0</v>
          </cell>
          <cell r="GS163">
            <v>0</v>
          </cell>
          <cell r="GT163">
            <v>0</v>
          </cell>
          <cell r="GU163">
            <v>0</v>
          </cell>
          <cell r="GV163">
            <v>0</v>
          </cell>
          <cell r="GW163">
            <v>0</v>
          </cell>
          <cell r="GX163">
            <v>0</v>
          </cell>
          <cell r="GY163">
            <v>0</v>
          </cell>
          <cell r="GZ163">
            <v>0</v>
          </cell>
          <cell r="HA163">
            <v>0</v>
          </cell>
          <cell r="HB163">
            <v>0</v>
          </cell>
          <cell r="HC163">
            <v>0</v>
          </cell>
          <cell r="HD163">
            <v>0</v>
          </cell>
          <cell r="HE163">
            <v>0</v>
          </cell>
          <cell r="HF163">
            <v>0</v>
          </cell>
          <cell r="HG163">
            <v>0</v>
          </cell>
          <cell r="HH163">
            <v>0</v>
          </cell>
          <cell r="HI163">
            <v>0</v>
          </cell>
          <cell r="HJ163">
            <v>0</v>
          </cell>
          <cell r="HK163">
            <v>0</v>
          </cell>
          <cell r="HL163">
            <v>0</v>
          </cell>
          <cell r="HM163">
            <v>0</v>
          </cell>
          <cell r="HN163">
            <v>0</v>
          </cell>
          <cell r="HO163">
            <v>0</v>
          </cell>
          <cell r="HP163">
            <v>0</v>
          </cell>
          <cell r="HQ163">
            <v>0</v>
          </cell>
          <cell r="HR163">
            <v>0</v>
          </cell>
          <cell r="HS163">
            <v>0</v>
          </cell>
          <cell r="HT163">
            <v>0</v>
          </cell>
          <cell r="HU163">
            <v>0</v>
          </cell>
          <cell r="HV163">
            <v>0</v>
          </cell>
          <cell r="HW163">
            <v>0</v>
          </cell>
          <cell r="HX163">
            <v>0</v>
          </cell>
          <cell r="HY163">
            <v>0</v>
          </cell>
          <cell r="HZ163">
            <v>0</v>
          </cell>
          <cell r="IA163">
            <v>0</v>
          </cell>
          <cell r="IB163">
            <v>0</v>
          </cell>
          <cell r="IC163">
            <v>0</v>
          </cell>
          <cell r="ID163">
            <v>0</v>
          </cell>
          <cell r="IE163">
            <v>0</v>
          </cell>
          <cell r="IF163">
            <v>0</v>
          </cell>
          <cell r="IG163">
            <v>0</v>
          </cell>
          <cell r="IH163">
            <v>0</v>
          </cell>
          <cell r="II163">
            <v>0</v>
          </cell>
          <cell r="IJ163">
            <v>0</v>
          </cell>
          <cell r="IK163">
            <v>0</v>
          </cell>
          <cell r="IL163">
            <v>0</v>
          </cell>
          <cell r="IM163">
            <v>0</v>
          </cell>
          <cell r="IN163">
            <v>0</v>
          </cell>
          <cell r="IO163">
            <v>0</v>
          </cell>
          <cell r="IP163">
            <v>0</v>
          </cell>
          <cell r="IQ163">
            <v>0</v>
          </cell>
          <cell r="IR163">
            <v>0</v>
          </cell>
          <cell r="IS163">
            <v>0</v>
          </cell>
          <cell r="IT163">
            <v>0</v>
          </cell>
          <cell r="IU163">
            <v>0</v>
          </cell>
          <cell r="IV163">
            <v>0</v>
          </cell>
          <cell r="IW163">
            <v>0</v>
          </cell>
          <cell r="IX163">
            <v>0</v>
          </cell>
          <cell r="IY163">
            <v>0</v>
          </cell>
          <cell r="IZ163">
            <v>0</v>
          </cell>
          <cell r="JA163">
            <v>0</v>
          </cell>
        </row>
        <row r="164">
          <cell r="L164">
            <v>0</v>
          </cell>
          <cell r="M164">
            <v>9.3729999999999994E-3</v>
          </cell>
          <cell r="N164">
            <v>0.50484899999999999</v>
          </cell>
          <cell r="O164">
            <v>5.7393460000000003</v>
          </cell>
          <cell r="P164">
            <v>1.588031</v>
          </cell>
          <cell r="Q164">
            <v>7.9405000000000003E-2</v>
          </cell>
          <cell r="R164">
            <v>5.0074E-2</v>
          </cell>
          <cell r="S164">
            <v>5.4148000000000002E-2</v>
          </cell>
          <cell r="T164">
            <v>6.9309999999999997E-2</v>
          </cell>
          <cell r="U164">
            <v>8.6255999999999999E-2</v>
          </cell>
          <cell r="V164">
            <v>9.2465000000000006E-2</v>
          </cell>
          <cell r="W164">
            <v>0.111744</v>
          </cell>
          <cell r="X164">
            <v>0.12754099999999999</v>
          </cell>
          <cell r="Y164">
            <v>0.135051</v>
          </cell>
          <cell r="Z164">
            <v>0.15893299999999999</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cell r="BR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cell r="CI164">
            <v>0</v>
          </cell>
          <cell r="CJ164">
            <v>0</v>
          </cell>
          <cell r="CK164">
            <v>0</v>
          </cell>
          <cell r="CL164">
            <v>0</v>
          </cell>
          <cell r="CM164">
            <v>0</v>
          </cell>
          <cell r="CN164">
            <v>0</v>
          </cell>
          <cell r="CO164">
            <v>0</v>
          </cell>
          <cell r="CP164">
            <v>0</v>
          </cell>
          <cell r="CQ164">
            <v>0</v>
          </cell>
          <cell r="CR164">
            <v>0</v>
          </cell>
          <cell r="CS164">
            <v>0</v>
          </cell>
          <cell r="CT164">
            <v>0</v>
          </cell>
          <cell r="CU164">
            <v>0</v>
          </cell>
          <cell r="CV164">
            <v>0</v>
          </cell>
          <cell r="CW164">
            <v>0</v>
          </cell>
          <cell r="CX164">
            <v>0</v>
          </cell>
          <cell r="CY164">
            <v>0</v>
          </cell>
          <cell r="CZ164">
            <v>0</v>
          </cell>
          <cell r="DA164">
            <v>0</v>
          </cell>
          <cell r="DB164">
            <v>0</v>
          </cell>
          <cell r="DC164">
            <v>0</v>
          </cell>
          <cell r="DD164">
            <v>0</v>
          </cell>
          <cell r="DE164">
            <v>0</v>
          </cell>
          <cell r="DF164">
            <v>0</v>
          </cell>
          <cell r="DG164">
            <v>0</v>
          </cell>
          <cell r="DH164">
            <v>0</v>
          </cell>
          <cell r="DI164">
            <v>0</v>
          </cell>
          <cell r="DJ164">
            <v>0</v>
          </cell>
          <cell r="DK164">
            <v>0</v>
          </cell>
          <cell r="DL164">
            <v>0</v>
          </cell>
          <cell r="DM164">
            <v>0</v>
          </cell>
          <cell r="DN164">
            <v>0</v>
          </cell>
          <cell r="DO164">
            <v>0</v>
          </cell>
          <cell r="DP164">
            <v>0</v>
          </cell>
          <cell r="DQ164">
            <v>0</v>
          </cell>
          <cell r="DR164">
            <v>0</v>
          </cell>
          <cell r="DS164">
            <v>0</v>
          </cell>
          <cell r="DT164">
            <v>0</v>
          </cell>
          <cell r="DU164">
            <v>0</v>
          </cell>
          <cell r="DV164">
            <v>0</v>
          </cell>
          <cell r="DW164">
            <v>0</v>
          </cell>
          <cell r="DX164">
            <v>0</v>
          </cell>
          <cell r="DY164">
            <v>0</v>
          </cell>
          <cell r="DZ164">
            <v>0</v>
          </cell>
          <cell r="EA164">
            <v>0</v>
          </cell>
          <cell r="EB164">
            <v>0</v>
          </cell>
          <cell r="EC164">
            <v>0</v>
          </cell>
          <cell r="ED164">
            <v>0</v>
          </cell>
          <cell r="EE164">
            <v>0</v>
          </cell>
          <cell r="EF164">
            <v>0</v>
          </cell>
          <cell r="EG164">
            <v>0</v>
          </cell>
          <cell r="EH164">
            <v>0</v>
          </cell>
          <cell r="EI164">
            <v>0</v>
          </cell>
          <cell r="EJ164">
            <v>0</v>
          </cell>
          <cell r="EK164">
            <v>0</v>
          </cell>
          <cell r="EL164">
            <v>0</v>
          </cell>
          <cell r="EM164">
            <v>0</v>
          </cell>
          <cell r="EN164">
            <v>0</v>
          </cell>
          <cell r="EO164">
            <v>0</v>
          </cell>
          <cell r="EP164">
            <v>0</v>
          </cell>
          <cell r="EQ164">
            <v>0</v>
          </cell>
          <cell r="ER164">
            <v>0</v>
          </cell>
          <cell r="ES164">
            <v>0</v>
          </cell>
          <cell r="ET164">
            <v>0</v>
          </cell>
          <cell r="EU164">
            <v>0</v>
          </cell>
          <cell r="EV164">
            <v>0</v>
          </cell>
          <cell r="EW164">
            <v>0</v>
          </cell>
          <cell r="EX164">
            <v>0</v>
          </cell>
          <cell r="EY164">
            <v>0</v>
          </cell>
          <cell r="EZ164">
            <v>0</v>
          </cell>
          <cell r="FA164">
            <v>0</v>
          </cell>
          <cell r="FB164">
            <v>0</v>
          </cell>
          <cell r="FC164">
            <v>0</v>
          </cell>
          <cell r="FD164">
            <v>0</v>
          </cell>
          <cell r="FE164">
            <v>0</v>
          </cell>
          <cell r="FF164">
            <v>0</v>
          </cell>
          <cell r="FG164">
            <v>0</v>
          </cell>
          <cell r="FH164">
            <v>0</v>
          </cell>
          <cell r="FI164">
            <v>0</v>
          </cell>
          <cell r="FJ164">
            <v>0</v>
          </cell>
          <cell r="FK164">
            <v>0</v>
          </cell>
          <cell r="FL164">
            <v>0</v>
          </cell>
          <cell r="FM164">
            <v>0</v>
          </cell>
          <cell r="FN164">
            <v>0</v>
          </cell>
          <cell r="FO164">
            <v>0</v>
          </cell>
          <cell r="FP164">
            <v>0</v>
          </cell>
          <cell r="FQ164">
            <v>0</v>
          </cell>
          <cell r="FR164">
            <v>0</v>
          </cell>
          <cell r="FS164">
            <v>0</v>
          </cell>
          <cell r="FT164">
            <v>0</v>
          </cell>
          <cell r="FU164">
            <v>0</v>
          </cell>
          <cell r="FV164">
            <v>0</v>
          </cell>
          <cell r="FW164">
            <v>0</v>
          </cell>
          <cell r="FX164">
            <v>0</v>
          </cell>
          <cell r="FY164">
            <v>0</v>
          </cell>
          <cell r="FZ164">
            <v>0</v>
          </cell>
          <cell r="GA164">
            <v>0</v>
          </cell>
          <cell r="GB164">
            <v>0</v>
          </cell>
          <cell r="GC164">
            <v>0</v>
          </cell>
          <cell r="GD164">
            <v>0</v>
          </cell>
          <cell r="GE164">
            <v>0</v>
          </cell>
          <cell r="GF164">
            <v>0</v>
          </cell>
          <cell r="GG164">
            <v>0</v>
          </cell>
          <cell r="GH164">
            <v>0</v>
          </cell>
          <cell r="GI164">
            <v>0</v>
          </cell>
          <cell r="GJ164">
            <v>0</v>
          </cell>
          <cell r="GK164">
            <v>0</v>
          </cell>
          <cell r="GL164">
            <v>0</v>
          </cell>
          <cell r="GM164">
            <v>0</v>
          </cell>
          <cell r="GN164">
            <v>0</v>
          </cell>
          <cell r="GO164">
            <v>0</v>
          </cell>
          <cell r="GP164">
            <v>0</v>
          </cell>
          <cell r="GQ164">
            <v>0</v>
          </cell>
          <cell r="GR164">
            <v>0</v>
          </cell>
          <cell r="GS164">
            <v>0</v>
          </cell>
          <cell r="GT164">
            <v>0</v>
          </cell>
          <cell r="GU164">
            <v>0</v>
          </cell>
          <cell r="GV164">
            <v>0</v>
          </cell>
          <cell r="GW164">
            <v>0</v>
          </cell>
          <cell r="GX164">
            <v>0</v>
          </cell>
          <cell r="GY164">
            <v>0</v>
          </cell>
          <cell r="GZ164">
            <v>0</v>
          </cell>
          <cell r="HA164">
            <v>0</v>
          </cell>
          <cell r="HB164">
            <v>0</v>
          </cell>
          <cell r="HC164">
            <v>0</v>
          </cell>
          <cell r="HD164">
            <v>0</v>
          </cell>
          <cell r="HE164">
            <v>0</v>
          </cell>
          <cell r="HF164">
            <v>0</v>
          </cell>
          <cell r="HG164">
            <v>0</v>
          </cell>
          <cell r="HH164">
            <v>0</v>
          </cell>
          <cell r="HI164">
            <v>0</v>
          </cell>
          <cell r="HJ164">
            <v>0</v>
          </cell>
          <cell r="HK164">
            <v>0</v>
          </cell>
          <cell r="HL164">
            <v>0</v>
          </cell>
          <cell r="HM164">
            <v>0</v>
          </cell>
          <cell r="HN164">
            <v>0</v>
          </cell>
          <cell r="HO164">
            <v>0</v>
          </cell>
          <cell r="HP164">
            <v>0</v>
          </cell>
          <cell r="HQ164">
            <v>0</v>
          </cell>
          <cell r="HR164">
            <v>0</v>
          </cell>
          <cell r="HS164">
            <v>0</v>
          </cell>
          <cell r="HT164">
            <v>0</v>
          </cell>
          <cell r="HU164">
            <v>0</v>
          </cell>
          <cell r="HV164">
            <v>0</v>
          </cell>
          <cell r="HW164">
            <v>0</v>
          </cell>
          <cell r="HX164">
            <v>0</v>
          </cell>
          <cell r="HY164">
            <v>0</v>
          </cell>
          <cell r="HZ164">
            <v>0</v>
          </cell>
          <cell r="IA164">
            <v>0</v>
          </cell>
          <cell r="IB164">
            <v>0</v>
          </cell>
          <cell r="IC164">
            <v>0</v>
          </cell>
          <cell r="ID164">
            <v>0</v>
          </cell>
          <cell r="IE164">
            <v>0</v>
          </cell>
          <cell r="IF164">
            <v>0</v>
          </cell>
          <cell r="IG164">
            <v>0</v>
          </cell>
          <cell r="IH164">
            <v>0</v>
          </cell>
          <cell r="II164">
            <v>0</v>
          </cell>
          <cell r="IJ164">
            <v>0</v>
          </cell>
          <cell r="IK164">
            <v>0</v>
          </cell>
          <cell r="IL164">
            <v>0</v>
          </cell>
          <cell r="IM164">
            <v>0</v>
          </cell>
          <cell r="IN164">
            <v>0</v>
          </cell>
          <cell r="IO164">
            <v>0</v>
          </cell>
          <cell r="IP164">
            <v>0</v>
          </cell>
          <cell r="IQ164">
            <v>0</v>
          </cell>
          <cell r="IR164">
            <v>0</v>
          </cell>
          <cell r="IS164">
            <v>0</v>
          </cell>
          <cell r="IT164">
            <v>0</v>
          </cell>
          <cell r="IU164">
            <v>0</v>
          </cell>
          <cell r="IV164">
            <v>0</v>
          </cell>
          <cell r="IW164">
            <v>0</v>
          </cell>
          <cell r="IX164">
            <v>0</v>
          </cell>
          <cell r="IY164">
            <v>0</v>
          </cell>
          <cell r="IZ164">
            <v>0</v>
          </cell>
          <cell r="JA164">
            <v>0</v>
          </cell>
        </row>
        <row r="165">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66">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cell r="BP166">
            <v>0</v>
          </cell>
          <cell r="BQ166">
            <v>0</v>
          </cell>
          <cell r="BR166">
            <v>0</v>
          </cell>
          <cell r="BS166">
            <v>0</v>
          </cell>
          <cell r="BT166">
            <v>0</v>
          </cell>
          <cell r="BU166">
            <v>0</v>
          </cell>
          <cell r="BV166">
            <v>0</v>
          </cell>
          <cell r="BW166">
            <v>0</v>
          </cell>
          <cell r="BX166">
            <v>0</v>
          </cell>
          <cell r="BY166">
            <v>0</v>
          </cell>
          <cell r="BZ166">
            <v>0</v>
          </cell>
          <cell r="CA166">
            <v>0</v>
          </cell>
          <cell r="CB166">
            <v>0</v>
          </cell>
          <cell r="CC166">
            <v>0</v>
          </cell>
          <cell r="CD166">
            <v>0</v>
          </cell>
          <cell r="CE166">
            <v>0</v>
          </cell>
          <cell r="CF166">
            <v>0</v>
          </cell>
          <cell r="CG166">
            <v>0</v>
          </cell>
          <cell r="CH166">
            <v>0</v>
          </cell>
          <cell r="CI166">
            <v>0</v>
          </cell>
          <cell r="CJ166">
            <v>0</v>
          </cell>
          <cell r="CK166">
            <v>0</v>
          </cell>
          <cell r="CL166">
            <v>0</v>
          </cell>
          <cell r="CM166">
            <v>0</v>
          </cell>
          <cell r="CN166">
            <v>0</v>
          </cell>
          <cell r="CO166">
            <v>0</v>
          </cell>
          <cell r="CP166">
            <v>0</v>
          </cell>
          <cell r="CQ166">
            <v>0</v>
          </cell>
          <cell r="CR166">
            <v>0</v>
          </cell>
          <cell r="CS166">
            <v>0</v>
          </cell>
          <cell r="CT166">
            <v>0</v>
          </cell>
          <cell r="CU166">
            <v>0</v>
          </cell>
          <cell r="CV166">
            <v>0</v>
          </cell>
          <cell r="CW166">
            <v>0</v>
          </cell>
          <cell r="CX166">
            <v>0</v>
          </cell>
          <cell r="CY166">
            <v>0</v>
          </cell>
          <cell r="CZ166">
            <v>0</v>
          </cell>
          <cell r="DA166">
            <v>0</v>
          </cell>
          <cell r="DB166">
            <v>0</v>
          </cell>
          <cell r="DC166">
            <v>0</v>
          </cell>
          <cell r="DD166">
            <v>0</v>
          </cell>
          <cell r="DE166">
            <v>0</v>
          </cell>
          <cell r="DF166">
            <v>0</v>
          </cell>
          <cell r="DG166">
            <v>0</v>
          </cell>
          <cell r="DH166">
            <v>0</v>
          </cell>
          <cell r="DI166">
            <v>0</v>
          </cell>
          <cell r="DJ166">
            <v>0</v>
          </cell>
          <cell r="DK166">
            <v>0</v>
          </cell>
          <cell r="DL166">
            <v>0</v>
          </cell>
          <cell r="DM166">
            <v>0</v>
          </cell>
          <cell r="DN166">
            <v>0</v>
          </cell>
          <cell r="DO166">
            <v>0</v>
          </cell>
          <cell r="DP166">
            <v>0</v>
          </cell>
          <cell r="DQ166">
            <v>0</v>
          </cell>
          <cell r="DR166">
            <v>0</v>
          </cell>
          <cell r="DS166">
            <v>0</v>
          </cell>
          <cell r="DT166">
            <v>0</v>
          </cell>
          <cell r="DU166">
            <v>0</v>
          </cell>
          <cell r="DV166">
            <v>0</v>
          </cell>
          <cell r="DW166">
            <v>0</v>
          </cell>
          <cell r="DX166">
            <v>0</v>
          </cell>
          <cell r="DY166">
            <v>0</v>
          </cell>
          <cell r="DZ166">
            <v>0</v>
          </cell>
          <cell r="EA166">
            <v>0</v>
          </cell>
          <cell r="EB166">
            <v>0</v>
          </cell>
          <cell r="EC166">
            <v>0</v>
          </cell>
          <cell r="ED166">
            <v>0</v>
          </cell>
          <cell r="EE166">
            <v>0</v>
          </cell>
          <cell r="EF166">
            <v>0</v>
          </cell>
          <cell r="EG166">
            <v>0</v>
          </cell>
          <cell r="EH166">
            <v>0</v>
          </cell>
          <cell r="EI166">
            <v>0</v>
          </cell>
          <cell r="EJ166">
            <v>0</v>
          </cell>
          <cell r="EK166">
            <v>0</v>
          </cell>
          <cell r="EL166">
            <v>0</v>
          </cell>
          <cell r="EM166">
            <v>0</v>
          </cell>
          <cell r="EN166">
            <v>0</v>
          </cell>
          <cell r="EO166">
            <v>0</v>
          </cell>
          <cell r="EP166">
            <v>0</v>
          </cell>
          <cell r="EQ166">
            <v>0</v>
          </cell>
          <cell r="ER166">
            <v>0</v>
          </cell>
          <cell r="ES166">
            <v>0</v>
          </cell>
          <cell r="ET166">
            <v>0</v>
          </cell>
          <cell r="EU166">
            <v>0</v>
          </cell>
          <cell r="EV166">
            <v>0</v>
          </cell>
          <cell r="EW166">
            <v>0</v>
          </cell>
          <cell r="EX166">
            <v>0</v>
          </cell>
          <cell r="EY166">
            <v>0</v>
          </cell>
          <cell r="EZ166">
            <v>0</v>
          </cell>
          <cell r="FA166">
            <v>0</v>
          </cell>
          <cell r="FB166">
            <v>0</v>
          </cell>
          <cell r="FC166">
            <v>0</v>
          </cell>
          <cell r="FD166">
            <v>0</v>
          </cell>
          <cell r="FE166">
            <v>0</v>
          </cell>
          <cell r="FF166">
            <v>0</v>
          </cell>
          <cell r="FG166">
            <v>0</v>
          </cell>
          <cell r="FH166">
            <v>0</v>
          </cell>
          <cell r="FI166">
            <v>0</v>
          </cell>
          <cell r="FJ166">
            <v>0</v>
          </cell>
          <cell r="FK166">
            <v>0</v>
          </cell>
          <cell r="FL166">
            <v>0</v>
          </cell>
          <cell r="FM166">
            <v>0</v>
          </cell>
          <cell r="FN166">
            <v>0</v>
          </cell>
          <cell r="FO166">
            <v>0</v>
          </cell>
          <cell r="FP166">
            <v>0</v>
          </cell>
          <cell r="FQ166">
            <v>0</v>
          </cell>
          <cell r="FR166">
            <v>0</v>
          </cell>
          <cell r="FS166">
            <v>0</v>
          </cell>
          <cell r="FT166">
            <v>0</v>
          </cell>
          <cell r="FU166">
            <v>0</v>
          </cell>
          <cell r="FV166">
            <v>0</v>
          </cell>
          <cell r="FW166">
            <v>0</v>
          </cell>
          <cell r="FX166">
            <v>0</v>
          </cell>
          <cell r="FY166">
            <v>0</v>
          </cell>
          <cell r="FZ166">
            <v>0</v>
          </cell>
          <cell r="GA166">
            <v>0</v>
          </cell>
          <cell r="GB166">
            <v>0</v>
          </cell>
          <cell r="GC166">
            <v>0</v>
          </cell>
          <cell r="GD166">
            <v>0</v>
          </cell>
          <cell r="GE166">
            <v>0</v>
          </cell>
          <cell r="GF166">
            <v>0</v>
          </cell>
          <cell r="GG166">
            <v>0</v>
          </cell>
          <cell r="GH166">
            <v>0</v>
          </cell>
          <cell r="GI166">
            <v>0</v>
          </cell>
          <cell r="GJ166">
            <v>0</v>
          </cell>
          <cell r="GK166">
            <v>0</v>
          </cell>
          <cell r="GL166">
            <v>0</v>
          </cell>
          <cell r="GM166">
            <v>0</v>
          </cell>
          <cell r="GN166">
            <v>0</v>
          </cell>
          <cell r="GO166">
            <v>0</v>
          </cell>
          <cell r="GP166">
            <v>0</v>
          </cell>
          <cell r="GQ166">
            <v>0</v>
          </cell>
          <cell r="GR166">
            <v>0</v>
          </cell>
          <cell r="GS166">
            <v>0</v>
          </cell>
          <cell r="GT166">
            <v>0</v>
          </cell>
          <cell r="GU166">
            <v>0</v>
          </cell>
          <cell r="GV166">
            <v>0</v>
          </cell>
          <cell r="GW166">
            <v>0</v>
          </cell>
          <cell r="GX166">
            <v>0</v>
          </cell>
          <cell r="GY166">
            <v>0</v>
          </cell>
          <cell r="GZ166">
            <v>0</v>
          </cell>
          <cell r="HA166">
            <v>0</v>
          </cell>
          <cell r="HB166">
            <v>0</v>
          </cell>
          <cell r="HC166">
            <v>0</v>
          </cell>
          <cell r="HD166">
            <v>0</v>
          </cell>
          <cell r="HE166">
            <v>0</v>
          </cell>
          <cell r="HF166">
            <v>0</v>
          </cell>
          <cell r="HG166">
            <v>0</v>
          </cell>
          <cell r="HH166">
            <v>0</v>
          </cell>
          <cell r="HI166">
            <v>0</v>
          </cell>
          <cell r="HJ166">
            <v>0</v>
          </cell>
          <cell r="HK166">
            <v>0</v>
          </cell>
          <cell r="HL166">
            <v>0</v>
          </cell>
          <cell r="HM166">
            <v>0</v>
          </cell>
          <cell r="HN166">
            <v>0</v>
          </cell>
          <cell r="HO166">
            <v>0</v>
          </cell>
          <cell r="HP166">
            <v>0</v>
          </cell>
          <cell r="HQ166">
            <v>0</v>
          </cell>
          <cell r="HR166">
            <v>0</v>
          </cell>
          <cell r="HS166">
            <v>0</v>
          </cell>
          <cell r="HT166">
            <v>0</v>
          </cell>
          <cell r="HU166">
            <v>0</v>
          </cell>
          <cell r="HV166">
            <v>0</v>
          </cell>
          <cell r="HW166">
            <v>0</v>
          </cell>
          <cell r="HX166">
            <v>0</v>
          </cell>
          <cell r="HY166">
            <v>0</v>
          </cell>
          <cell r="HZ166">
            <v>0</v>
          </cell>
          <cell r="IA166">
            <v>0</v>
          </cell>
          <cell r="IB166">
            <v>0</v>
          </cell>
          <cell r="IC166">
            <v>0</v>
          </cell>
          <cell r="ID166">
            <v>0</v>
          </cell>
          <cell r="IE166">
            <v>0</v>
          </cell>
          <cell r="IF166">
            <v>0</v>
          </cell>
          <cell r="IG166">
            <v>0</v>
          </cell>
          <cell r="IH166">
            <v>0</v>
          </cell>
          <cell r="II166">
            <v>0</v>
          </cell>
          <cell r="IJ166">
            <v>0</v>
          </cell>
          <cell r="IK166">
            <v>0</v>
          </cell>
          <cell r="IL166">
            <v>0</v>
          </cell>
          <cell r="IM166">
            <v>0</v>
          </cell>
          <cell r="IN166">
            <v>0</v>
          </cell>
          <cell r="IO166">
            <v>0</v>
          </cell>
          <cell r="IP166">
            <v>0</v>
          </cell>
          <cell r="IQ166">
            <v>0</v>
          </cell>
          <cell r="IR166">
            <v>0</v>
          </cell>
          <cell r="IS166">
            <v>0</v>
          </cell>
          <cell r="IT166">
            <v>0</v>
          </cell>
          <cell r="IU166">
            <v>0</v>
          </cell>
          <cell r="IV166">
            <v>0</v>
          </cell>
          <cell r="IW166">
            <v>0</v>
          </cell>
          <cell r="IX166">
            <v>0</v>
          </cell>
          <cell r="IY166">
            <v>0</v>
          </cell>
          <cell r="IZ166">
            <v>0</v>
          </cell>
          <cell r="JA166">
            <v>0</v>
          </cell>
        </row>
        <row r="167">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cell r="BM167">
            <v>0</v>
          </cell>
          <cell r="BN167">
            <v>0</v>
          </cell>
          <cell r="BO167">
            <v>0</v>
          </cell>
          <cell r="BP167">
            <v>0</v>
          </cell>
          <cell r="BQ167">
            <v>0</v>
          </cell>
          <cell r="BR167">
            <v>0</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cell r="CH167">
            <v>0</v>
          </cell>
          <cell r="CI167">
            <v>0</v>
          </cell>
          <cell r="CJ167">
            <v>0</v>
          </cell>
          <cell r="CK167">
            <v>0</v>
          </cell>
          <cell r="CL167">
            <v>0</v>
          </cell>
          <cell r="CM167">
            <v>0</v>
          </cell>
          <cell r="CN167">
            <v>0</v>
          </cell>
          <cell r="CO167">
            <v>0</v>
          </cell>
          <cell r="CP167">
            <v>0</v>
          </cell>
          <cell r="CQ167">
            <v>0</v>
          </cell>
          <cell r="CR167">
            <v>0</v>
          </cell>
          <cell r="CS167">
            <v>0</v>
          </cell>
          <cell r="CT167">
            <v>0</v>
          </cell>
          <cell r="CU167">
            <v>0</v>
          </cell>
          <cell r="CV167">
            <v>0</v>
          </cell>
          <cell r="CW167">
            <v>0</v>
          </cell>
          <cell r="CX167">
            <v>0</v>
          </cell>
          <cell r="CY167">
            <v>0</v>
          </cell>
          <cell r="CZ167">
            <v>0</v>
          </cell>
          <cell r="DA167">
            <v>0</v>
          </cell>
          <cell r="DB167">
            <v>0</v>
          </cell>
          <cell r="DC167">
            <v>0</v>
          </cell>
          <cell r="DD167">
            <v>0</v>
          </cell>
          <cell r="DE167">
            <v>0</v>
          </cell>
          <cell r="DF167">
            <v>0</v>
          </cell>
          <cell r="DG167">
            <v>0</v>
          </cell>
          <cell r="DH167">
            <v>0</v>
          </cell>
          <cell r="DI167">
            <v>0</v>
          </cell>
          <cell r="DJ167">
            <v>0</v>
          </cell>
          <cell r="DK167">
            <v>0</v>
          </cell>
          <cell r="DL167">
            <v>0</v>
          </cell>
          <cell r="DM167">
            <v>0</v>
          </cell>
          <cell r="DN167">
            <v>0</v>
          </cell>
          <cell r="DO167">
            <v>0</v>
          </cell>
          <cell r="DP167">
            <v>0</v>
          </cell>
          <cell r="DQ167">
            <v>0</v>
          </cell>
          <cell r="DR167">
            <v>0</v>
          </cell>
          <cell r="DS167">
            <v>0</v>
          </cell>
          <cell r="DT167">
            <v>0</v>
          </cell>
          <cell r="DU167">
            <v>0</v>
          </cell>
          <cell r="DV167">
            <v>0</v>
          </cell>
          <cell r="DW167">
            <v>0</v>
          </cell>
          <cell r="DX167">
            <v>0</v>
          </cell>
          <cell r="DY167">
            <v>0</v>
          </cell>
          <cell r="DZ167">
            <v>0</v>
          </cell>
          <cell r="EA167">
            <v>0</v>
          </cell>
          <cell r="EB167">
            <v>0</v>
          </cell>
          <cell r="EC167">
            <v>0</v>
          </cell>
          <cell r="ED167">
            <v>0</v>
          </cell>
          <cell r="EE167">
            <v>0</v>
          </cell>
          <cell r="EF167">
            <v>0</v>
          </cell>
          <cell r="EG167">
            <v>0</v>
          </cell>
          <cell r="EH167">
            <v>0</v>
          </cell>
          <cell r="EI167">
            <v>0</v>
          </cell>
          <cell r="EJ167">
            <v>0</v>
          </cell>
          <cell r="EK167">
            <v>0</v>
          </cell>
          <cell r="EL167">
            <v>0</v>
          </cell>
          <cell r="EM167">
            <v>0</v>
          </cell>
          <cell r="EN167">
            <v>0</v>
          </cell>
          <cell r="EO167">
            <v>0</v>
          </cell>
          <cell r="EP167">
            <v>0</v>
          </cell>
          <cell r="EQ167">
            <v>0</v>
          </cell>
          <cell r="ER167">
            <v>0</v>
          </cell>
          <cell r="ES167">
            <v>0</v>
          </cell>
          <cell r="ET167">
            <v>0</v>
          </cell>
          <cell r="EU167">
            <v>0</v>
          </cell>
          <cell r="EV167">
            <v>0</v>
          </cell>
          <cell r="EW167">
            <v>0</v>
          </cell>
          <cell r="EX167">
            <v>0</v>
          </cell>
          <cell r="EY167">
            <v>0</v>
          </cell>
          <cell r="EZ167">
            <v>0</v>
          </cell>
          <cell r="FA167">
            <v>0</v>
          </cell>
          <cell r="FB167">
            <v>0</v>
          </cell>
          <cell r="FC167">
            <v>0</v>
          </cell>
          <cell r="FD167">
            <v>0</v>
          </cell>
          <cell r="FE167">
            <v>0</v>
          </cell>
          <cell r="FF167">
            <v>0</v>
          </cell>
          <cell r="FG167">
            <v>0</v>
          </cell>
          <cell r="FH167">
            <v>0</v>
          </cell>
          <cell r="FI167">
            <v>0</v>
          </cell>
          <cell r="FJ167">
            <v>0</v>
          </cell>
          <cell r="FK167">
            <v>0</v>
          </cell>
          <cell r="FL167">
            <v>0</v>
          </cell>
          <cell r="FM167">
            <v>0</v>
          </cell>
          <cell r="FN167">
            <v>0</v>
          </cell>
          <cell r="FO167">
            <v>0</v>
          </cell>
          <cell r="FP167">
            <v>0</v>
          </cell>
          <cell r="FQ167">
            <v>0</v>
          </cell>
          <cell r="FR167">
            <v>0</v>
          </cell>
          <cell r="FS167">
            <v>0</v>
          </cell>
          <cell r="FT167">
            <v>0</v>
          </cell>
          <cell r="FU167">
            <v>0</v>
          </cell>
          <cell r="FV167">
            <v>0</v>
          </cell>
          <cell r="FW167">
            <v>0</v>
          </cell>
          <cell r="FX167">
            <v>0</v>
          </cell>
          <cell r="FY167">
            <v>0</v>
          </cell>
          <cell r="FZ167">
            <v>0</v>
          </cell>
          <cell r="GA167">
            <v>0</v>
          </cell>
          <cell r="GB167">
            <v>0</v>
          </cell>
          <cell r="GC167">
            <v>0</v>
          </cell>
          <cell r="GD167">
            <v>0</v>
          </cell>
          <cell r="GE167">
            <v>0</v>
          </cell>
          <cell r="GF167">
            <v>0</v>
          </cell>
          <cell r="GG167">
            <v>0</v>
          </cell>
          <cell r="GH167">
            <v>0</v>
          </cell>
          <cell r="GI167">
            <v>0</v>
          </cell>
          <cell r="GJ167">
            <v>0</v>
          </cell>
          <cell r="GK167">
            <v>0</v>
          </cell>
          <cell r="GL167">
            <v>0</v>
          </cell>
          <cell r="GM167">
            <v>0</v>
          </cell>
          <cell r="GN167">
            <v>0</v>
          </cell>
          <cell r="GO167">
            <v>0</v>
          </cell>
          <cell r="GP167">
            <v>0</v>
          </cell>
          <cell r="GQ167">
            <v>0</v>
          </cell>
          <cell r="GR167">
            <v>0</v>
          </cell>
          <cell r="GS167">
            <v>0</v>
          </cell>
          <cell r="GT167">
            <v>0</v>
          </cell>
          <cell r="GU167">
            <v>0</v>
          </cell>
          <cell r="GV167">
            <v>0</v>
          </cell>
          <cell r="GW167">
            <v>0</v>
          </cell>
          <cell r="GX167">
            <v>0</v>
          </cell>
          <cell r="GY167">
            <v>0</v>
          </cell>
          <cell r="GZ167">
            <v>0</v>
          </cell>
          <cell r="HA167">
            <v>0</v>
          </cell>
          <cell r="HB167">
            <v>0</v>
          </cell>
          <cell r="HC167">
            <v>0</v>
          </cell>
          <cell r="HD167">
            <v>0</v>
          </cell>
          <cell r="HE167">
            <v>0</v>
          </cell>
          <cell r="HF167">
            <v>0</v>
          </cell>
          <cell r="HG167">
            <v>0</v>
          </cell>
          <cell r="HH167">
            <v>0</v>
          </cell>
          <cell r="HI167">
            <v>0</v>
          </cell>
          <cell r="HJ167">
            <v>0</v>
          </cell>
          <cell r="HK167">
            <v>0</v>
          </cell>
          <cell r="HL167">
            <v>0</v>
          </cell>
          <cell r="HM167">
            <v>0</v>
          </cell>
          <cell r="HN167">
            <v>0</v>
          </cell>
          <cell r="HO167">
            <v>0</v>
          </cell>
          <cell r="HP167">
            <v>0</v>
          </cell>
          <cell r="HQ167">
            <v>0</v>
          </cell>
          <cell r="HR167">
            <v>0</v>
          </cell>
          <cell r="HS167">
            <v>0</v>
          </cell>
          <cell r="HT167">
            <v>0</v>
          </cell>
          <cell r="HU167">
            <v>0</v>
          </cell>
          <cell r="HV167">
            <v>0</v>
          </cell>
          <cell r="HW167">
            <v>0</v>
          </cell>
          <cell r="HX167">
            <v>0</v>
          </cell>
          <cell r="HY167">
            <v>0</v>
          </cell>
          <cell r="HZ167">
            <v>0</v>
          </cell>
          <cell r="IA167">
            <v>0</v>
          </cell>
          <cell r="IB167">
            <v>0</v>
          </cell>
          <cell r="IC167">
            <v>0</v>
          </cell>
          <cell r="ID167">
            <v>0</v>
          </cell>
          <cell r="IE167">
            <v>0</v>
          </cell>
          <cell r="IF167">
            <v>0</v>
          </cell>
          <cell r="IG167">
            <v>0</v>
          </cell>
          <cell r="IH167">
            <v>0</v>
          </cell>
          <cell r="II167">
            <v>0</v>
          </cell>
          <cell r="IJ167">
            <v>0</v>
          </cell>
          <cell r="IK167">
            <v>0</v>
          </cell>
          <cell r="IL167">
            <v>0</v>
          </cell>
          <cell r="IM167">
            <v>0</v>
          </cell>
          <cell r="IN167">
            <v>0</v>
          </cell>
          <cell r="IO167">
            <v>0</v>
          </cell>
          <cell r="IP167">
            <v>0</v>
          </cell>
          <cell r="IQ167">
            <v>0</v>
          </cell>
          <cell r="IR167">
            <v>0</v>
          </cell>
          <cell r="IS167">
            <v>0</v>
          </cell>
          <cell r="IT167">
            <v>0</v>
          </cell>
          <cell r="IU167">
            <v>0</v>
          </cell>
          <cell r="IV167">
            <v>0</v>
          </cell>
          <cell r="IW167">
            <v>0</v>
          </cell>
          <cell r="IX167">
            <v>0</v>
          </cell>
          <cell r="IY167">
            <v>0</v>
          </cell>
          <cell r="IZ167">
            <v>0</v>
          </cell>
          <cell r="JA167">
            <v>0</v>
          </cell>
        </row>
        <row r="168">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cell r="BM168">
            <v>0</v>
          </cell>
          <cell r="BN168">
            <v>0</v>
          </cell>
          <cell r="BO168">
            <v>0</v>
          </cell>
          <cell r="BP168">
            <v>0</v>
          </cell>
          <cell r="BQ168">
            <v>0</v>
          </cell>
          <cell r="BR168">
            <v>0</v>
          </cell>
          <cell r="BS168">
            <v>0</v>
          </cell>
          <cell r="BT168">
            <v>0</v>
          </cell>
          <cell r="BU168">
            <v>0</v>
          </cell>
          <cell r="BV168">
            <v>0</v>
          </cell>
          <cell r="BW168">
            <v>0</v>
          </cell>
          <cell r="BX168">
            <v>0</v>
          </cell>
          <cell r="BY168">
            <v>0</v>
          </cell>
          <cell r="BZ168">
            <v>0</v>
          </cell>
          <cell r="CA168">
            <v>0</v>
          </cell>
          <cell r="CB168">
            <v>0</v>
          </cell>
          <cell r="CC168">
            <v>0</v>
          </cell>
          <cell r="CD168">
            <v>0</v>
          </cell>
          <cell r="CE168">
            <v>0</v>
          </cell>
          <cell r="CF168">
            <v>0</v>
          </cell>
          <cell r="CG168">
            <v>0</v>
          </cell>
          <cell r="CH168">
            <v>0</v>
          </cell>
          <cell r="CI168">
            <v>0</v>
          </cell>
          <cell r="CJ168">
            <v>0</v>
          </cell>
          <cell r="CK168">
            <v>0</v>
          </cell>
          <cell r="CL168">
            <v>0</v>
          </cell>
          <cell r="CM168">
            <v>0</v>
          </cell>
          <cell r="CN168">
            <v>0</v>
          </cell>
          <cell r="CO168">
            <v>0</v>
          </cell>
          <cell r="CP168">
            <v>0</v>
          </cell>
          <cell r="CQ168">
            <v>0</v>
          </cell>
          <cell r="CR168">
            <v>0</v>
          </cell>
          <cell r="CS168">
            <v>0</v>
          </cell>
          <cell r="CT168">
            <v>0</v>
          </cell>
          <cell r="CU168">
            <v>0</v>
          </cell>
          <cell r="CV168">
            <v>0</v>
          </cell>
          <cell r="CW168">
            <v>0</v>
          </cell>
          <cell r="CX168">
            <v>0</v>
          </cell>
          <cell r="CY168">
            <v>0</v>
          </cell>
          <cell r="CZ168">
            <v>0</v>
          </cell>
          <cell r="DA168">
            <v>0</v>
          </cell>
          <cell r="DB168">
            <v>0</v>
          </cell>
          <cell r="DC168">
            <v>0</v>
          </cell>
          <cell r="DD168">
            <v>0</v>
          </cell>
          <cell r="DE168">
            <v>0</v>
          </cell>
          <cell r="DF168">
            <v>0</v>
          </cell>
          <cell r="DG168">
            <v>0</v>
          </cell>
          <cell r="DH168">
            <v>0</v>
          </cell>
          <cell r="DI168">
            <v>0</v>
          </cell>
          <cell r="DJ168">
            <v>0</v>
          </cell>
          <cell r="DK168">
            <v>0</v>
          </cell>
          <cell r="DL168">
            <v>0</v>
          </cell>
          <cell r="DM168">
            <v>0</v>
          </cell>
          <cell r="DN168">
            <v>0</v>
          </cell>
          <cell r="DO168">
            <v>0</v>
          </cell>
          <cell r="DP168">
            <v>0</v>
          </cell>
          <cell r="DQ168">
            <v>0</v>
          </cell>
          <cell r="DR168">
            <v>0</v>
          </cell>
          <cell r="DS168">
            <v>0</v>
          </cell>
          <cell r="DT168">
            <v>0</v>
          </cell>
          <cell r="DU168">
            <v>0</v>
          </cell>
          <cell r="DV168">
            <v>0</v>
          </cell>
          <cell r="DW168">
            <v>0</v>
          </cell>
          <cell r="DX168">
            <v>0</v>
          </cell>
          <cell r="DY168">
            <v>0</v>
          </cell>
          <cell r="DZ168">
            <v>0</v>
          </cell>
          <cell r="EA168">
            <v>0</v>
          </cell>
          <cell r="EB168">
            <v>0</v>
          </cell>
          <cell r="EC168">
            <v>0</v>
          </cell>
          <cell r="ED168">
            <v>0</v>
          </cell>
          <cell r="EE168">
            <v>0</v>
          </cell>
          <cell r="EF168">
            <v>0</v>
          </cell>
          <cell r="EG168">
            <v>0</v>
          </cell>
          <cell r="EH168">
            <v>0</v>
          </cell>
          <cell r="EI168">
            <v>0</v>
          </cell>
          <cell r="EJ168">
            <v>0</v>
          </cell>
          <cell r="EK168">
            <v>0</v>
          </cell>
          <cell r="EL168">
            <v>0</v>
          </cell>
          <cell r="EM168">
            <v>0</v>
          </cell>
          <cell r="EN168">
            <v>0</v>
          </cell>
          <cell r="EO168">
            <v>0</v>
          </cell>
          <cell r="EP168">
            <v>0</v>
          </cell>
          <cell r="EQ168">
            <v>0</v>
          </cell>
          <cell r="ER168">
            <v>0</v>
          </cell>
          <cell r="ES168">
            <v>0</v>
          </cell>
          <cell r="ET168">
            <v>0</v>
          </cell>
          <cell r="EU168">
            <v>0</v>
          </cell>
          <cell r="EV168">
            <v>0</v>
          </cell>
          <cell r="EW168">
            <v>0</v>
          </cell>
          <cell r="EX168">
            <v>0</v>
          </cell>
          <cell r="EY168">
            <v>0</v>
          </cell>
          <cell r="EZ168">
            <v>0</v>
          </cell>
          <cell r="FA168">
            <v>0</v>
          </cell>
          <cell r="FB168">
            <v>0</v>
          </cell>
          <cell r="FC168">
            <v>0</v>
          </cell>
          <cell r="FD168">
            <v>0</v>
          </cell>
          <cell r="FE168">
            <v>0</v>
          </cell>
          <cell r="FF168">
            <v>0</v>
          </cell>
          <cell r="FG168">
            <v>0</v>
          </cell>
          <cell r="FH168">
            <v>0</v>
          </cell>
          <cell r="FI168">
            <v>0</v>
          </cell>
          <cell r="FJ168">
            <v>0</v>
          </cell>
          <cell r="FK168">
            <v>0</v>
          </cell>
          <cell r="FL168">
            <v>0</v>
          </cell>
          <cell r="FM168">
            <v>0</v>
          </cell>
          <cell r="FN168">
            <v>0</v>
          </cell>
          <cell r="FO168">
            <v>0</v>
          </cell>
          <cell r="FP168">
            <v>0</v>
          </cell>
          <cell r="FQ168">
            <v>0</v>
          </cell>
          <cell r="FR168">
            <v>0</v>
          </cell>
          <cell r="FS168">
            <v>0</v>
          </cell>
          <cell r="FT168">
            <v>0</v>
          </cell>
          <cell r="FU168">
            <v>0</v>
          </cell>
          <cell r="FV168">
            <v>0</v>
          </cell>
          <cell r="FW168">
            <v>0</v>
          </cell>
          <cell r="FX168">
            <v>0</v>
          </cell>
          <cell r="FY168">
            <v>0</v>
          </cell>
          <cell r="FZ168">
            <v>0</v>
          </cell>
          <cell r="GA168">
            <v>0</v>
          </cell>
          <cell r="GB168">
            <v>0</v>
          </cell>
          <cell r="GC168">
            <v>0</v>
          </cell>
          <cell r="GD168">
            <v>0</v>
          </cell>
          <cell r="GE168">
            <v>0</v>
          </cell>
          <cell r="GF168">
            <v>0</v>
          </cell>
          <cell r="GG168">
            <v>0</v>
          </cell>
          <cell r="GH168">
            <v>0</v>
          </cell>
          <cell r="GI168">
            <v>0</v>
          </cell>
          <cell r="GJ168">
            <v>0</v>
          </cell>
          <cell r="GK168">
            <v>0</v>
          </cell>
          <cell r="GL168">
            <v>0</v>
          </cell>
          <cell r="GM168">
            <v>0</v>
          </cell>
          <cell r="GN168">
            <v>0</v>
          </cell>
          <cell r="GO168">
            <v>0</v>
          </cell>
          <cell r="GP168">
            <v>0</v>
          </cell>
          <cell r="GQ168">
            <v>0</v>
          </cell>
          <cell r="GR168">
            <v>0</v>
          </cell>
          <cell r="GS168">
            <v>0</v>
          </cell>
          <cell r="GT168">
            <v>0</v>
          </cell>
          <cell r="GU168">
            <v>0</v>
          </cell>
          <cell r="GV168">
            <v>0</v>
          </cell>
          <cell r="GW168">
            <v>0</v>
          </cell>
          <cell r="GX168">
            <v>0</v>
          </cell>
          <cell r="GY168">
            <v>0</v>
          </cell>
          <cell r="GZ168">
            <v>0</v>
          </cell>
          <cell r="HA168">
            <v>0</v>
          </cell>
          <cell r="HB168">
            <v>0</v>
          </cell>
          <cell r="HC168">
            <v>0</v>
          </cell>
          <cell r="HD168">
            <v>0</v>
          </cell>
          <cell r="HE168">
            <v>0</v>
          </cell>
          <cell r="HF168">
            <v>0</v>
          </cell>
          <cell r="HG168">
            <v>0</v>
          </cell>
          <cell r="HH168">
            <v>0</v>
          </cell>
          <cell r="HI168">
            <v>0</v>
          </cell>
          <cell r="HJ168">
            <v>0</v>
          </cell>
          <cell r="HK168">
            <v>0</v>
          </cell>
          <cell r="HL168">
            <v>0</v>
          </cell>
          <cell r="HM168">
            <v>0</v>
          </cell>
          <cell r="HN168">
            <v>0</v>
          </cell>
          <cell r="HO168">
            <v>0</v>
          </cell>
          <cell r="HP168">
            <v>0</v>
          </cell>
          <cell r="HQ168">
            <v>0</v>
          </cell>
          <cell r="HR168">
            <v>0</v>
          </cell>
          <cell r="HS168">
            <v>0</v>
          </cell>
          <cell r="HT168">
            <v>0</v>
          </cell>
          <cell r="HU168">
            <v>0</v>
          </cell>
          <cell r="HV168">
            <v>0</v>
          </cell>
          <cell r="HW168">
            <v>0</v>
          </cell>
          <cell r="HX168">
            <v>0</v>
          </cell>
          <cell r="HY168">
            <v>0</v>
          </cell>
          <cell r="HZ168">
            <v>0</v>
          </cell>
          <cell r="IA168">
            <v>0</v>
          </cell>
          <cell r="IB168">
            <v>0</v>
          </cell>
          <cell r="IC168">
            <v>0</v>
          </cell>
          <cell r="ID168">
            <v>0</v>
          </cell>
          <cell r="IE168">
            <v>0</v>
          </cell>
          <cell r="IF168">
            <v>0</v>
          </cell>
          <cell r="IG168">
            <v>0</v>
          </cell>
          <cell r="IH168">
            <v>0</v>
          </cell>
          <cell r="II168">
            <v>0</v>
          </cell>
          <cell r="IJ168">
            <v>0</v>
          </cell>
          <cell r="IK168">
            <v>0</v>
          </cell>
          <cell r="IL168">
            <v>0</v>
          </cell>
          <cell r="IM168">
            <v>0</v>
          </cell>
          <cell r="IN168">
            <v>0</v>
          </cell>
          <cell r="IO168">
            <v>0</v>
          </cell>
          <cell r="IP168">
            <v>0</v>
          </cell>
          <cell r="IQ168">
            <v>0</v>
          </cell>
          <cell r="IR168">
            <v>0</v>
          </cell>
          <cell r="IS168">
            <v>0</v>
          </cell>
          <cell r="IT168">
            <v>0</v>
          </cell>
          <cell r="IU168">
            <v>0</v>
          </cell>
          <cell r="IV168">
            <v>0</v>
          </cell>
          <cell r="IW168">
            <v>0</v>
          </cell>
          <cell r="IX168">
            <v>0</v>
          </cell>
          <cell r="IY168">
            <v>0</v>
          </cell>
          <cell r="IZ168">
            <v>0</v>
          </cell>
          <cell r="JA168">
            <v>0</v>
          </cell>
        </row>
        <row r="169">
          <cell r="L169">
            <v>1.6369279999999999</v>
          </cell>
          <cell r="M169">
            <v>22.627496000000001</v>
          </cell>
          <cell r="N169">
            <v>50.418599999999998</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cell r="BM169">
            <v>0</v>
          </cell>
          <cell r="BN169">
            <v>0</v>
          </cell>
          <cell r="BO169">
            <v>0</v>
          </cell>
          <cell r="BP169">
            <v>0</v>
          </cell>
          <cell r="BQ169">
            <v>0</v>
          </cell>
          <cell r="BR169">
            <v>0</v>
          </cell>
          <cell r="BS169">
            <v>0</v>
          </cell>
          <cell r="BT169">
            <v>0</v>
          </cell>
          <cell r="BU169">
            <v>0</v>
          </cell>
          <cell r="BV169">
            <v>0</v>
          </cell>
          <cell r="BW169">
            <v>0</v>
          </cell>
          <cell r="BX169">
            <v>0</v>
          </cell>
          <cell r="BY169">
            <v>0</v>
          </cell>
          <cell r="BZ169">
            <v>0</v>
          </cell>
          <cell r="CA169">
            <v>0</v>
          </cell>
          <cell r="CB169">
            <v>0</v>
          </cell>
          <cell r="CC169">
            <v>0</v>
          </cell>
          <cell r="CD169">
            <v>0</v>
          </cell>
          <cell r="CE169">
            <v>0</v>
          </cell>
          <cell r="CF169">
            <v>0</v>
          </cell>
          <cell r="CG169">
            <v>0</v>
          </cell>
          <cell r="CH169">
            <v>0</v>
          </cell>
          <cell r="CI169">
            <v>0</v>
          </cell>
          <cell r="CJ169">
            <v>0</v>
          </cell>
          <cell r="CK169">
            <v>0</v>
          </cell>
          <cell r="CL169">
            <v>0</v>
          </cell>
          <cell r="CM169">
            <v>0</v>
          </cell>
          <cell r="CN169">
            <v>0</v>
          </cell>
          <cell r="CO169">
            <v>0</v>
          </cell>
          <cell r="CP169">
            <v>0</v>
          </cell>
          <cell r="CQ169">
            <v>0</v>
          </cell>
          <cell r="CR169">
            <v>0</v>
          </cell>
          <cell r="CS169">
            <v>0</v>
          </cell>
          <cell r="CT169">
            <v>0</v>
          </cell>
          <cell r="CU169">
            <v>0</v>
          </cell>
          <cell r="CV169">
            <v>0</v>
          </cell>
          <cell r="CW169">
            <v>0</v>
          </cell>
          <cell r="CX169">
            <v>0</v>
          </cell>
          <cell r="CY169">
            <v>0</v>
          </cell>
          <cell r="CZ169">
            <v>0</v>
          </cell>
          <cell r="DA169">
            <v>0</v>
          </cell>
          <cell r="DB169">
            <v>0</v>
          </cell>
          <cell r="DC169">
            <v>0</v>
          </cell>
          <cell r="DD169">
            <v>0</v>
          </cell>
          <cell r="DE169">
            <v>0</v>
          </cell>
          <cell r="DF169">
            <v>0</v>
          </cell>
          <cell r="DG169">
            <v>0</v>
          </cell>
          <cell r="DH169">
            <v>0</v>
          </cell>
          <cell r="DI169">
            <v>0</v>
          </cell>
          <cell r="DJ169">
            <v>0</v>
          </cell>
          <cell r="DK169">
            <v>0</v>
          </cell>
          <cell r="DL169">
            <v>0</v>
          </cell>
          <cell r="DM169">
            <v>0</v>
          </cell>
          <cell r="DN169">
            <v>0</v>
          </cell>
          <cell r="DO169">
            <v>0</v>
          </cell>
          <cell r="DP169">
            <v>0</v>
          </cell>
          <cell r="DQ169">
            <v>0</v>
          </cell>
          <cell r="DR169">
            <v>0</v>
          </cell>
          <cell r="DS169">
            <v>0</v>
          </cell>
          <cell r="DT169">
            <v>0</v>
          </cell>
          <cell r="DU169">
            <v>0</v>
          </cell>
          <cell r="DV169">
            <v>0</v>
          </cell>
          <cell r="DW169">
            <v>0</v>
          </cell>
          <cell r="DX169">
            <v>0</v>
          </cell>
          <cell r="DY169">
            <v>0</v>
          </cell>
          <cell r="DZ169">
            <v>0</v>
          </cell>
          <cell r="EA169">
            <v>0</v>
          </cell>
          <cell r="EB169">
            <v>0</v>
          </cell>
          <cell r="EC169">
            <v>0</v>
          </cell>
          <cell r="ED169">
            <v>0</v>
          </cell>
          <cell r="EE169">
            <v>0</v>
          </cell>
          <cell r="EF169">
            <v>0</v>
          </cell>
          <cell r="EG169">
            <v>0</v>
          </cell>
          <cell r="EH169">
            <v>0</v>
          </cell>
          <cell r="EI169">
            <v>0</v>
          </cell>
          <cell r="EJ169">
            <v>0</v>
          </cell>
          <cell r="EK169">
            <v>0</v>
          </cell>
          <cell r="EL169">
            <v>0</v>
          </cell>
          <cell r="EM169">
            <v>0</v>
          </cell>
          <cell r="EN169">
            <v>0</v>
          </cell>
          <cell r="EO169">
            <v>0</v>
          </cell>
          <cell r="EP169">
            <v>0</v>
          </cell>
          <cell r="EQ169">
            <v>0</v>
          </cell>
          <cell r="ER169">
            <v>0</v>
          </cell>
          <cell r="ES169">
            <v>0</v>
          </cell>
          <cell r="ET169">
            <v>0</v>
          </cell>
          <cell r="EU169">
            <v>0</v>
          </cell>
          <cell r="EV169">
            <v>0</v>
          </cell>
          <cell r="EW169">
            <v>0</v>
          </cell>
          <cell r="EX169">
            <v>0</v>
          </cell>
          <cell r="EY169">
            <v>0</v>
          </cell>
          <cell r="EZ169">
            <v>0</v>
          </cell>
          <cell r="FA169">
            <v>0</v>
          </cell>
          <cell r="FB169">
            <v>0</v>
          </cell>
          <cell r="FC169">
            <v>0</v>
          </cell>
          <cell r="FD169">
            <v>0</v>
          </cell>
          <cell r="FE169">
            <v>0</v>
          </cell>
          <cell r="FF169">
            <v>0</v>
          </cell>
          <cell r="FG169">
            <v>0</v>
          </cell>
          <cell r="FH169">
            <v>0</v>
          </cell>
          <cell r="FI169">
            <v>0</v>
          </cell>
          <cell r="FJ169">
            <v>0</v>
          </cell>
          <cell r="FK169">
            <v>0</v>
          </cell>
          <cell r="FL169">
            <v>0</v>
          </cell>
          <cell r="FM169">
            <v>0</v>
          </cell>
          <cell r="FN169">
            <v>0</v>
          </cell>
          <cell r="FO169">
            <v>0</v>
          </cell>
          <cell r="FP169">
            <v>0</v>
          </cell>
          <cell r="FQ169">
            <v>0</v>
          </cell>
          <cell r="FR169">
            <v>0</v>
          </cell>
          <cell r="FS169">
            <v>0</v>
          </cell>
          <cell r="FT169">
            <v>0</v>
          </cell>
          <cell r="FU169">
            <v>0</v>
          </cell>
          <cell r="FV169">
            <v>0</v>
          </cell>
          <cell r="FW169">
            <v>0</v>
          </cell>
          <cell r="FX169">
            <v>0</v>
          </cell>
          <cell r="FY169">
            <v>0</v>
          </cell>
          <cell r="FZ169">
            <v>0</v>
          </cell>
          <cell r="GA169">
            <v>0</v>
          </cell>
          <cell r="GB169">
            <v>0</v>
          </cell>
          <cell r="GC169">
            <v>0</v>
          </cell>
          <cell r="GD169">
            <v>0</v>
          </cell>
          <cell r="GE169">
            <v>0</v>
          </cell>
          <cell r="GF169">
            <v>0</v>
          </cell>
          <cell r="GG169">
            <v>0</v>
          </cell>
          <cell r="GH169">
            <v>0</v>
          </cell>
          <cell r="GI169">
            <v>0</v>
          </cell>
          <cell r="GJ169">
            <v>0</v>
          </cell>
          <cell r="GK169">
            <v>0</v>
          </cell>
          <cell r="GL169">
            <v>0</v>
          </cell>
          <cell r="GM169">
            <v>0</v>
          </cell>
          <cell r="GN169">
            <v>0</v>
          </cell>
          <cell r="GO169">
            <v>0</v>
          </cell>
          <cell r="GP169">
            <v>0</v>
          </cell>
          <cell r="GQ169">
            <v>0</v>
          </cell>
          <cell r="GR169">
            <v>0</v>
          </cell>
          <cell r="GS169">
            <v>0</v>
          </cell>
          <cell r="GT169">
            <v>0</v>
          </cell>
          <cell r="GU169">
            <v>0</v>
          </cell>
          <cell r="GV169">
            <v>0</v>
          </cell>
          <cell r="GW169">
            <v>0</v>
          </cell>
          <cell r="GX169">
            <v>0</v>
          </cell>
          <cell r="GY169">
            <v>0</v>
          </cell>
          <cell r="GZ169">
            <v>0</v>
          </cell>
          <cell r="HA169">
            <v>0</v>
          </cell>
          <cell r="HB169">
            <v>0</v>
          </cell>
          <cell r="HC169">
            <v>0</v>
          </cell>
          <cell r="HD169">
            <v>0</v>
          </cell>
          <cell r="HE169">
            <v>0</v>
          </cell>
          <cell r="HF169">
            <v>0</v>
          </cell>
          <cell r="HG169">
            <v>0</v>
          </cell>
          <cell r="HH169">
            <v>0</v>
          </cell>
          <cell r="HI169">
            <v>0</v>
          </cell>
          <cell r="HJ169">
            <v>0</v>
          </cell>
          <cell r="HK169">
            <v>0</v>
          </cell>
          <cell r="HL169">
            <v>0</v>
          </cell>
          <cell r="HM169">
            <v>0</v>
          </cell>
          <cell r="HN169">
            <v>0</v>
          </cell>
          <cell r="HO169">
            <v>0</v>
          </cell>
          <cell r="HP169">
            <v>0</v>
          </cell>
          <cell r="HQ169">
            <v>0</v>
          </cell>
          <cell r="HR169">
            <v>0</v>
          </cell>
          <cell r="HS169">
            <v>0</v>
          </cell>
          <cell r="HT169">
            <v>0</v>
          </cell>
          <cell r="HU169">
            <v>0</v>
          </cell>
          <cell r="HV169">
            <v>0</v>
          </cell>
          <cell r="HW169">
            <v>0</v>
          </cell>
          <cell r="HX169">
            <v>0</v>
          </cell>
          <cell r="HY169">
            <v>0</v>
          </cell>
          <cell r="HZ169">
            <v>0</v>
          </cell>
          <cell r="IA169">
            <v>0</v>
          </cell>
          <cell r="IB169">
            <v>0</v>
          </cell>
          <cell r="IC169">
            <v>0</v>
          </cell>
          <cell r="ID169">
            <v>0</v>
          </cell>
          <cell r="IE169">
            <v>0</v>
          </cell>
          <cell r="IF169">
            <v>0</v>
          </cell>
          <cell r="IG169">
            <v>0</v>
          </cell>
          <cell r="IH169">
            <v>0</v>
          </cell>
          <cell r="II169">
            <v>0</v>
          </cell>
          <cell r="IJ169">
            <v>0</v>
          </cell>
          <cell r="IK169">
            <v>0</v>
          </cell>
          <cell r="IL169">
            <v>0</v>
          </cell>
          <cell r="IM169">
            <v>0</v>
          </cell>
          <cell r="IN169">
            <v>0</v>
          </cell>
          <cell r="IO169">
            <v>0</v>
          </cell>
          <cell r="IP169">
            <v>0</v>
          </cell>
          <cell r="IQ169">
            <v>0</v>
          </cell>
          <cell r="IR169">
            <v>0</v>
          </cell>
          <cell r="IS169">
            <v>0</v>
          </cell>
          <cell r="IT169">
            <v>0</v>
          </cell>
          <cell r="IU169">
            <v>0</v>
          </cell>
          <cell r="IV169">
            <v>0</v>
          </cell>
          <cell r="IW169">
            <v>0</v>
          </cell>
          <cell r="IX169">
            <v>0</v>
          </cell>
          <cell r="IY169">
            <v>0</v>
          </cell>
          <cell r="IZ169">
            <v>0</v>
          </cell>
          <cell r="JA169">
            <v>0</v>
          </cell>
        </row>
        <row r="170">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L171">
            <v>0.48868699999999998</v>
          </cell>
          <cell r="M171">
            <v>3.5587879999999998</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L172">
            <v>0</v>
          </cell>
          <cell r="M172">
            <v>0.48110599999999998</v>
          </cell>
          <cell r="N172">
            <v>3.85554</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cell r="BU172">
            <v>0</v>
          </cell>
          <cell r="BV172">
            <v>0</v>
          </cell>
          <cell r="BW172">
            <v>0</v>
          </cell>
          <cell r="BX172">
            <v>0</v>
          </cell>
          <cell r="BY172">
            <v>0</v>
          </cell>
          <cell r="BZ172">
            <v>0</v>
          </cell>
          <cell r="CA172">
            <v>0</v>
          </cell>
          <cell r="CB172">
            <v>0</v>
          </cell>
          <cell r="CC172">
            <v>0</v>
          </cell>
          <cell r="CD172">
            <v>0</v>
          </cell>
          <cell r="CE172">
            <v>0</v>
          </cell>
          <cell r="CF172">
            <v>0</v>
          </cell>
          <cell r="CG172">
            <v>0</v>
          </cell>
          <cell r="CH172">
            <v>0</v>
          </cell>
          <cell r="CI172">
            <v>0</v>
          </cell>
          <cell r="CJ172">
            <v>0</v>
          </cell>
          <cell r="CK172">
            <v>0</v>
          </cell>
          <cell r="CL172">
            <v>0</v>
          </cell>
          <cell r="CM172">
            <v>0</v>
          </cell>
          <cell r="CN172">
            <v>0</v>
          </cell>
          <cell r="CO172">
            <v>0</v>
          </cell>
          <cell r="CP172">
            <v>0</v>
          </cell>
          <cell r="CQ172">
            <v>0</v>
          </cell>
          <cell r="CR172">
            <v>0</v>
          </cell>
          <cell r="CS172">
            <v>0</v>
          </cell>
          <cell r="CT172">
            <v>0</v>
          </cell>
          <cell r="CU172">
            <v>0</v>
          </cell>
          <cell r="CV172">
            <v>0</v>
          </cell>
          <cell r="CW172">
            <v>0</v>
          </cell>
          <cell r="CX172">
            <v>0</v>
          </cell>
          <cell r="CY172">
            <v>0</v>
          </cell>
          <cell r="CZ172">
            <v>0</v>
          </cell>
          <cell r="DA172">
            <v>0</v>
          </cell>
          <cell r="DB172">
            <v>0</v>
          </cell>
          <cell r="DC172">
            <v>0</v>
          </cell>
          <cell r="DD172">
            <v>0</v>
          </cell>
          <cell r="DE172">
            <v>0</v>
          </cell>
          <cell r="DF172">
            <v>0</v>
          </cell>
          <cell r="DG172">
            <v>0</v>
          </cell>
          <cell r="DH172">
            <v>0</v>
          </cell>
          <cell r="DI172">
            <v>0</v>
          </cell>
          <cell r="DJ172">
            <v>0</v>
          </cell>
          <cell r="DK172">
            <v>0</v>
          </cell>
          <cell r="DL172">
            <v>0</v>
          </cell>
          <cell r="DM172">
            <v>0</v>
          </cell>
          <cell r="DN172">
            <v>0</v>
          </cell>
          <cell r="DO172">
            <v>0</v>
          </cell>
          <cell r="DP172">
            <v>0</v>
          </cell>
          <cell r="DQ172">
            <v>0</v>
          </cell>
          <cell r="DR172">
            <v>0</v>
          </cell>
          <cell r="DS172">
            <v>0</v>
          </cell>
          <cell r="DT172">
            <v>0</v>
          </cell>
          <cell r="DU172">
            <v>0</v>
          </cell>
          <cell r="DV172">
            <v>0</v>
          </cell>
          <cell r="DW172">
            <v>0</v>
          </cell>
          <cell r="DX172">
            <v>0</v>
          </cell>
          <cell r="DY172">
            <v>0</v>
          </cell>
          <cell r="DZ172">
            <v>0</v>
          </cell>
          <cell r="EA172">
            <v>0</v>
          </cell>
          <cell r="EB172">
            <v>0</v>
          </cell>
          <cell r="EC172">
            <v>0</v>
          </cell>
          <cell r="ED172">
            <v>0</v>
          </cell>
          <cell r="EE172">
            <v>0</v>
          </cell>
          <cell r="EF172">
            <v>0</v>
          </cell>
          <cell r="EG172">
            <v>0</v>
          </cell>
          <cell r="EH172">
            <v>0</v>
          </cell>
          <cell r="EI172">
            <v>0</v>
          </cell>
          <cell r="EJ172">
            <v>0</v>
          </cell>
          <cell r="EK172">
            <v>0</v>
          </cell>
          <cell r="EL172">
            <v>0</v>
          </cell>
          <cell r="EM172">
            <v>0</v>
          </cell>
          <cell r="EN172">
            <v>0</v>
          </cell>
          <cell r="EO172">
            <v>0</v>
          </cell>
          <cell r="EP172">
            <v>0</v>
          </cell>
          <cell r="EQ172">
            <v>0</v>
          </cell>
          <cell r="ER172">
            <v>0</v>
          </cell>
          <cell r="ES172">
            <v>0</v>
          </cell>
          <cell r="ET172">
            <v>0</v>
          </cell>
          <cell r="EU172">
            <v>0</v>
          </cell>
          <cell r="EV172">
            <v>0</v>
          </cell>
          <cell r="EW172">
            <v>0</v>
          </cell>
          <cell r="EX172">
            <v>0</v>
          </cell>
          <cell r="EY172">
            <v>0</v>
          </cell>
          <cell r="EZ172">
            <v>0</v>
          </cell>
          <cell r="FA172">
            <v>0</v>
          </cell>
          <cell r="FB172">
            <v>0</v>
          </cell>
          <cell r="FC172">
            <v>0</v>
          </cell>
          <cell r="FD172">
            <v>0</v>
          </cell>
          <cell r="FE172">
            <v>0</v>
          </cell>
          <cell r="FF172">
            <v>0</v>
          </cell>
          <cell r="FG172">
            <v>0</v>
          </cell>
          <cell r="FH172">
            <v>0</v>
          </cell>
          <cell r="FI172">
            <v>0</v>
          </cell>
          <cell r="FJ172">
            <v>0</v>
          </cell>
          <cell r="FK172">
            <v>0</v>
          </cell>
          <cell r="FL172">
            <v>0</v>
          </cell>
          <cell r="FM172">
            <v>0</v>
          </cell>
          <cell r="FN172">
            <v>0</v>
          </cell>
          <cell r="FO172">
            <v>0</v>
          </cell>
          <cell r="FP172">
            <v>0</v>
          </cell>
          <cell r="FQ172">
            <v>0</v>
          </cell>
          <cell r="FR172">
            <v>0</v>
          </cell>
          <cell r="FS172">
            <v>0</v>
          </cell>
          <cell r="FT172">
            <v>0</v>
          </cell>
          <cell r="FU172">
            <v>0</v>
          </cell>
          <cell r="FV172">
            <v>0</v>
          </cell>
          <cell r="FW172">
            <v>0</v>
          </cell>
          <cell r="FX172">
            <v>0</v>
          </cell>
          <cell r="FY172">
            <v>0</v>
          </cell>
          <cell r="FZ172">
            <v>0</v>
          </cell>
          <cell r="GA172">
            <v>0</v>
          </cell>
          <cell r="GB172">
            <v>0</v>
          </cell>
          <cell r="GC172">
            <v>0</v>
          </cell>
          <cell r="GD172">
            <v>0</v>
          </cell>
          <cell r="GE172">
            <v>0</v>
          </cell>
          <cell r="GF172">
            <v>0</v>
          </cell>
          <cell r="GG172">
            <v>0</v>
          </cell>
          <cell r="GH172">
            <v>0</v>
          </cell>
          <cell r="GI172">
            <v>0</v>
          </cell>
          <cell r="GJ172">
            <v>0</v>
          </cell>
          <cell r="GK172">
            <v>0</v>
          </cell>
          <cell r="GL172">
            <v>0</v>
          </cell>
          <cell r="GM172">
            <v>0</v>
          </cell>
          <cell r="GN172">
            <v>0</v>
          </cell>
          <cell r="GO172">
            <v>0</v>
          </cell>
          <cell r="GP172">
            <v>0</v>
          </cell>
          <cell r="GQ172">
            <v>0</v>
          </cell>
          <cell r="GR172">
            <v>0</v>
          </cell>
          <cell r="GS172">
            <v>0</v>
          </cell>
          <cell r="GT172">
            <v>0</v>
          </cell>
          <cell r="GU172">
            <v>0</v>
          </cell>
          <cell r="GV172">
            <v>0</v>
          </cell>
          <cell r="GW172">
            <v>0</v>
          </cell>
          <cell r="GX172">
            <v>0</v>
          </cell>
          <cell r="GY172">
            <v>0</v>
          </cell>
          <cell r="GZ172">
            <v>0</v>
          </cell>
          <cell r="HA172">
            <v>0</v>
          </cell>
          <cell r="HB172">
            <v>0</v>
          </cell>
          <cell r="HC172">
            <v>0</v>
          </cell>
          <cell r="HD172">
            <v>0</v>
          </cell>
          <cell r="HE172">
            <v>0</v>
          </cell>
          <cell r="HF172">
            <v>0</v>
          </cell>
          <cell r="HG172">
            <v>0</v>
          </cell>
          <cell r="HH172">
            <v>0</v>
          </cell>
          <cell r="HI172">
            <v>0</v>
          </cell>
          <cell r="HJ172">
            <v>0</v>
          </cell>
          <cell r="HK172">
            <v>0</v>
          </cell>
          <cell r="HL172">
            <v>0</v>
          </cell>
          <cell r="HM172">
            <v>0</v>
          </cell>
          <cell r="HN172">
            <v>0</v>
          </cell>
          <cell r="HO172">
            <v>0</v>
          </cell>
          <cell r="HP172">
            <v>0</v>
          </cell>
          <cell r="HQ172">
            <v>0</v>
          </cell>
          <cell r="HR172">
            <v>0</v>
          </cell>
          <cell r="HS172">
            <v>0</v>
          </cell>
          <cell r="HT172">
            <v>0</v>
          </cell>
          <cell r="HU172">
            <v>0</v>
          </cell>
          <cell r="HV172">
            <v>0</v>
          </cell>
          <cell r="HW172">
            <v>0</v>
          </cell>
          <cell r="HX172">
            <v>0</v>
          </cell>
          <cell r="HY172">
            <v>0</v>
          </cell>
          <cell r="HZ172">
            <v>0</v>
          </cell>
          <cell r="IA172">
            <v>0</v>
          </cell>
          <cell r="IB172">
            <v>0</v>
          </cell>
          <cell r="IC172">
            <v>0</v>
          </cell>
          <cell r="ID172">
            <v>0</v>
          </cell>
          <cell r="IE172">
            <v>0</v>
          </cell>
          <cell r="IF172">
            <v>0</v>
          </cell>
          <cell r="IG172">
            <v>0</v>
          </cell>
          <cell r="IH172">
            <v>0</v>
          </cell>
          <cell r="II172">
            <v>0</v>
          </cell>
          <cell r="IJ172">
            <v>0</v>
          </cell>
          <cell r="IK172">
            <v>0</v>
          </cell>
          <cell r="IL172">
            <v>0</v>
          </cell>
          <cell r="IM172">
            <v>0</v>
          </cell>
          <cell r="IN172">
            <v>0</v>
          </cell>
          <cell r="IO172">
            <v>0</v>
          </cell>
          <cell r="IP172">
            <v>0</v>
          </cell>
          <cell r="IQ172">
            <v>0</v>
          </cell>
          <cell r="IR172">
            <v>0</v>
          </cell>
          <cell r="IS172">
            <v>0</v>
          </cell>
          <cell r="IT172">
            <v>0</v>
          </cell>
          <cell r="IU172">
            <v>0</v>
          </cell>
          <cell r="IV172">
            <v>0</v>
          </cell>
          <cell r="IW172">
            <v>0</v>
          </cell>
          <cell r="IX172">
            <v>0</v>
          </cell>
          <cell r="IY172">
            <v>0</v>
          </cell>
          <cell r="IZ172">
            <v>0</v>
          </cell>
          <cell r="JA172">
            <v>0</v>
          </cell>
        </row>
        <row r="173">
          <cell r="L173">
            <v>1.1654180000000001</v>
          </cell>
          <cell r="M173">
            <v>5.6902999999999997</v>
          </cell>
          <cell r="N173">
            <v>6.6354259999999998</v>
          </cell>
          <cell r="O173">
            <v>2.3916569999999999</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0</v>
          </cell>
          <cell r="CR173">
            <v>0</v>
          </cell>
          <cell r="CS173">
            <v>0</v>
          </cell>
          <cell r="CT173">
            <v>0</v>
          </cell>
          <cell r="CU173">
            <v>0</v>
          </cell>
          <cell r="CV173">
            <v>0</v>
          </cell>
          <cell r="CW173">
            <v>0</v>
          </cell>
          <cell r="CX173">
            <v>0</v>
          </cell>
          <cell r="CY173">
            <v>0</v>
          </cell>
          <cell r="CZ173">
            <v>0</v>
          </cell>
          <cell r="DA173">
            <v>0</v>
          </cell>
          <cell r="DB173">
            <v>0</v>
          </cell>
          <cell r="DC173">
            <v>0</v>
          </cell>
          <cell r="DD173">
            <v>0</v>
          </cell>
          <cell r="DE173">
            <v>0</v>
          </cell>
          <cell r="DF173">
            <v>0</v>
          </cell>
          <cell r="DG173">
            <v>0</v>
          </cell>
          <cell r="DH173">
            <v>0</v>
          </cell>
          <cell r="DI173">
            <v>0</v>
          </cell>
          <cell r="DJ173">
            <v>0</v>
          </cell>
          <cell r="DK173">
            <v>0</v>
          </cell>
          <cell r="DL173">
            <v>0</v>
          </cell>
          <cell r="DM173">
            <v>0</v>
          </cell>
          <cell r="DN173">
            <v>0</v>
          </cell>
          <cell r="DO173">
            <v>0</v>
          </cell>
          <cell r="DP173">
            <v>0</v>
          </cell>
          <cell r="DQ173">
            <v>0</v>
          </cell>
          <cell r="DR173">
            <v>0</v>
          </cell>
          <cell r="DS173">
            <v>0</v>
          </cell>
          <cell r="DT173">
            <v>0</v>
          </cell>
          <cell r="DU173">
            <v>0</v>
          </cell>
          <cell r="DV173">
            <v>0</v>
          </cell>
          <cell r="DW173">
            <v>0</v>
          </cell>
          <cell r="DX173">
            <v>0</v>
          </cell>
          <cell r="DY173">
            <v>0</v>
          </cell>
          <cell r="DZ173">
            <v>0</v>
          </cell>
          <cell r="EA173">
            <v>0</v>
          </cell>
          <cell r="EB173">
            <v>0</v>
          </cell>
          <cell r="EC173">
            <v>0</v>
          </cell>
          <cell r="ED173">
            <v>0</v>
          </cell>
          <cell r="EE173">
            <v>0</v>
          </cell>
          <cell r="EF173">
            <v>0</v>
          </cell>
          <cell r="EG173">
            <v>0</v>
          </cell>
          <cell r="EH173">
            <v>0</v>
          </cell>
          <cell r="EI173">
            <v>0</v>
          </cell>
          <cell r="EJ173">
            <v>0</v>
          </cell>
          <cell r="EK173">
            <v>0</v>
          </cell>
          <cell r="EL173">
            <v>0</v>
          </cell>
          <cell r="EM173">
            <v>0</v>
          </cell>
          <cell r="EN173">
            <v>0</v>
          </cell>
          <cell r="EO173">
            <v>0</v>
          </cell>
          <cell r="EP173">
            <v>0</v>
          </cell>
          <cell r="EQ173">
            <v>0</v>
          </cell>
          <cell r="ER173">
            <v>0</v>
          </cell>
          <cell r="ES173">
            <v>0</v>
          </cell>
          <cell r="ET173">
            <v>0</v>
          </cell>
          <cell r="EU173">
            <v>0</v>
          </cell>
          <cell r="EV173">
            <v>0</v>
          </cell>
          <cell r="EW173">
            <v>0</v>
          </cell>
          <cell r="EX173">
            <v>0</v>
          </cell>
          <cell r="EY173">
            <v>0</v>
          </cell>
          <cell r="EZ173">
            <v>0</v>
          </cell>
          <cell r="FA173">
            <v>0</v>
          </cell>
          <cell r="FB173">
            <v>0</v>
          </cell>
          <cell r="FC173">
            <v>0</v>
          </cell>
          <cell r="FD173">
            <v>0</v>
          </cell>
          <cell r="FE173">
            <v>0</v>
          </cell>
          <cell r="FF173">
            <v>0</v>
          </cell>
          <cell r="FG173">
            <v>0</v>
          </cell>
          <cell r="FH173">
            <v>0</v>
          </cell>
          <cell r="FI173">
            <v>0</v>
          </cell>
          <cell r="FJ173">
            <v>0</v>
          </cell>
          <cell r="FK173">
            <v>0</v>
          </cell>
          <cell r="FL173">
            <v>0</v>
          </cell>
          <cell r="FM173">
            <v>0</v>
          </cell>
          <cell r="FN173">
            <v>0</v>
          </cell>
          <cell r="FO173">
            <v>0</v>
          </cell>
          <cell r="FP173">
            <v>0</v>
          </cell>
          <cell r="FQ173">
            <v>0</v>
          </cell>
          <cell r="FR173">
            <v>0</v>
          </cell>
          <cell r="FS173">
            <v>0</v>
          </cell>
          <cell r="FT173">
            <v>0</v>
          </cell>
          <cell r="FU173">
            <v>0</v>
          </cell>
          <cell r="FV173">
            <v>0</v>
          </cell>
          <cell r="FW173">
            <v>0</v>
          </cell>
          <cell r="FX173">
            <v>0</v>
          </cell>
          <cell r="FY173">
            <v>0</v>
          </cell>
          <cell r="FZ173">
            <v>0</v>
          </cell>
          <cell r="GA173">
            <v>0</v>
          </cell>
          <cell r="GB173">
            <v>0</v>
          </cell>
          <cell r="GC173">
            <v>0</v>
          </cell>
          <cell r="GD173">
            <v>0</v>
          </cell>
          <cell r="GE173">
            <v>0</v>
          </cell>
          <cell r="GF173">
            <v>0</v>
          </cell>
          <cell r="GG173">
            <v>0</v>
          </cell>
          <cell r="GH173">
            <v>0</v>
          </cell>
          <cell r="GI173">
            <v>0</v>
          </cell>
          <cell r="GJ173">
            <v>0</v>
          </cell>
          <cell r="GK173">
            <v>0</v>
          </cell>
          <cell r="GL173">
            <v>0</v>
          </cell>
          <cell r="GM173">
            <v>0</v>
          </cell>
          <cell r="GN173">
            <v>0</v>
          </cell>
          <cell r="GO173">
            <v>0</v>
          </cell>
          <cell r="GP173">
            <v>0</v>
          </cell>
          <cell r="GQ173">
            <v>0</v>
          </cell>
          <cell r="GR173">
            <v>0</v>
          </cell>
          <cell r="GS173">
            <v>0</v>
          </cell>
          <cell r="GT173">
            <v>0</v>
          </cell>
          <cell r="GU173">
            <v>0</v>
          </cell>
          <cell r="GV173">
            <v>0</v>
          </cell>
          <cell r="GW173">
            <v>0</v>
          </cell>
          <cell r="GX173">
            <v>0</v>
          </cell>
          <cell r="GY173">
            <v>0</v>
          </cell>
          <cell r="GZ173">
            <v>0</v>
          </cell>
          <cell r="HA173">
            <v>0</v>
          </cell>
          <cell r="HB173">
            <v>0</v>
          </cell>
          <cell r="HC173">
            <v>0</v>
          </cell>
          <cell r="HD173">
            <v>0</v>
          </cell>
          <cell r="HE173">
            <v>0</v>
          </cell>
          <cell r="HF173">
            <v>0</v>
          </cell>
          <cell r="HG173">
            <v>0</v>
          </cell>
          <cell r="HH173">
            <v>0</v>
          </cell>
          <cell r="HI173">
            <v>0</v>
          </cell>
          <cell r="HJ173">
            <v>0</v>
          </cell>
          <cell r="HK173">
            <v>0</v>
          </cell>
          <cell r="HL173">
            <v>0</v>
          </cell>
          <cell r="HM173">
            <v>0</v>
          </cell>
          <cell r="HN173">
            <v>0</v>
          </cell>
          <cell r="HO173">
            <v>0</v>
          </cell>
          <cell r="HP173">
            <v>0</v>
          </cell>
          <cell r="HQ173">
            <v>0</v>
          </cell>
          <cell r="HR173">
            <v>0</v>
          </cell>
          <cell r="HS173">
            <v>0</v>
          </cell>
          <cell r="HT173">
            <v>0</v>
          </cell>
          <cell r="HU173">
            <v>0</v>
          </cell>
          <cell r="HV173">
            <v>0</v>
          </cell>
          <cell r="HW173">
            <v>0</v>
          </cell>
          <cell r="HX173">
            <v>0</v>
          </cell>
          <cell r="HY173">
            <v>0</v>
          </cell>
          <cell r="HZ173">
            <v>0</v>
          </cell>
          <cell r="IA173">
            <v>0</v>
          </cell>
          <cell r="IB173">
            <v>0</v>
          </cell>
          <cell r="IC173">
            <v>0</v>
          </cell>
          <cell r="ID173">
            <v>0</v>
          </cell>
          <cell r="IE173">
            <v>0</v>
          </cell>
          <cell r="IF173">
            <v>0</v>
          </cell>
          <cell r="IG173">
            <v>0</v>
          </cell>
          <cell r="IH173">
            <v>0</v>
          </cell>
          <cell r="II173">
            <v>0</v>
          </cell>
          <cell r="IJ173">
            <v>0</v>
          </cell>
          <cell r="IK173">
            <v>0</v>
          </cell>
          <cell r="IL173">
            <v>0</v>
          </cell>
          <cell r="IM173">
            <v>0</v>
          </cell>
          <cell r="IN173">
            <v>0</v>
          </cell>
          <cell r="IO173">
            <v>0</v>
          </cell>
          <cell r="IP173">
            <v>0</v>
          </cell>
          <cell r="IQ173">
            <v>0</v>
          </cell>
          <cell r="IR173">
            <v>0</v>
          </cell>
          <cell r="IS173">
            <v>0</v>
          </cell>
          <cell r="IT173">
            <v>0</v>
          </cell>
          <cell r="IU173">
            <v>0</v>
          </cell>
          <cell r="IV173">
            <v>0</v>
          </cell>
          <cell r="IW173">
            <v>0</v>
          </cell>
          <cell r="IX173">
            <v>0</v>
          </cell>
          <cell r="IY173">
            <v>0</v>
          </cell>
          <cell r="IZ173">
            <v>0</v>
          </cell>
          <cell r="JA173">
            <v>0</v>
          </cell>
        </row>
        <row r="174">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v>0</v>
          </cell>
          <cell r="BP174">
            <v>0</v>
          </cell>
          <cell r="BQ174">
            <v>0</v>
          </cell>
          <cell r="BR174">
            <v>0</v>
          </cell>
          <cell r="BS174">
            <v>0</v>
          </cell>
          <cell r="BT174">
            <v>0</v>
          </cell>
          <cell r="BU174">
            <v>0</v>
          </cell>
          <cell r="BV174">
            <v>0</v>
          </cell>
          <cell r="BW174">
            <v>0</v>
          </cell>
          <cell r="BX174">
            <v>0</v>
          </cell>
          <cell r="BY174">
            <v>0</v>
          </cell>
          <cell r="BZ174">
            <v>0</v>
          </cell>
          <cell r="CA174">
            <v>0</v>
          </cell>
          <cell r="CB174">
            <v>0</v>
          </cell>
          <cell r="CC174">
            <v>0</v>
          </cell>
          <cell r="CD174">
            <v>0</v>
          </cell>
          <cell r="CE174">
            <v>0</v>
          </cell>
          <cell r="CF174">
            <v>0</v>
          </cell>
          <cell r="CG174">
            <v>0</v>
          </cell>
          <cell r="CH174">
            <v>0</v>
          </cell>
          <cell r="CI174">
            <v>0</v>
          </cell>
          <cell r="CJ174">
            <v>0</v>
          </cell>
          <cell r="CK174">
            <v>0</v>
          </cell>
          <cell r="CL174">
            <v>0</v>
          </cell>
          <cell r="CM174">
            <v>0</v>
          </cell>
          <cell r="CN174">
            <v>0</v>
          </cell>
          <cell r="CO174">
            <v>0</v>
          </cell>
          <cell r="CP174">
            <v>0</v>
          </cell>
          <cell r="CQ174">
            <v>0</v>
          </cell>
          <cell r="CR174">
            <v>0</v>
          </cell>
          <cell r="CS174">
            <v>0</v>
          </cell>
          <cell r="CT174">
            <v>0</v>
          </cell>
          <cell r="CU174">
            <v>0</v>
          </cell>
          <cell r="CV174">
            <v>0</v>
          </cell>
          <cell r="CW174">
            <v>0</v>
          </cell>
          <cell r="CX174">
            <v>0</v>
          </cell>
          <cell r="CY174">
            <v>0</v>
          </cell>
          <cell r="CZ174">
            <v>0</v>
          </cell>
          <cell r="DA174">
            <v>0</v>
          </cell>
          <cell r="DB174">
            <v>0</v>
          </cell>
          <cell r="DC174">
            <v>0</v>
          </cell>
          <cell r="DD174">
            <v>0</v>
          </cell>
          <cell r="DE174">
            <v>0</v>
          </cell>
          <cell r="DF174">
            <v>0</v>
          </cell>
          <cell r="DG174">
            <v>0</v>
          </cell>
          <cell r="DH174">
            <v>0</v>
          </cell>
          <cell r="DI174">
            <v>0</v>
          </cell>
          <cell r="DJ174">
            <v>0</v>
          </cell>
          <cell r="DK174">
            <v>0</v>
          </cell>
          <cell r="DL174">
            <v>0</v>
          </cell>
          <cell r="DM174">
            <v>0</v>
          </cell>
          <cell r="DN174">
            <v>0</v>
          </cell>
          <cell r="DO174">
            <v>0</v>
          </cell>
          <cell r="DP174">
            <v>0</v>
          </cell>
          <cell r="DQ174">
            <v>0</v>
          </cell>
          <cell r="DR174">
            <v>0</v>
          </cell>
          <cell r="DS174">
            <v>0</v>
          </cell>
          <cell r="DT174">
            <v>0</v>
          </cell>
          <cell r="DU174">
            <v>0</v>
          </cell>
          <cell r="DV174">
            <v>0</v>
          </cell>
          <cell r="DW174">
            <v>0</v>
          </cell>
          <cell r="DX174">
            <v>0</v>
          </cell>
          <cell r="DY174">
            <v>0</v>
          </cell>
          <cell r="DZ174">
            <v>0</v>
          </cell>
          <cell r="EA174">
            <v>0</v>
          </cell>
          <cell r="EB174">
            <v>0</v>
          </cell>
          <cell r="EC174">
            <v>0</v>
          </cell>
          <cell r="ED174">
            <v>0</v>
          </cell>
          <cell r="EE174">
            <v>0</v>
          </cell>
          <cell r="EF174">
            <v>0</v>
          </cell>
          <cell r="EG174">
            <v>0</v>
          </cell>
          <cell r="EH174">
            <v>0</v>
          </cell>
          <cell r="EI174">
            <v>0</v>
          </cell>
          <cell r="EJ174">
            <v>0</v>
          </cell>
          <cell r="EK174">
            <v>0</v>
          </cell>
          <cell r="EL174">
            <v>0</v>
          </cell>
          <cell r="EM174">
            <v>0</v>
          </cell>
          <cell r="EN174">
            <v>0</v>
          </cell>
          <cell r="EO174">
            <v>0</v>
          </cell>
          <cell r="EP174">
            <v>0</v>
          </cell>
          <cell r="EQ174">
            <v>0</v>
          </cell>
          <cell r="ER174">
            <v>0</v>
          </cell>
          <cell r="ES174">
            <v>0</v>
          </cell>
          <cell r="ET174">
            <v>0</v>
          </cell>
          <cell r="EU174">
            <v>0</v>
          </cell>
          <cell r="EV174">
            <v>0</v>
          </cell>
          <cell r="EW174">
            <v>0</v>
          </cell>
          <cell r="EX174">
            <v>0</v>
          </cell>
          <cell r="EY174">
            <v>0</v>
          </cell>
          <cell r="EZ174">
            <v>0</v>
          </cell>
          <cell r="FA174">
            <v>0</v>
          </cell>
          <cell r="FB174">
            <v>0</v>
          </cell>
          <cell r="FC174">
            <v>0</v>
          </cell>
          <cell r="FD174">
            <v>0</v>
          </cell>
          <cell r="FE174">
            <v>0</v>
          </cell>
          <cell r="FF174">
            <v>0</v>
          </cell>
          <cell r="FG174">
            <v>0</v>
          </cell>
          <cell r="FH174">
            <v>0</v>
          </cell>
          <cell r="FI174">
            <v>0</v>
          </cell>
          <cell r="FJ174">
            <v>0</v>
          </cell>
          <cell r="FK174">
            <v>0</v>
          </cell>
          <cell r="FL174">
            <v>0</v>
          </cell>
          <cell r="FM174">
            <v>0</v>
          </cell>
          <cell r="FN174">
            <v>0</v>
          </cell>
          <cell r="FO174">
            <v>0</v>
          </cell>
          <cell r="FP174">
            <v>0</v>
          </cell>
          <cell r="FQ174">
            <v>0</v>
          </cell>
          <cell r="FR174">
            <v>0</v>
          </cell>
          <cell r="FS174">
            <v>0</v>
          </cell>
          <cell r="FT174">
            <v>0</v>
          </cell>
          <cell r="FU174">
            <v>0</v>
          </cell>
          <cell r="FV174">
            <v>0</v>
          </cell>
          <cell r="FW174">
            <v>0</v>
          </cell>
          <cell r="FX174">
            <v>0</v>
          </cell>
          <cell r="FY174">
            <v>0</v>
          </cell>
          <cell r="FZ174">
            <v>0</v>
          </cell>
          <cell r="GA174">
            <v>0</v>
          </cell>
          <cell r="GB174">
            <v>0</v>
          </cell>
          <cell r="GC174">
            <v>0</v>
          </cell>
          <cell r="GD174">
            <v>0</v>
          </cell>
          <cell r="GE174">
            <v>0</v>
          </cell>
          <cell r="GF174">
            <v>0</v>
          </cell>
          <cell r="GG174">
            <v>0</v>
          </cell>
          <cell r="GH174">
            <v>0</v>
          </cell>
          <cell r="GI174">
            <v>0</v>
          </cell>
          <cell r="GJ174">
            <v>0</v>
          </cell>
          <cell r="GK174">
            <v>0</v>
          </cell>
          <cell r="GL174">
            <v>0</v>
          </cell>
          <cell r="GM174">
            <v>0</v>
          </cell>
          <cell r="GN174">
            <v>0</v>
          </cell>
          <cell r="GO174">
            <v>0</v>
          </cell>
          <cell r="GP174">
            <v>0</v>
          </cell>
          <cell r="GQ174">
            <v>0</v>
          </cell>
          <cell r="GR174">
            <v>0</v>
          </cell>
          <cell r="GS174">
            <v>0</v>
          </cell>
          <cell r="GT174">
            <v>0</v>
          </cell>
          <cell r="GU174">
            <v>0</v>
          </cell>
          <cell r="GV174">
            <v>0</v>
          </cell>
          <cell r="GW174">
            <v>0</v>
          </cell>
          <cell r="GX174">
            <v>0</v>
          </cell>
          <cell r="GY174">
            <v>0</v>
          </cell>
          <cell r="GZ174">
            <v>0</v>
          </cell>
          <cell r="HA174">
            <v>0</v>
          </cell>
          <cell r="HB174">
            <v>0</v>
          </cell>
          <cell r="HC174">
            <v>0</v>
          </cell>
          <cell r="HD174">
            <v>0</v>
          </cell>
          <cell r="HE174">
            <v>0</v>
          </cell>
          <cell r="HF174">
            <v>0</v>
          </cell>
          <cell r="HG174">
            <v>0</v>
          </cell>
          <cell r="HH174">
            <v>0</v>
          </cell>
          <cell r="HI174">
            <v>0</v>
          </cell>
          <cell r="HJ174">
            <v>0</v>
          </cell>
          <cell r="HK174">
            <v>0</v>
          </cell>
          <cell r="HL174">
            <v>0</v>
          </cell>
          <cell r="HM174">
            <v>0</v>
          </cell>
          <cell r="HN174">
            <v>0</v>
          </cell>
          <cell r="HO174">
            <v>0</v>
          </cell>
          <cell r="HP174">
            <v>0</v>
          </cell>
          <cell r="HQ174">
            <v>0</v>
          </cell>
          <cell r="HR174">
            <v>0</v>
          </cell>
          <cell r="HS174">
            <v>0</v>
          </cell>
          <cell r="HT174">
            <v>0</v>
          </cell>
          <cell r="HU174">
            <v>0</v>
          </cell>
          <cell r="HV174">
            <v>0</v>
          </cell>
          <cell r="HW174">
            <v>0</v>
          </cell>
          <cell r="HX174">
            <v>0</v>
          </cell>
          <cell r="HY174">
            <v>0</v>
          </cell>
          <cell r="HZ174">
            <v>0</v>
          </cell>
          <cell r="IA174">
            <v>0</v>
          </cell>
          <cell r="IB174">
            <v>0</v>
          </cell>
          <cell r="IC174">
            <v>0</v>
          </cell>
          <cell r="ID174">
            <v>0</v>
          </cell>
          <cell r="IE174">
            <v>0</v>
          </cell>
          <cell r="IF174">
            <v>0</v>
          </cell>
          <cell r="IG174">
            <v>0</v>
          </cell>
          <cell r="IH174">
            <v>0</v>
          </cell>
          <cell r="II174">
            <v>0</v>
          </cell>
          <cell r="IJ174">
            <v>0</v>
          </cell>
          <cell r="IK174">
            <v>0</v>
          </cell>
          <cell r="IL174">
            <v>0</v>
          </cell>
          <cell r="IM174">
            <v>0</v>
          </cell>
          <cell r="IN174">
            <v>0</v>
          </cell>
          <cell r="IO174">
            <v>0</v>
          </cell>
          <cell r="IP174">
            <v>0</v>
          </cell>
          <cell r="IQ174">
            <v>0</v>
          </cell>
          <cell r="IR174">
            <v>0</v>
          </cell>
          <cell r="IS174">
            <v>0</v>
          </cell>
          <cell r="IT174">
            <v>0</v>
          </cell>
          <cell r="IU174">
            <v>0</v>
          </cell>
          <cell r="IV174">
            <v>0</v>
          </cell>
          <cell r="IW174">
            <v>0</v>
          </cell>
          <cell r="IX174">
            <v>0</v>
          </cell>
          <cell r="IY174">
            <v>0</v>
          </cell>
          <cell r="IZ174">
            <v>0</v>
          </cell>
          <cell r="JA174">
            <v>0</v>
          </cell>
        </row>
        <row r="175">
          <cell r="L175">
            <v>0</v>
          </cell>
          <cell r="M175">
            <v>0</v>
          </cell>
          <cell r="N175">
            <v>7.0437750000000001</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cell r="CH175">
            <v>0</v>
          </cell>
          <cell r="CI175">
            <v>0</v>
          </cell>
          <cell r="CJ175">
            <v>0</v>
          </cell>
          <cell r="CK175">
            <v>0</v>
          </cell>
          <cell r="CL175">
            <v>0</v>
          </cell>
          <cell r="CM175">
            <v>0</v>
          </cell>
          <cell r="CN175">
            <v>0</v>
          </cell>
          <cell r="CO175">
            <v>0</v>
          </cell>
          <cell r="CP175">
            <v>0</v>
          </cell>
          <cell r="CQ175">
            <v>0</v>
          </cell>
          <cell r="CR175">
            <v>0</v>
          </cell>
          <cell r="CS175">
            <v>0</v>
          </cell>
          <cell r="CT175">
            <v>0</v>
          </cell>
          <cell r="CU175">
            <v>0</v>
          </cell>
          <cell r="CV175">
            <v>0</v>
          </cell>
          <cell r="CW175">
            <v>0</v>
          </cell>
          <cell r="CX175">
            <v>0</v>
          </cell>
          <cell r="CY175">
            <v>0</v>
          </cell>
          <cell r="CZ175">
            <v>0</v>
          </cell>
          <cell r="DA175">
            <v>0</v>
          </cell>
          <cell r="DB175">
            <v>0</v>
          </cell>
          <cell r="DC175">
            <v>0</v>
          </cell>
          <cell r="DD175">
            <v>0</v>
          </cell>
          <cell r="DE175">
            <v>0</v>
          </cell>
          <cell r="DF175">
            <v>0</v>
          </cell>
          <cell r="DG175">
            <v>0</v>
          </cell>
          <cell r="DH175">
            <v>0</v>
          </cell>
          <cell r="DI175">
            <v>0</v>
          </cell>
          <cell r="DJ175">
            <v>0</v>
          </cell>
          <cell r="DK175">
            <v>0</v>
          </cell>
          <cell r="DL175">
            <v>0</v>
          </cell>
          <cell r="DM175">
            <v>0</v>
          </cell>
          <cell r="DN175">
            <v>0</v>
          </cell>
          <cell r="DO175">
            <v>0</v>
          </cell>
          <cell r="DP175">
            <v>0</v>
          </cell>
          <cell r="DQ175">
            <v>0</v>
          </cell>
          <cell r="DR175">
            <v>0</v>
          </cell>
          <cell r="DS175">
            <v>0</v>
          </cell>
          <cell r="DT175">
            <v>0</v>
          </cell>
          <cell r="DU175">
            <v>0</v>
          </cell>
          <cell r="DV175">
            <v>0</v>
          </cell>
          <cell r="DW175">
            <v>0</v>
          </cell>
          <cell r="DX175">
            <v>0</v>
          </cell>
          <cell r="DY175">
            <v>0</v>
          </cell>
          <cell r="DZ175">
            <v>0</v>
          </cell>
          <cell r="EA175">
            <v>0</v>
          </cell>
          <cell r="EB175">
            <v>0</v>
          </cell>
          <cell r="EC175">
            <v>0</v>
          </cell>
          <cell r="ED175">
            <v>0</v>
          </cell>
          <cell r="EE175">
            <v>0</v>
          </cell>
          <cell r="EF175">
            <v>0</v>
          </cell>
          <cell r="EG175">
            <v>0</v>
          </cell>
          <cell r="EH175">
            <v>0</v>
          </cell>
          <cell r="EI175">
            <v>0</v>
          </cell>
          <cell r="EJ175">
            <v>0</v>
          </cell>
          <cell r="EK175">
            <v>0</v>
          </cell>
          <cell r="EL175">
            <v>0</v>
          </cell>
          <cell r="EM175">
            <v>0</v>
          </cell>
          <cell r="EN175">
            <v>0</v>
          </cell>
          <cell r="EO175">
            <v>0</v>
          </cell>
          <cell r="EP175">
            <v>0</v>
          </cell>
          <cell r="EQ175">
            <v>0</v>
          </cell>
          <cell r="ER175">
            <v>0</v>
          </cell>
          <cell r="ES175">
            <v>0</v>
          </cell>
          <cell r="ET175">
            <v>0</v>
          </cell>
          <cell r="EU175">
            <v>0</v>
          </cell>
          <cell r="EV175">
            <v>0</v>
          </cell>
          <cell r="EW175">
            <v>0</v>
          </cell>
          <cell r="EX175">
            <v>0</v>
          </cell>
          <cell r="EY175">
            <v>0</v>
          </cell>
          <cell r="EZ175">
            <v>0</v>
          </cell>
          <cell r="FA175">
            <v>0</v>
          </cell>
          <cell r="FB175">
            <v>0</v>
          </cell>
          <cell r="FC175">
            <v>0</v>
          </cell>
          <cell r="FD175">
            <v>0</v>
          </cell>
          <cell r="FE175">
            <v>0</v>
          </cell>
          <cell r="FF175">
            <v>0</v>
          </cell>
          <cell r="FG175">
            <v>0</v>
          </cell>
          <cell r="FH175">
            <v>0</v>
          </cell>
          <cell r="FI175">
            <v>0</v>
          </cell>
          <cell r="FJ175">
            <v>0</v>
          </cell>
          <cell r="FK175">
            <v>0</v>
          </cell>
          <cell r="FL175">
            <v>0</v>
          </cell>
          <cell r="FM175">
            <v>0</v>
          </cell>
          <cell r="FN175">
            <v>0</v>
          </cell>
          <cell r="FO175">
            <v>0</v>
          </cell>
          <cell r="FP175">
            <v>0</v>
          </cell>
          <cell r="FQ175">
            <v>0</v>
          </cell>
          <cell r="FR175">
            <v>0</v>
          </cell>
          <cell r="FS175">
            <v>0</v>
          </cell>
          <cell r="FT175">
            <v>0</v>
          </cell>
          <cell r="FU175">
            <v>0</v>
          </cell>
          <cell r="FV175">
            <v>0</v>
          </cell>
          <cell r="FW175">
            <v>0</v>
          </cell>
          <cell r="FX175">
            <v>0</v>
          </cell>
          <cell r="FY175">
            <v>0</v>
          </cell>
          <cell r="FZ175">
            <v>0</v>
          </cell>
          <cell r="GA175">
            <v>0</v>
          </cell>
          <cell r="GB175">
            <v>0</v>
          </cell>
          <cell r="GC175">
            <v>0</v>
          </cell>
          <cell r="GD175">
            <v>0</v>
          </cell>
          <cell r="GE175">
            <v>0</v>
          </cell>
          <cell r="GF175">
            <v>0</v>
          </cell>
          <cell r="GG175">
            <v>0</v>
          </cell>
          <cell r="GH175">
            <v>0</v>
          </cell>
          <cell r="GI175">
            <v>0</v>
          </cell>
          <cell r="GJ175">
            <v>0</v>
          </cell>
          <cell r="GK175">
            <v>0</v>
          </cell>
          <cell r="GL175">
            <v>0</v>
          </cell>
          <cell r="GM175">
            <v>0</v>
          </cell>
          <cell r="GN175">
            <v>0</v>
          </cell>
          <cell r="GO175">
            <v>0</v>
          </cell>
          <cell r="GP175">
            <v>0</v>
          </cell>
          <cell r="GQ175">
            <v>0</v>
          </cell>
          <cell r="GR175">
            <v>0</v>
          </cell>
          <cell r="GS175">
            <v>0</v>
          </cell>
          <cell r="GT175">
            <v>0</v>
          </cell>
          <cell r="GU175">
            <v>0</v>
          </cell>
          <cell r="GV175">
            <v>0</v>
          </cell>
          <cell r="GW175">
            <v>0</v>
          </cell>
          <cell r="GX175">
            <v>0</v>
          </cell>
          <cell r="GY175">
            <v>0</v>
          </cell>
          <cell r="GZ175">
            <v>0</v>
          </cell>
          <cell r="HA175">
            <v>0</v>
          </cell>
          <cell r="HB175">
            <v>0</v>
          </cell>
          <cell r="HC175">
            <v>0</v>
          </cell>
          <cell r="HD175">
            <v>0</v>
          </cell>
          <cell r="HE175">
            <v>0</v>
          </cell>
          <cell r="HF175">
            <v>0</v>
          </cell>
          <cell r="HG175">
            <v>0</v>
          </cell>
          <cell r="HH175">
            <v>0</v>
          </cell>
          <cell r="HI175">
            <v>0</v>
          </cell>
          <cell r="HJ175">
            <v>0</v>
          </cell>
          <cell r="HK175">
            <v>0</v>
          </cell>
          <cell r="HL175">
            <v>0</v>
          </cell>
          <cell r="HM175">
            <v>0</v>
          </cell>
          <cell r="HN175">
            <v>0</v>
          </cell>
          <cell r="HO175">
            <v>0</v>
          </cell>
          <cell r="HP175">
            <v>0</v>
          </cell>
          <cell r="HQ175">
            <v>0</v>
          </cell>
          <cell r="HR175">
            <v>0</v>
          </cell>
          <cell r="HS175">
            <v>0</v>
          </cell>
          <cell r="HT175">
            <v>0</v>
          </cell>
          <cell r="HU175">
            <v>0</v>
          </cell>
          <cell r="HV175">
            <v>0</v>
          </cell>
          <cell r="HW175">
            <v>0</v>
          </cell>
          <cell r="HX175">
            <v>0</v>
          </cell>
          <cell r="HY175">
            <v>0</v>
          </cell>
          <cell r="HZ175">
            <v>0</v>
          </cell>
          <cell r="IA175">
            <v>0</v>
          </cell>
          <cell r="IB175">
            <v>0</v>
          </cell>
          <cell r="IC175">
            <v>0</v>
          </cell>
          <cell r="ID175">
            <v>0</v>
          </cell>
          <cell r="IE175">
            <v>0</v>
          </cell>
          <cell r="IF175">
            <v>0</v>
          </cell>
          <cell r="IG175">
            <v>0</v>
          </cell>
          <cell r="IH175">
            <v>0</v>
          </cell>
          <cell r="II175">
            <v>0</v>
          </cell>
          <cell r="IJ175">
            <v>0</v>
          </cell>
          <cell r="IK175">
            <v>0</v>
          </cell>
          <cell r="IL175">
            <v>0</v>
          </cell>
          <cell r="IM175">
            <v>0</v>
          </cell>
          <cell r="IN175">
            <v>0</v>
          </cell>
          <cell r="IO175">
            <v>0</v>
          </cell>
          <cell r="IP175">
            <v>0</v>
          </cell>
          <cell r="IQ175">
            <v>0</v>
          </cell>
          <cell r="IR175">
            <v>0</v>
          </cell>
          <cell r="IS175">
            <v>0</v>
          </cell>
          <cell r="IT175">
            <v>0</v>
          </cell>
          <cell r="IU175">
            <v>0</v>
          </cell>
          <cell r="IV175">
            <v>0</v>
          </cell>
          <cell r="IW175">
            <v>0</v>
          </cell>
          <cell r="IX175">
            <v>0</v>
          </cell>
          <cell r="IY175">
            <v>0</v>
          </cell>
          <cell r="IZ175">
            <v>0</v>
          </cell>
          <cell r="JA175">
            <v>0</v>
          </cell>
        </row>
        <row r="176">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cell r="BR176">
            <v>0</v>
          </cell>
          <cell r="BS176">
            <v>0</v>
          </cell>
          <cell r="BT176">
            <v>0</v>
          </cell>
          <cell r="BU176">
            <v>0</v>
          </cell>
          <cell r="BV176">
            <v>0</v>
          </cell>
          <cell r="BW176">
            <v>0</v>
          </cell>
          <cell r="BX176">
            <v>0</v>
          </cell>
          <cell r="BY176">
            <v>0</v>
          </cell>
          <cell r="BZ176">
            <v>0</v>
          </cell>
          <cell r="CA176">
            <v>0</v>
          </cell>
          <cell r="CB176">
            <v>0</v>
          </cell>
          <cell r="CC176">
            <v>0</v>
          </cell>
          <cell r="CD176">
            <v>0</v>
          </cell>
          <cell r="CE176">
            <v>0</v>
          </cell>
          <cell r="CF176">
            <v>0</v>
          </cell>
          <cell r="CG176">
            <v>0</v>
          </cell>
          <cell r="CH176">
            <v>0</v>
          </cell>
          <cell r="CI176">
            <v>0</v>
          </cell>
          <cell r="CJ176">
            <v>0</v>
          </cell>
          <cell r="CK176">
            <v>0</v>
          </cell>
          <cell r="CL176">
            <v>0</v>
          </cell>
          <cell r="CM176">
            <v>0</v>
          </cell>
          <cell r="CN176">
            <v>0</v>
          </cell>
          <cell r="CO176">
            <v>0</v>
          </cell>
          <cell r="CP176">
            <v>0</v>
          </cell>
          <cell r="CQ176">
            <v>0</v>
          </cell>
          <cell r="CR176">
            <v>0</v>
          </cell>
          <cell r="CS176">
            <v>0</v>
          </cell>
          <cell r="CT176">
            <v>0</v>
          </cell>
          <cell r="CU176">
            <v>0</v>
          </cell>
          <cell r="CV176">
            <v>0</v>
          </cell>
          <cell r="CW176">
            <v>0</v>
          </cell>
          <cell r="CX176">
            <v>0</v>
          </cell>
          <cell r="CY176">
            <v>0</v>
          </cell>
          <cell r="CZ176">
            <v>0</v>
          </cell>
          <cell r="DA176">
            <v>0</v>
          </cell>
          <cell r="DB176">
            <v>0</v>
          </cell>
          <cell r="DC176">
            <v>0</v>
          </cell>
          <cell r="DD176">
            <v>0</v>
          </cell>
          <cell r="DE176">
            <v>0</v>
          </cell>
          <cell r="DF176">
            <v>0</v>
          </cell>
          <cell r="DG176">
            <v>0</v>
          </cell>
          <cell r="DH176">
            <v>0</v>
          </cell>
          <cell r="DI176">
            <v>0</v>
          </cell>
          <cell r="DJ176">
            <v>0</v>
          </cell>
          <cell r="DK176">
            <v>0</v>
          </cell>
          <cell r="DL176">
            <v>0</v>
          </cell>
          <cell r="DM176">
            <v>0</v>
          </cell>
          <cell r="DN176">
            <v>0</v>
          </cell>
          <cell r="DO176">
            <v>0</v>
          </cell>
          <cell r="DP176">
            <v>0</v>
          </cell>
          <cell r="DQ176">
            <v>0</v>
          </cell>
          <cell r="DR176">
            <v>0</v>
          </cell>
          <cell r="DS176">
            <v>0</v>
          </cell>
          <cell r="DT176">
            <v>0</v>
          </cell>
          <cell r="DU176">
            <v>0</v>
          </cell>
          <cell r="DV176">
            <v>0</v>
          </cell>
          <cell r="DW176">
            <v>0</v>
          </cell>
          <cell r="DX176">
            <v>0</v>
          </cell>
          <cell r="DY176">
            <v>0</v>
          </cell>
          <cell r="DZ176">
            <v>0</v>
          </cell>
          <cell r="EA176">
            <v>0</v>
          </cell>
          <cell r="EB176">
            <v>0</v>
          </cell>
          <cell r="EC176">
            <v>0</v>
          </cell>
          <cell r="ED176">
            <v>0</v>
          </cell>
          <cell r="EE176">
            <v>0</v>
          </cell>
          <cell r="EF176">
            <v>0</v>
          </cell>
          <cell r="EG176">
            <v>0</v>
          </cell>
          <cell r="EH176">
            <v>0</v>
          </cell>
          <cell r="EI176">
            <v>0</v>
          </cell>
          <cell r="EJ176">
            <v>0</v>
          </cell>
          <cell r="EK176">
            <v>0</v>
          </cell>
          <cell r="EL176">
            <v>0</v>
          </cell>
          <cell r="EM176">
            <v>0</v>
          </cell>
          <cell r="EN176">
            <v>0</v>
          </cell>
          <cell r="EO176">
            <v>0</v>
          </cell>
          <cell r="EP176">
            <v>0</v>
          </cell>
          <cell r="EQ176">
            <v>0</v>
          </cell>
          <cell r="ER176">
            <v>0</v>
          </cell>
          <cell r="ES176">
            <v>0</v>
          </cell>
          <cell r="ET176">
            <v>0</v>
          </cell>
          <cell r="EU176">
            <v>0</v>
          </cell>
          <cell r="EV176">
            <v>0</v>
          </cell>
          <cell r="EW176">
            <v>0</v>
          </cell>
          <cell r="EX176">
            <v>0</v>
          </cell>
          <cell r="EY176">
            <v>0</v>
          </cell>
          <cell r="EZ176">
            <v>0</v>
          </cell>
          <cell r="FA176">
            <v>0</v>
          </cell>
          <cell r="FB176">
            <v>0</v>
          </cell>
          <cell r="FC176">
            <v>0</v>
          </cell>
          <cell r="FD176">
            <v>0</v>
          </cell>
          <cell r="FE176">
            <v>0</v>
          </cell>
          <cell r="FF176">
            <v>0</v>
          </cell>
          <cell r="FG176">
            <v>0</v>
          </cell>
          <cell r="FH176">
            <v>0</v>
          </cell>
          <cell r="FI176">
            <v>0</v>
          </cell>
          <cell r="FJ176">
            <v>0</v>
          </cell>
          <cell r="FK176">
            <v>0</v>
          </cell>
          <cell r="FL176">
            <v>0</v>
          </cell>
          <cell r="FM176">
            <v>0</v>
          </cell>
          <cell r="FN176">
            <v>0</v>
          </cell>
          <cell r="FO176">
            <v>0</v>
          </cell>
          <cell r="FP176">
            <v>0</v>
          </cell>
          <cell r="FQ176">
            <v>0</v>
          </cell>
          <cell r="FR176">
            <v>0</v>
          </cell>
          <cell r="FS176">
            <v>0</v>
          </cell>
          <cell r="FT176">
            <v>0</v>
          </cell>
          <cell r="FU176">
            <v>0</v>
          </cell>
          <cell r="FV176">
            <v>0</v>
          </cell>
          <cell r="FW176">
            <v>0</v>
          </cell>
          <cell r="FX176">
            <v>0</v>
          </cell>
          <cell r="FY176">
            <v>0</v>
          </cell>
          <cell r="FZ176">
            <v>0</v>
          </cell>
          <cell r="GA176">
            <v>0</v>
          </cell>
          <cell r="GB176">
            <v>0</v>
          </cell>
          <cell r="GC176">
            <v>0</v>
          </cell>
          <cell r="GD176">
            <v>0</v>
          </cell>
          <cell r="GE176">
            <v>0</v>
          </cell>
          <cell r="GF176">
            <v>0</v>
          </cell>
          <cell r="GG176">
            <v>0</v>
          </cell>
          <cell r="GH176">
            <v>0</v>
          </cell>
          <cell r="GI176">
            <v>0</v>
          </cell>
          <cell r="GJ176">
            <v>0</v>
          </cell>
          <cell r="GK176">
            <v>0</v>
          </cell>
          <cell r="GL176">
            <v>0</v>
          </cell>
          <cell r="GM176">
            <v>0</v>
          </cell>
          <cell r="GN176">
            <v>0</v>
          </cell>
          <cell r="GO176">
            <v>0</v>
          </cell>
          <cell r="GP176">
            <v>0</v>
          </cell>
          <cell r="GQ176">
            <v>0</v>
          </cell>
          <cell r="GR176">
            <v>0</v>
          </cell>
          <cell r="GS176">
            <v>0</v>
          </cell>
          <cell r="GT176">
            <v>0</v>
          </cell>
          <cell r="GU176">
            <v>0</v>
          </cell>
          <cell r="GV176">
            <v>0</v>
          </cell>
          <cell r="GW176">
            <v>0</v>
          </cell>
          <cell r="GX176">
            <v>0</v>
          </cell>
          <cell r="GY176">
            <v>0</v>
          </cell>
          <cell r="GZ176">
            <v>0</v>
          </cell>
          <cell r="HA176">
            <v>0</v>
          </cell>
          <cell r="HB176">
            <v>0</v>
          </cell>
          <cell r="HC176">
            <v>0</v>
          </cell>
          <cell r="HD176">
            <v>0</v>
          </cell>
          <cell r="HE176">
            <v>0</v>
          </cell>
          <cell r="HF176">
            <v>0</v>
          </cell>
          <cell r="HG176">
            <v>0</v>
          </cell>
          <cell r="HH176">
            <v>0</v>
          </cell>
          <cell r="HI176">
            <v>0</v>
          </cell>
          <cell r="HJ176">
            <v>0</v>
          </cell>
          <cell r="HK176">
            <v>0</v>
          </cell>
          <cell r="HL176">
            <v>0</v>
          </cell>
          <cell r="HM176">
            <v>0</v>
          </cell>
          <cell r="HN176">
            <v>0</v>
          </cell>
          <cell r="HO176">
            <v>0</v>
          </cell>
          <cell r="HP176">
            <v>0</v>
          </cell>
          <cell r="HQ176">
            <v>0</v>
          </cell>
          <cell r="HR176">
            <v>0</v>
          </cell>
          <cell r="HS176">
            <v>0</v>
          </cell>
          <cell r="HT176">
            <v>0</v>
          </cell>
          <cell r="HU176">
            <v>0</v>
          </cell>
          <cell r="HV176">
            <v>0</v>
          </cell>
          <cell r="HW176">
            <v>0</v>
          </cell>
          <cell r="HX176">
            <v>0</v>
          </cell>
          <cell r="HY176">
            <v>0</v>
          </cell>
          <cell r="HZ176">
            <v>0</v>
          </cell>
          <cell r="IA176">
            <v>0</v>
          </cell>
          <cell r="IB176">
            <v>0</v>
          </cell>
          <cell r="IC176">
            <v>0</v>
          </cell>
          <cell r="ID176">
            <v>0</v>
          </cell>
          <cell r="IE176">
            <v>0</v>
          </cell>
          <cell r="IF176">
            <v>0</v>
          </cell>
          <cell r="IG176">
            <v>0</v>
          </cell>
          <cell r="IH176">
            <v>0</v>
          </cell>
          <cell r="II176">
            <v>0</v>
          </cell>
          <cell r="IJ176">
            <v>0</v>
          </cell>
          <cell r="IK176">
            <v>0</v>
          </cell>
          <cell r="IL176">
            <v>0</v>
          </cell>
          <cell r="IM176">
            <v>0</v>
          </cell>
          <cell r="IN176">
            <v>0</v>
          </cell>
          <cell r="IO176">
            <v>0</v>
          </cell>
          <cell r="IP176">
            <v>0</v>
          </cell>
          <cell r="IQ176">
            <v>0</v>
          </cell>
          <cell r="IR176">
            <v>0</v>
          </cell>
          <cell r="IS176">
            <v>0</v>
          </cell>
          <cell r="IT176">
            <v>0</v>
          </cell>
          <cell r="IU176">
            <v>0</v>
          </cell>
          <cell r="IV176">
            <v>0</v>
          </cell>
          <cell r="IW176">
            <v>0</v>
          </cell>
          <cell r="IX176">
            <v>0</v>
          </cell>
          <cell r="IY176">
            <v>0</v>
          </cell>
          <cell r="IZ176">
            <v>0</v>
          </cell>
          <cell r="JA176">
            <v>0</v>
          </cell>
        </row>
        <row r="177">
          <cell r="L177">
            <v>3.2910329999999997</v>
          </cell>
          <cell r="M177">
            <v>32.378473</v>
          </cell>
          <cell r="N177">
            <v>69.093799000000004</v>
          </cell>
          <cell r="O177">
            <v>15.204853000000002</v>
          </cell>
          <cell r="P177">
            <v>3.4849319999999997</v>
          </cell>
          <cell r="Q177">
            <v>0.17425299999999999</v>
          </cell>
          <cell r="R177">
            <v>0.109886</v>
          </cell>
          <cell r="S177">
            <v>0.118829</v>
          </cell>
          <cell r="T177">
            <v>0.15210000000000001</v>
          </cell>
          <cell r="U177">
            <v>0.18928800000000001</v>
          </cell>
          <cell r="V177">
            <v>0.20291500000000001</v>
          </cell>
          <cell r="W177">
            <v>0.24522299999999997</v>
          </cell>
          <cell r="X177">
            <v>0.27988999999999997</v>
          </cell>
          <cell r="Y177">
            <v>0.29636799999999996</v>
          </cell>
          <cell r="Z177">
            <v>0.34877899999999995</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cell r="CH177">
            <v>0</v>
          </cell>
          <cell r="CI177">
            <v>0</v>
          </cell>
          <cell r="CJ177">
            <v>0</v>
          </cell>
          <cell r="CK177">
            <v>0</v>
          </cell>
          <cell r="CL177">
            <v>0</v>
          </cell>
          <cell r="CM177">
            <v>0</v>
          </cell>
          <cell r="CN177">
            <v>0</v>
          </cell>
          <cell r="CO177">
            <v>0</v>
          </cell>
          <cell r="CP177">
            <v>0</v>
          </cell>
          <cell r="CQ177">
            <v>0</v>
          </cell>
          <cell r="CR177">
            <v>0</v>
          </cell>
          <cell r="CS177">
            <v>0</v>
          </cell>
          <cell r="CT177">
            <v>0</v>
          </cell>
          <cell r="CU177">
            <v>0</v>
          </cell>
          <cell r="CV177">
            <v>0</v>
          </cell>
          <cell r="CW177">
            <v>0</v>
          </cell>
          <cell r="CX177">
            <v>0</v>
          </cell>
          <cell r="CY177">
            <v>0</v>
          </cell>
          <cell r="CZ177">
            <v>0</v>
          </cell>
          <cell r="DA177">
            <v>0</v>
          </cell>
          <cell r="DB177">
            <v>0</v>
          </cell>
          <cell r="DC177">
            <v>0</v>
          </cell>
          <cell r="DD177">
            <v>0</v>
          </cell>
          <cell r="DE177">
            <v>0</v>
          </cell>
          <cell r="DF177">
            <v>0</v>
          </cell>
          <cell r="DG177">
            <v>0</v>
          </cell>
          <cell r="DH177">
            <v>0</v>
          </cell>
          <cell r="DI177">
            <v>0</v>
          </cell>
          <cell r="DJ177">
            <v>0</v>
          </cell>
          <cell r="DK177">
            <v>0</v>
          </cell>
          <cell r="DL177">
            <v>0</v>
          </cell>
          <cell r="DM177">
            <v>0</v>
          </cell>
          <cell r="DN177">
            <v>0</v>
          </cell>
          <cell r="DO177">
            <v>0</v>
          </cell>
          <cell r="DP177">
            <v>0</v>
          </cell>
          <cell r="DQ177">
            <v>0</v>
          </cell>
          <cell r="DR177">
            <v>0</v>
          </cell>
          <cell r="DS177">
            <v>0</v>
          </cell>
          <cell r="DT177">
            <v>0</v>
          </cell>
          <cell r="DU177">
            <v>0</v>
          </cell>
          <cell r="DV177">
            <v>0</v>
          </cell>
          <cell r="DW177">
            <v>0</v>
          </cell>
          <cell r="DX177">
            <v>0</v>
          </cell>
          <cell r="DY177">
            <v>0</v>
          </cell>
          <cell r="DZ177">
            <v>0</v>
          </cell>
          <cell r="EA177">
            <v>0</v>
          </cell>
          <cell r="EB177">
            <v>0</v>
          </cell>
          <cell r="EC177">
            <v>0</v>
          </cell>
          <cell r="ED177">
            <v>0</v>
          </cell>
          <cell r="EE177">
            <v>0</v>
          </cell>
          <cell r="EF177">
            <v>0</v>
          </cell>
          <cell r="EG177">
            <v>0</v>
          </cell>
          <cell r="EH177">
            <v>0</v>
          </cell>
          <cell r="EI177">
            <v>0</v>
          </cell>
          <cell r="EJ177">
            <v>0</v>
          </cell>
          <cell r="EK177">
            <v>0</v>
          </cell>
          <cell r="EL177">
            <v>0</v>
          </cell>
          <cell r="EM177">
            <v>0</v>
          </cell>
          <cell r="EN177">
            <v>0</v>
          </cell>
          <cell r="EO177">
            <v>0</v>
          </cell>
          <cell r="EP177">
            <v>0</v>
          </cell>
          <cell r="EQ177">
            <v>0</v>
          </cell>
          <cell r="ER177">
            <v>0</v>
          </cell>
          <cell r="ES177">
            <v>0</v>
          </cell>
          <cell r="ET177">
            <v>0</v>
          </cell>
          <cell r="EU177">
            <v>0</v>
          </cell>
          <cell r="EV177">
            <v>0</v>
          </cell>
          <cell r="EW177">
            <v>0</v>
          </cell>
          <cell r="EX177">
            <v>0</v>
          </cell>
          <cell r="EY177">
            <v>0</v>
          </cell>
          <cell r="EZ177">
            <v>0</v>
          </cell>
          <cell r="FA177">
            <v>0</v>
          </cell>
          <cell r="FB177">
            <v>0</v>
          </cell>
          <cell r="FC177">
            <v>0</v>
          </cell>
          <cell r="FD177">
            <v>0</v>
          </cell>
          <cell r="FE177">
            <v>0</v>
          </cell>
          <cell r="FF177">
            <v>0</v>
          </cell>
          <cell r="FG177">
            <v>0</v>
          </cell>
          <cell r="FH177">
            <v>0</v>
          </cell>
          <cell r="FI177">
            <v>0</v>
          </cell>
          <cell r="FJ177">
            <v>0</v>
          </cell>
          <cell r="FK177">
            <v>0</v>
          </cell>
          <cell r="FL177">
            <v>0</v>
          </cell>
          <cell r="FM177">
            <v>0</v>
          </cell>
          <cell r="FN177">
            <v>0</v>
          </cell>
          <cell r="FO177">
            <v>0</v>
          </cell>
          <cell r="FP177">
            <v>0</v>
          </cell>
          <cell r="FQ177">
            <v>0</v>
          </cell>
          <cell r="FR177">
            <v>0</v>
          </cell>
          <cell r="FS177">
            <v>0</v>
          </cell>
          <cell r="FT177">
            <v>0</v>
          </cell>
          <cell r="FU177">
            <v>0</v>
          </cell>
          <cell r="FV177">
            <v>0</v>
          </cell>
          <cell r="FW177">
            <v>0</v>
          </cell>
          <cell r="FX177">
            <v>0</v>
          </cell>
          <cell r="FY177">
            <v>0</v>
          </cell>
          <cell r="FZ177">
            <v>0</v>
          </cell>
          <cell r="GA177">
            <v>0</v>
          </cell>
          <cell r="GB177">
            <v>0</v>
          </cell>
          <cell r="GC177">
            <v>0</v>
          </cell>
          <cell r="GD177">
            <v>0</v>
          </cell>
          <cell r="GE177">
            <v>0</v>
          </cell>
          <cell r="GF177">
            <v>0</v>
          </cell>
          <cell r="GG177">
            <v>0</v>
          </cell>
          <cell r="GH177">
            <v>0</v>
          </cell>
          <cell r="GI177">
            <v>0</v>
          </cell>
          <cell r="GJ177">
            <v>0</v>
          </cell>
          <cell r="GK177">
            <v>0</v>
          </cell>
          <cell r="GL177">
            <v>0</v>
          </cell>
          <cell r="GM177">
            <v>0</v>
          </cell>
          <cell r="GN177">
            <v>0</v>
          </cell>
          <cell r="GO177">
            <v>0</v>
          </cell>
          <cell r="GP177">
            <v>0</v>
          </cell>
          <cell r="GQ177">
            <v>0</v>
          </cell>
          <cell r="GR177">
            <v>0</v>
          </cell>
          <cell r="GS177">
            <v>0</v>
          </cell>
          <cell r="GT177">
            <v>0</v>
          </cell>
          <cell r="GU177">
            <v>0</v>
          </cell>
          <cell r="GV177">
            <v>0</v>
          </cell>
          <cell r="GW177">
            <v>0</v>
          </cell>
          <cell r="GX177">
            <v>0</v>
          </cell>
          <cell r="GY177">
            <v>0</v>
          </cell>
          <cell r="GZ177">
            <v>0</v>
          </cell>
          <cell r="HA177">
            <v>0</v>
          </cell>
          <cell r="HB177">
            <v>0</v>
          </cell>
          <cell r="HC177">
            <v>0</v>
          </cell>
          <cell r="HD177">
            <v>0</v>
          </cell>
          <cell r="HE177">
            <v>0</v>
          </cell>
          <cell r="HF177">
            <v>0</v>
          </cell>
          <cell r="HG177">
            <v>0</v>
          </cell>
          <cell r="HH177">
            <v>0</v>
          </cell>
          <cell r="HI177">
            <v>0</v>
          </cell>
          <cell r="HJ177">
            <v>0</v>
          </cell>
          <cell r="HK177">
            <v>0</v>
          </cell>
          <cell r="HL177">
            <v>0</v>
          </cell>
          <cell r="HM177">
            <v>0</v>
          </cell>
          <cell r="HN177">
            <v>0</v>
          </cell>
          <cell r="HO177">
            <v>0</v>
          </cell>
          <cell r="HP177">
            <v>0</v>
          </cell>
          <cell r="HQ177">
            <v>0</v>
          </cell>
          <cell r="HR177">
            <v>0</v>
          </cell>
          <cell r="HS177">
            <v>0</v>
          </cell>
          <cell r="HT177">
            <v>0</v>
          </cell>
          <cell r="HU177">
            <v>0</v>
          </cell>
          <cell r="HV177">
            <v>0</v>
          </cell>
          <cell r="HW177">
            <v>0</v>
          </cell>
          <cell r="HX177">
            <v>0</v>
          </cell>
          <cell r="HY177">
            <v>0</v>
          </cell>
          <cell r="HZ177">
            <v>0</v>
          </cell>
          <cell r="IA177">
            <v>0</v>
          </cell>
          <cell r="IB177">
            <v>0</v>
          </cell>
          <cell r="IC177">
            <v>0</v>
          </cell>
          <cell r="ID177">
            <v>0</v>
          </cell>
          <cell r="IE177">
            <v>0</v>
          </cell>
          <cell r="IF177">
            <v>0</v>
          </cell>
          <cell r="IG177">
            <v>0</v>
          </cell>
          <cell r="IH177">
            <v>0</v>
          </cell>
          <cell r="II177">
            <v>0</v>
          </cell>
          <cell r="IJ177">
            <v>0</v>
          </cell>
          <cell r="IK177">
            <v>0</v>
          </cell>
          <cell r="IL177">
            <v>0</v>
          </cell>
          <cell r="IM177">
            <v>0</v>
          </cell>
          <cell r="IN177">
            <v>0</v>
          </cell>
          <cell r="IO177">
            <v>0</v>
          </cell>
          <cell r="IP177">
            <v>0</v>
          </cell>
          <cell r="IQ177">
            <v>0</v>
          </cell>
          <cell r="IR177">
            <v>0</v>
          </cell>
          <cell r="IS177">
            <v>0</v>
          </cell>
          <cell r="IT177">
            <v>0</v>
          </cell>
          <cell r="IU177">
            <v>0</v>
          </cell>
          <cell r="IV177">
            <v>0</v>
          </cell>
          <cell r="IW177">
            <v>0</v>
          </cell>
          <cell r="IX177">
            <v>0</v>
          </cell>
          <cell r="IY177">
            <v>0</v>
          </cell>
          <cell r="IZ177">
            <v>0</v>
          </cell>
          <cell r="JA177">
            <v>0</v>
          </cell>
        </row>
        <row r="179">
          <cell r="B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7.1227260000000001</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0</v>
          </cell>
          <cell r="CF179">
            <v>0</v>
          </cell>
          <cell r="CG179">
            <v>0</v>
          </cell>
          <cell r="CH179">
            <v>0</v>
          </cell>
          <cell r="CI179">
            <v>0</v>
          </cell>
          <cell r="CJ179">
            <v>0</v>
          </cell>
          <cell r="CK179">
            <v>0</v>
          </cell>
          <cell r="CL179">
            <v>0</v>
          </cell>
          <cell r="CM179">
            <v>0</v>
          </cell>
          <cell r="CN179">
            <v>0</v>
          </cell>
          <cell r="CO179">
            <v>0</v>
          </cell>
          <cell r="CP179">
            <v>0</v>
          </cell>
          <cell r="CQ179">
            <v>0</v>
          </cell>
          <cell r="CR179">
            <v>0</v>
          </cell>
          <cell r="CS179">
            <v>0</v>
          </cell>
          <cell r="CT179">
            <v>0</v>
          </cell>
          <cell r="CU179">
            <v>0</v>
          </cell>
          <cell r="CV179">
            <v>0</v>
          </cell>
          <cell r="CW179">
            <v>0</v>
          </cell>
          <cell r="CX179">
            <v>0</v>
          </cell>
          <cell r="CY179">
            <v>0</v>
          </cell>
          <cell r="CZ179">
            <v>0</v>
          </cell>
          <cell r="DA179">
            <v>0</v>
          </cell>
          <cell r="DB179">
            <v>0</v>
          </cell>
          <cell r="DC179">
            <v>0</v>
          </cell>
          <cell r="DD179">
            <v>0</v>
          </cell>
          <cell r="DE179">
            <v>0</v>
          </cell>
          <cell r="DF179">
            <v>0</v>
          </cell>
          <cell r="DG179">
            <v>0</v>
          </cell>
          <cell r="DH179">
            <v>0</v>
          </cell>
          <cell r="DI179">
            <v>0</v>
          </cell>
          <cell r="DJ179">
            <v>0</v>
          </cell>
          <cell r="DK179">
            <v>0</v>
          </cell>
          <cell r="DL179">
            <v>0</v>
          </cell>
          <cell r="DM179">
            <v>0</v>
          </cell>
          <cell r="DN179">
            <v>0</v>
          </cell>
          <cell r="DO179">
            <v>0</v>
          </cell>
          <cell r="DP179">
            <v>0</v>
          </cell>
          <cell r="DQ179">
            <v>0</v>
          </cell>
          <cell r="DR179">
            <v>0</v>
          </cell>
          <cell r="DS179">
            <v>0</v>
          </cell>
          <cell r="DT179">
            <v>0</v>
          </cell>
          <cell r="DU179">
            <v>0</v>
          </cell>
          <cell r="DV179">
            <v>0</v>
          </cell>
          <cell r="DW179">
            <v>0</v>
          </cell>
          <cell r="DX179">
            <v>0</v>
          </cell>
          <cell r="DY179">
            <v>0</v>
          </cell>
          <cell r="DZ179">
            <v>0</v>
          </cell>
          <cell r="EA179">
            <v>0</v>
          </cell>
          <cell r="EB179">
            <v>0</v>
          </cell>
          <cell r="EC179">
            <v>0</v>
          </cell>
          <cell r="ED179">
            <v>0</v>
          </cell>
          <cell r="EE179">
            <v>0</v>
          </cell>
          <cell r="EF179">
            <v>0</v>
          </cell>
          <cell r="EG179">
            <v>0</v>
          </cell>
          <cell r="EH179">
            <v>0</v>
          </cell>
          <cell r="EI179">
            <v>0</v>
          </cell>
          <cell r="EJ179">
            <v>0</v>
          </cell>
          <cell r="EK179">
            <v>0</v>
          </cell>
          <cell r="EL179">
            <v>0</v>
          </cell>
          <cell r="EM179">
            <v>0</v>
          </cell>
          <cell r="EN179">
            <v>0</v>
          </cell>
          <cell r="EO179">
            <v>0</v>
          </cell>
          <cell r="EP179">
            <v>0</v>
          </cell>
          <cell r="EQ179">
            <v>0</v>
          </cell>
          <cell r="ER179">
            <v>0</v>
          </cell>
          <cell r="ES179">
            <v>0</v>
          </cell>
          <cell r="ET179">
            <v>0</v>
          </cell>
          <cell r="EU179">
            <v>0</v>
          </cell>
          <cell r="EV179">
            <v>0</v>
          </cell>
          <cell r="EW179">
            <v>0</v>
          </cell>
          <cell r="EX179">
            <v>0</v>
          </cell>
          <cell r="EY179">
            <v>0</v>
          </cell>
          <cell r="EZ179">
            <v>0</v>
          </cell>
          <cell r="FA179">
            <v>0</v>
          </cell>
          <cell r="FB179">
            <v>0</v>
          </cell>
          <cell r="FC179">
            <v>0</v>
          </cell>
          <cell r="FD179">
            <v>0</v>
          </cell>
          <cell r="FE179">
            <v>0</v>
          </cell>
          <cell r="FF179">
            <v>0</v>
          </cell>
          <cell r="FG179">
            <v>0</v>
          </cell>
          <cell r="FH179">
            <v>0</v>
          </cell>
          <cell r="FI179">
            <v>0</v>
          </cell>
          <cell r="FJ179">
            <v>0</v>
          </cell>
          <cell r="FK179">
            <v>0</v>
          </cell>
          <cell r="FL179">
            <v>0</v>
          </cell>
          <cell r="FM179">
            <v>0</v>
          </cell>
          <cell r="FN179">
            <v>0</v>
          </cell>
          <cell r="FO179">
            <v>0</v>
          </cell>
          <cell r="FP179">
            <v>0</v>
          </cell>
          <cell r="FQ179">
            <v>0</v>
          </cell>
          <cell r="FR179">
            <v>0</v>
          </cell>
          <cell r="FS179">
            <v>0</v>
          </cell>
          <cell r="FT179">
            <v>0</v>
          </cell>
          <cell r="FU179">
            <v>0</v>
          </cell>
          <cell r="FV179">
            <v>0</v>
          </cell>
          <cell r="FW179">
            <v>0</v>
          </cell>
          <cell r="FX179">
            <v>0</v>
          </cell>
          <cell r="FY179">
            <v>0</v>
          </cell>
          <cell r="FZ179">
            <v>0</v>
          </cell>
          <cell r="GA179">
            <v>0</v>
          </cell>
          <cell r="GB179">
            <v>0</v>
          </cell>
          <cell r="GC179">
            <v>0</v>
          </cell>
          <cell r="GD179">
            <v>0</v>
          </cell>
          <cell r="GE179">
            <v>0</v>
          </cell>
          <cell r="GF179">
            <v>0</v>
          </cell>
          <cell r="GG179">
            <v>0</v>
          </cell>
          <cell r="GH179">
            <v>0</v>
          </cell>
          <cell r="GI179">
            <v>0</v>
          </cell>
          <cell r="GJ179">
            <v>0</v>
          </cell>
          <cell r="GK179">
            <v>0</v>
          </cell>
          <cell r="GL179">
            <v>0</v>
          </cell>
          <cell r="GM179">
            <v>0</v>
          </cell>
          <cell r="GN179">
            <v>0</v>
          </cell>
          <cell r="GO179">
            <v>0</v>
          </cell>
          <cell r="GP179">
            <v>0</v>
          </cell>
          <cell r="GQ179">
            <v>0</v>
          </cell>
          <cell r="GR179">
            <v>0</v>
          </cell>
          <cell r="GS179">
            <v>0</v>
          </cell>
          <cell r="GT179">
            <v>0</v>
          </cell>
          <cell r="GU179">
            <v>0</v>
          </cell>
          <cell r="GV179">
            <v>0</v>
          </cell>
          <cell r="GW179">
            <v>0</v>
          </cell>
          <cell r="GX179">
            <v>0</v>
          </cell>
          <cell r="GY179">
            <v>0</v>
          </cell>
          <cell r="GZ179">
            <v>0</v>
          </cell>
          <cell r="HA179">
            <v>0</v>
          </cell>
          <cell r="HB179">
            <v>0</v>
          </cell>
          <cell r="HC179">
            <v>0</v>
          </cell>
          <cell r="HD179">
            <v>0</v>
          </cell>
          <cell r="HE179">
            <v>0</v>
          </cell>
          <cell r="HF179">
            <v>0</v>
          </cell>
          <cell r="HG179">
            <v>0</v>
          </cell>
          <cell r="HH179">
            <v>0</v>
          </cell>
          <cell r="HI179">
            <v>0</v>
          </cell>
          <cell r="HJ179">
            <v>0</v>
          </cell>
          <cell r="HK179">
            <v>0</v>
          </cell>
          <cell r="HL179">
            <v>0</v>
          </cell>
          <cell r="HM179">
            <v>0</v>
          </cell>
          <cell r="HN179">
            <v>0</v>
          </cell>
          <cell r="HO179">
            <v>0</v>
          </cell>
          <cell r="HP179">
            <v>0</v>
          </cell>
          <cell r="HQ179">
            <v>0</v>
          </cell>
          <cell r="HR179">
            <v>0</v>
          </cell>
          <cell r="HS179">
            <v>0</v>
          </cell>
          <cell r="HT179">
            <v>0</v>
          </cell>
          <cell r="HU179">
            <v>0</v>
          </cell>
          <cell r="HV179">
            <v>0</v>
          </cell>
          <cell r="HW179">
            <v>0</v>
          </cell>
          <cell r="HX179">
            <v>0</v>
          </cell>
          <cell r="HY179">
            <v>0</v>
          </cell>
          <cell r="HZ179">
            <v>0</v>
          </cell>
          <cell r="IA179">
            <v>0</v>
          </cell>
          <cell r="IB179">
            <v>0</v>
          </cell>
          <cell r="IC179">
            <v>0</v>
          </cell>
          <cell r="ID179">
            <v>0</v>
          </cell>
          <cell r="IE179">
            <v>0</v>
          </cell>
          <cell r="IF179">
            <v>0</v>
          </cell>
          <cell r="IG179">
            <v>0</v>
          </cell>
          <cell r="IH179">
            <v>0</v>
          </cell>
          <cell r="II179">
            <v>0</v>
          </cell>
          <cell r="IJ179">
            <v>0</v>
          </cell>
          <cell r="IK179">
            <v>0</v>
          </cell>
          <cell r="IL179">
            <v>0</v>
          </cell>
          <cell r="IM179">
            <v>0</v>
          </cell>
          <cell r="IN179">
            <v>0</v>
          </cell>
          <cell r="IO179">
            <v>0</v>
          </cell>
          <cell r="IP179">
            <v>0</v>
          </cell>
          <cell r="IQ179">
            <v>0</v>
          </cell>
          <cell r="IR179">
            <v>0</v>
          </cell>
          <cell r="IS179">
            <v>0</v>
          </cell>
          <cell r="IT179">
            <v>0</v>
          </cell>
          <cell r="IU179">
            <v>0</v>
          </cell>
          <cell r="IV179">
            <v>0</v>
          </cell>
          <cell r="IW179">
            <v>0</v>
          </cell>
          <cell r="IX179">
            <v>0</v>
          </cell>
          <cell r="IY179">
            <v>0</v>
          </cell>
          <cell r="IZ179">
            <v>0</v>
          </cell>
          <cell r="JA179">
            <v>0</v>
          </cell>
        </row>
        <row r="183">
          <cell r="L183">
            <v>0</v>
          </cell>
          <cell r="M183">
            <v>0</v>
          </cell>
          <cell r="N183">
            <v>0</v>
          </cell>
          <cell r="O183">
            <v>1.8654696000000002E-2</v>
          </cell>
          <cell r="P183">
            <v>5.6413195999999999E-2</v>
          </cell>
          <cell r="Q183">
            <v>5.6849202000000001E-2</v>
          </cell>
          <cell r="R183">
            <v>5.6849202000000001E-2</v>
          </cell>
          <cell r="S183">
            <v>4.9269451999999998E-2</v>
          </cell>
          <cell r="T183">
            <v>4.0985101000000003E-2</v>
          </cell>
          <cell r="U183">
            <v>3.4442295999999997E-2</v>
          </cell>
          <cell r="V183">
            <v>2.9262654999999999E-2</v>
          </cell>
          <cell r="W183">
            <v>2.5158049999999998E-2</v>
          </cell>
          <cell r="X183">
            <v>2.1912334000000002E-2</v>
          </cell>
          <cell r="Y183">
            <v>1.9309776000000001E-2</v>
          </cell>
          <cell r="Z183">
            <v>1.6162118999999999E-2</v>
          </cell>
          <cell r="AA183">
            <v>7.6213829999999998E-3</v>
          </cell>
          <cell r="AB183">
            <v>7.5790390000000001E-3</v>
          </cell>
          <cell r="AC183">
            <v>7.5370009999999998E-3</v>
          </cell>
          <cell r="AD183">
            <v>6.8100949999999995E-3</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cell r="BQ183">
            <v>0</v>
          </cell>
          <cell r="BR183">
            <v>0</v>
          </cell>
          <cell r="BS183">
            <v>0</v>
          </cell>
          <cell r="BT183">
            <v>0</v>
          </cell>
          <cell r="BU183">
            <v>0</v>
          </cell>
          <cell r="BV183">
            <v>0</v>
          </cell>
          <cell r="BW183">
            <v>0</v>
          </cell>
          <cell r="BX183">
            <v>0</v>
          </cell>
          <cell r="BY183">
            <v>0</v>
          </cell>
          <cell r="BZ183">
            <v>0</v>
          </cell>
          <cell r="CA183">
            <v>0</v>
          </cell>
          <cell r="CB183">
            <v>0</v>
          </cell>
          <cell r="CC183">
            <v>0</v>
          </cell>
          <cell r="CD183">
            <v>0</v>
          </cell>
          <cell r="CE183">
            <v>0</v>
          </cell>
          <cell r="CF183">
            <v>0</v>
          </cell>
          <cell r="CG183">
            <v>0</v>
          </cell>
          <cell r="CH183">
            <v>0</v>
          </cell>
          <cell r="CI183">
            <v>0</v>
          </cell>
          <cell r="CJ183">
            <v>0</v>
          </cell>
          <cell r="CK183">
            <v>0</v>
          </cell>
          <cell r="CL183">
            <v>0</v>
          </cell>
          <cell r="CM183">
            <v>0</v>
          </cell>
          <cell r="CN183">
            <v>0</v>
          </cell>
          <cell r="CO183">
            <v>0</v>
          </cell>
          <cell r="CP183">
            <v>0</v>
          </cell>
          <cell r="CQ183">
            <v>0</v>
          </cell>
          <cell r="CR183">
            <v>0</v>
          </cell>
          <cell r="CS183">
            <v>0</v>
          </cell>
          <cell r="CT183">
            <v>0</v>
          </cell>
          <cell r="CU183">
            <v>0</v>
          </cell>
          <cell r="CV183">
            <v>0</v>
          </cell>
          <cell r="CW183">
            <v>0</v>
          </cell>
          <cell r="CX183">
            <v>0</v>
          </cell>
          <cell r="CY183">
            <v>0</v>
          </cell>
          <cell r="CZ183">
            <v>0</v>
          </cell>
          <cell r="DA183">
            <v>0</v>
          </cell>
          <cell r="DB183">
            <v>0</v>
          </cell>
          <cell r="DC183">
            <v>0</v>
          </cell>
          <cell r="DD183">
            <v>0</v>
          </cell>
          <cell r="DE183">
            <v>0</v>
          </cell>
          <cell r="DF183">
            <v>0</v>
          </cell>
          <cell r="DG183">
            <v>0</v>
          </cell>
          <cell r="DH183">
            <v>0</v>
          </cell>
          <cell r="DI183">
            <v>0</v>
          </cell>
          <cell r="DJ183">
            <v>0</v>
          </cell>
          <cell r="DK183">
            <v>0</v>
          </cell>
          <cell r="DL183">
            <v>0</v>
          </cell>
          <cell r="DM183">
            <v>0</v>
          </cell>
          <cell r="DN183">
            <v>0</v>
          </cell>
          <cell r="DO183">
            <v>0</v>
          </cell>
          <cell r="DP183">
            <v>0</v>
          </cell>
          <cell r="DQ183">
            <v>0</v>
          </cell>
          <cell r="DR183">
            <v>0</v>
          </cell>
          <cell r="DS183">
            <v>0</v>
          </cell>
          <cell r="DT183">
            <v>0</v>
          </cell>
          <cell r="DU183">
            <v>0</v>
          </cell>
          <cell r="DV183">
            <v>0</v>
          </cell>
          <cell r="DW183">
            <v>0</v>
          </cell>
          <cell r="DX183">
            <v>0</v>
          </cell>
          <cell r="DY183">
            <v>0</v>
          </cell>
          <cell r="DZ183">
            <v>0</v>
          </cell>
          <cell r="EA183">
            <v>0</v>
          </cell>
          <cell r="EB183">
            <v>0</v>
          </cell>
          <cell r="EC183">
            <v>0</v>
          </cell>
          <cell r="ED183">
            <v>0</v>
          </cell>
          <cell r="EE183">
            <v>0</v>
          </cell>
          <cell r="EF183">
            <v>0</v>
          </cell>
          <cell r="EG183">
            <v>0</v>
          </cell>
          <cell r="EH183">
            <v>0</v>
          </cell>
          <cell r="EI183">
            <v>0</v>
          </cell>
          <cell r="EJ183">
            <v>0</v>
          </cell>
          <cell r="EK183">
            <v>0</v>
          </cell>
          <cell r="EL183">
            <v>0</v>
          </cell>
          <cell r="EM183">
            <v>0</v>
          </cell>
          <cell r="EN183">
            <v>0</v>
          </cell>
          <cell r="EO183">
            <v>0</v>
          </cell>
          <cell r="EP183">
            <v>0</v>
          </cell>
          <cell r="EQ183">
            <v>0</v>
          </cell>
          <cell r="ER183">
            <v>0</v>
          </cell>
          <cell r="ES183">
            <v>0</v>
          </cell>
          <cell r="ET183">
            <v>0</v>
          </cell>
          <cell r="EU183">
            <v>0</v>
          </cell>
          <cell r="EV183">
            <v>0</v>
          </cell>
          <cell r="EW183">
            <v>0</v>
          </cell>
          <cell r="EX183">
            <v>0</v>
          </cell>
          <cell r="EY183">
            <v>0</v>
          </cell>
          <cell r="EZ183">
            <v>0</v>
          </cell>
          <cell r="FA183">
            <v>0</v>
          </cell>
          <cell r="FB183">
            <v>0</v>
          </cell>
          <cell r="FC183">
            <v>0</v>
          </cell>
          <cell r="FD183">
            <v>0</v>
          </cell>
          <cell r="FE183">
            <v>0</v>
          </cell>
          <cell r="FF183">
            <v>0</v>
          </cell>
          <cell r="FG183">
            <v>0</v>
          </cell>
          <cell r="FH183">
            <v>0</v>
          </cell>
          <cell r="FI183">
            <v>0</v>
          </cell>
          <cell r="FJ183">
            <v>0</v>
          </cell>
          <cell r="FK183">
            <v>0</v>
          </cell>
          <cell r="FL183">
            <v>0</v>
          </cell>
          <cell r="FM183">
            <v>0</v>
          </cell>
          <cell r="FN183">
            <v>0</v>
          </cell>
          <cell r="FO183">
            <v>0</v>
          </cell>
          <cell r="FP183">
            <v>0</v>
          </cell>
          <cell r="FQ183">
            <v>0</v>
          </cell>
          <cell r="FR183">
            <v>0</v>
          </cell>
          <cell r="FS183">
            <v>0</v>
          </cell>
          <cell r="FT183">
            <v>0</v>
          </cell>
          <cell r="FU183">
            <v>0</v>
          </cell>
          <cell r="FV183">
            <v>0</v>
          </cell>
          <cell r="FW183">
            <v>0</v>
          </cell>
          <cell r="FX183">
            <v>0</v>
          </cell>
          <cell r="FY183">
            <v>0</v>
          </cell>
          <cell r="FZ183">
            <v>0</v>
          </cell>
          <cell r="GA183">
            <v>0</v>
          </cell>
          <cell r="GB183">
            <v>0</v>
          </cell>
          <cell r="GC183">
            <v>0</v>
          </cell>
          <cell r="GD183">
            <v>0</v>
          </cell>
          <cell r="GE183">
            <v>0</v>
          </cell>
          <cell r="GF183">
            <v>0</v>
          </cell>
          <cell r="GG183">
            <v>0</v>
          </cell>
          <cell r="GH183">
            <v>0</v>
          </cell>
          <cell r="GI183">
            <v>0</v>
          </cell>
          <cell r="GJ183">
            <v>0</v>
          </cell>
          <cell r="GK183">
            <v>0</v>
          </cell>
          <cell r="GL183">
            <v>0</v>
          </cell>
          <cell r="GM183">
            <v>0</v>
          </cell>
          <cell r="GN183">
            <v>0</v>
          </cell>
          <cell r="GO183">
            <v>0</v>
          </cell>
          <cell r="GP183">
            <v>0</v>
          </cell>
          <cell r="GQ183">
            <v>0</v>
          </cell>
          <cell r="GR183">
            <v>0</v>
          </cell>
          <cell r="GS183">
            <v>0</v>
          </cell>
          <cell r="GT183">
            <v>0</v>
          </cell>
          <cell r="GU183">
            <v>0</v>
          </cell>
          <cell r="GV183">
            <v>0</v>
          </cell>
          <cell r="GW183">
            <v>0</v>
          </cell>
          <cell r="GX183">
            <v>0</v>
          </cell>
          <cell r="GY183">
            <v>0</v>
          </cell>
          <cell r="GZ183">
            <v>0</v>
          </cell>
          <cell r="HA183">
            <v>0</v>
          </cell>
          <cell r="HB183">
            <v>0</v>
          </cell>
          <cell r="HC183">
            <v>0</v>
          </cell>
          <cell r="HD183">
            <v>0</v>
          </cell>
          <cell r="HE183">
            <v>0</v>
          </cell>
          <cell r="HF183">
            <v>0</v>
          </cell>
          <cell r="HG183">
            <v>0</v>
          </cell>
          <cell r="HH183">
            <v>0</v>
          </cell>
          <cell r="HI183">
            <v>0</v>
          </cell>
          <cell r="HJ183">
            <v>0</v>
          </cell>
          <cell r="HK183">
            <v>0</v>
          </cell>
          <cell r="HL183">
            <v>0</v>
          </cell>
          <cell r="HM183">
            <v>0</v>
          </cell>
          <cell r="HN183">
            <v>0</v>
          </cell>
          <cell r="HO183">
            <v>0</v>
          </cell>
          <cell r="HP183">
            <v>0</v>
          </cell>
          <cell r="HQ183">
            <v>0</v>
          </cell>
          <cell r="HR183">
            <v>0</v>
          </cell>
          <cell r="HS183">
            <v>0</v>
          </cell>
          <cell r="HT183">
            <v>0</v>
          </cell>
          <cell r="HU183">
            <v>0</v>
          </cell>
          <cell r="HV183">
            <v>0</v>
          </cell>
          <cell r="HW183">
            <v>0</v>
          </cell>
          <cell r="HX183">
            <v>0</v>
          </cell>
          <cell r="HY183">
            <v>0</v>
          </cell>
          <cell r="HZ183">
            <v>0</v>
          </cell>
          <cell r="IA183">
            <v>0</v>
          </cell>
          <cell r="IB183">
            <v>0</v>
          </cell>
          <cell r="IC183">
            <v>0</v>
          </cell>
          <cell r="ID183">
            <v>0</v>
          </cell>
          <cell r="IE183">
            <v>0</v>
          </cell>
          <cell r="IF183">
            <v>0</v>
          </cell>
          <cell r="IG183">
            <v>0</v>
          </cell>
          <cell r="IH183">
            <v>0</v>
          </cell>
          <cell r="II183">
            <v>0</v>
          </cell>
          <cell r="IJ183">
            <v>0</v>
          </cell>
          <cell r="IK183">
            <v>0</v>
          </cell>
          <cell r="IL183">
            <v>0</v>
          </cell>
          <cell r="IM183">
            <v>0</v>
          </cell>
          <cell r="IN183">
            <v>0</v>
          </cell>
          <cell r="IO183">
            <v>0</v>
          </cell>
          <cell r="IP183">
            <v>0</v>
          </cell>
          <cell r="IQ183">
            <v>0</v>
          </cell>
          <cell r="IR183">
            <v>0</v>
          </cell>
          <cell r="IS183">
            <v>0</v>
          </cell>
          <cell r="IT183">
            <v>0</v>
          </cell>
          <cell r="IU183">
            <v>0</v>
          </cell>
          <cell r="IV183">
            <v>0</v>
          </cell>
          <cell r="IW183">
            <v>0</v>
          </cell>
          <cell r="IX183">
            <v>0</v>
          </cell>
          <cell r="IY183">
            <v>0</v>
          </cell>
          <cell r="IZ183">
            <v>0</v>
          </cell>
          <cell r="JA183">
            <v>0</v>
          </cell>
        </row>
        <row r="184">
          <cell r="L184">
            <v>37.285522999999998</v>
          </cell>
          <cell r="M184">
            <v>37.946824999999997</v>
          </cell>
          <cell r="N184">
            <v>38.404159999999997</v>
          </cell>
          <cell r="O184">
            <v>40</v>
          </cell>
          <cell r="P184">
            <v>40.799999</v>
          </cell>
          <cell r="Q184">
            <v>41.616</v>
          </cell>
          <cell r="R184">
            <v>42.448318</v>
          </cell>
          <cell r="S184">
            <v>43.297283999999998</v>
          </cell>
          <cell r="T184">
            <v>44.163232000000001</v>
          </cell>
          <cell r="U184">
            <v>45.046497000000002</v>
          </cell>
          <cell r="V184">
            <v>45.947426</v>
          </cell>
          <cell r="W184">
            <v>46.866374999999998</v>
          </cell>
          <cell r="X184">
            <v>47.803699999999999</v>
          </cell>
          <cell r="Y184">
            <v>48.759777</v>
          </cell>
          <cell r="Z184">
            <v>49.734971999999999</v>
          </cell>
          <cell r="AA184">
            <v>50.729672000000001</v>
          </cell>
          <cell r="AB184">
            <v>51.744264999999999</v>
          </cell>
          <cell r="AC184">
            <v>52.779150000000001</v>
          </cell>
          <cell r="AD184">
            <v>53.834733</v>
          </cell>
          <cell r="AE184">
            <v>54.911428000000001</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cell r="BO184">
            <v>0</v>
          </cell>
          <cell r="BP184">
            <v>0</v>
          </cell>
          <cell r="BQ184">
            <v>0</v>
          </cell>
          <cell r="BR184">
            <v>0</v>
          </cell>
          <cell r="BS184">
            <v>0</v>
          </cell>
          <cell r="BT184">
            <v>0</v>
          </cell>
          <cell r="BU184">
            <v>0</v>
          </cell>
          <cell r="BV184">
            <v>0</v>
          </cell>
          <cell r="BW184">
            <v>0</v>
          </cell>
          <cell r="BX184">
            <v>0</v>
          </cell>
          <cell r="BY184">
            <v>0</v>
          </cell>
          <cell r="BZ184">
            <v>0</v>
          </cell>
          <cell r="CA184">
            <v>0</v>
          </cell>
          <cell r="CB184">
            <v>0</v>
          </cell>
          <cell r="CC184">
            <v>0</v>
          </cell>
          <cell r="CD184">
            <v>0</v>
          </cell>
          <cell r="CE184">
            <v>0</v>
          </cell>
          <cell r="CF184">
            <v>0</v>
          </cell>
          <cell r="CG184">
            <v>0</v>
          </cell>
          <cell r="CH184">
            <v>0</v>
          </cell>
          <cell r="CI184">
            <v>0</v>
          </cell>
          <cell r="CJ184">
            <v>0</v>
          </cell>
          <cell r="CK184">
            <v>0</v>
          </cell>
          <cell r="CL184">
            <v>0</v>
          </cell>
          <cell r="CM184">
            <v>0</v>
          </cell>
          <cell r="CN184">
            <v>0</v>
          </cell>
          <cell r="CO184">
            <v>0</v>
          </cell>
          <cell r="CP184">
            <v>0</v>
          </cell>
          <cell r="CQ184">
            <v>0</v>
          </cell>
          <cell r="CR184">
            <v>0</v>
          </cell>
          <cell r="CS184">
            <v>0</v>
          </cell>
          <cell r="CT184">
            <v>0</v>
          </cell>
          <cell r="CU184">
            <v>0</v>
          </cell>
          <cell r="CV184">
            <v>0</v>
          </cell>
          <cell r="CW184">
            <v>0</v>
          </cell>
          <cell r="CX184">
            <v>0</v>
          </cell>
          <cell r="CY184">
            <v>0</v>
          </cell>
          <cell r="CZ184">
            <v>0</v>
          </cell>
          <cell r="DA184">
            <v>0</v>
          </cell>
          <cell r="DB184">
            <v>0</v>
          </cell>
          <cell r="DC184">
            <v>0</v>
          </cell>
          <cell r="DD184">
            <v>0</v>
          </cell>
          <cell r="DE184">
            <v>0</v>
          </cell>
          <cell r="DF184">
            <v>0</v>
          </cell>
          <cell r="DG184">
            <v>0</v>
          </cell>
          <cell r="DH184">
            <v>0</v>
          </cell>
          <cell r="DI184">
            <v>0</v>
          </cell>
          <cell r="DJ184">
            <v>0</v>
          </cell>
          <cell r="DK184">
            <v>0</v>
          </cell>
          <cell r="DL184">
            <v>0</v>
          </cell>
          <cell r="DM184">
            <v>0</v>
          </cell>
          <cell r="DN184">
            <v>0</v>
          </cell>
          <cell r="DO184">
            <v>0</v>
          </cell>
          <cell r="DP184">
            <v>0</v>
          </cell>
          <cell r="DQ184">
            <v>0</v>
          </cell>
          <cell r="DR184">
            <v>0</v>
          </cell>
          <cell r="DS184">
            <v>0</v>
          </cell>
          <cell r="DT184">
            <v>0</v>
          </cell>
          <cell r="DU184">
            <v>0</v>
          </cell>
          <cell r="DV184">
            <v>0</v>
          </cell>
          <cell r="DW184">
            <v>0</v>
          </cell>
          <cell r="DX184">
            <v>0</v>
          </cell>
          <cell r="DY184">
            <v>0</v>
          </cell>
          <cell r="DZ184">
            <v>0</v>
          </cell>
          <cell r="EA184">
            <v>0</v>
          </cell>
          <cell r="EB184">
            <v>0</v>
          </cell>
          <cell r="EC184">
            <v>0</v>
          </cell>
          <cell r="ED184">
            <v>0</v>
          </cell>
          <cell r="EE184">
            <v>0</v>
          </cell>
          <cell r="EF184">
            <v>0</v>
          </cell>
          <cell r="EG184">
            <v>0</v>
          </cell>
          <cell r="EH184">
            <v>0</v>
          </cell>
          <cell r="EI184">
            <v>0</v>
          </cell>
          <cell r="EJ184">
            <v>0</v>
          </cell>
          <cell r="EK184">
            <v>0</v>
          </cell>
          <cell r="EL184">
            <v>0</v>
          </cell>
          <cell r="EM184">
            <v>0</v>
          </cell>
          <cell r="EN184">
            <v>0</v>
          </cell>
          <cell r="EO184">
            <v>0</v>
          </cell>
          <cell r="EP184">
            <v>0</v>
          </cell>
          <cell r="EQ184">
            <v>0</v>
          </cell>
          <cell r="ER184">
            <v>0</v>
          </cell>
          <cell r="ES184">
            <v>0</v>
          </cell>
          <cell r="ET184">
            <v>0</v>
          </cell>
          <cell r="EU184">
            <v>0</v>
          </cell>
          <cell r="EV184">
            <v>0</v>
          </cell>
          <cell r="EW184">
            <v>0</v>
          </cell>
          <cell r="EX184">
            <v>0</v>
          </cell>
          <cell r="EY184">
            <v>0</v>
          </cell>
          <cell r="EZ184">
            <v>0</v>
          </cell>
          <cell r="FA184">
            <v>0</v>
          </cell>
          <cell r="FB184">
            <v>0</v>
          </cell>
          <cell r="FC184">
            <v>0</v>
          </cell>
          <cell r="FD184">
            <v>0</v>
          </cell>
          <cell r="FE184">
            <v>0</v>
          </cell>
          <cell r="FF184">
            <v>0</v>
          </cell>
          <cell r="FG184">
            <v>0</v>
          </cell>
          <cell r="FH184">
            <v>0</v>
          </cell>
          <cell r="FI184">
            <v>0</v>
          </cell>
          <cell r="FJ184">
            <v>0</v>
          </cell>
          <cell r="FK184">
            <v>0</v>
          </cell>
          <cell r="FL184">
            <v>0</v>
          </cell>
          <cell r="FM184">
            <v>0</v>
          </cell>
          <cell r="FN184">
            <v>0</v>
          </cell>
          <cell r="FO184">
            <v>0</v>
          </cell>
          <cell r="FP184">
            <v>0</v>
          </cell>
          <cell r="FQ184">
            <v>0</v>
          </cell>
          <cell r="FR184">
            <v>0</v>
          </cell>
          <cell r="FS184">
            <v>0</v>
          </cell>
          <cell r="FT184">
            <v>0</v>
          </cell>
          <cell r="FU184">
            <v>0</v>
          </cell>
          <cell r="FV184">
            <v>0</v>
          </cell>
          <cell r="FW184">
            <v>0</v>
          </cell>
          <cell r="FX184">
            <v>0</v>
          </cell>
          <cell r="FY184">
            <v>0</v>
          </cell>
          <cell r="FZ184">
            <v>0</v>
          </cell>
          <cell r="GA184">
            <v>0</v>
          </cell>
          <cell r="GB184">
            <v>0</v>
          </cell>
          <cell r="GC184">
            <v>0</v>
          </cell>
          <cell r="GD184">
            <v>0</v>
          </cell>
          <cell r="GE184">
            <v>0</v>
          </cell>
          <cell r="GF184">
            <v>0</v>
          </cell>
          <cell r="GG184">
            <v>0</v>
          </cell>
          <cell r="GH184">
            <v>0</v>
          </cell>
          <cell r="GI184">
            <v>0</v>
          </cell>
          <cell r="GJ184">
            <v>0</v>
          </cell>
          <cell r="GK184">
            <v>0</v>
          </cell>
          <cell r="GL184">
            <v>0</v>
          </cell>
          <cell r="GM184">
            <v>0</v>
          </cell>
          <cell r="GN184">
            <v>0</v>
          </cell>
          <cell r="GO184">
            <v>0</v>
          </cell>
          <cell r="GP184">
            <v>0</v>
          </cell>
          <cell r="GQ184">
            <v>0</v>
          </cell>
          <cell r="GR184">
            <v>0</v>
          </cell>
          <cell r="GS184">
            <v>0</v>
          </cell>
          <cell r="GT184">
            <v>0</v>
          </cell>
          <cell r="GU184">
            <v>0</v>
          </cell>
          <cell r="GV184">
            <v>0</v>
          </cell>
          <cell r="GW184">
            <v>0</v>
          </cell>
          <cell r="GX184">
            <v>0</v>
          </cell>
          <cell r="GY184">
            <v>0</v>
          </cell>
          <cell r="GZ184">
            <v>0</v>
          </cell>
          <cell r="HA184">
            <v>0</v>
          </cell>
          <cell r="HB184">
            <v>0</v>
          </cell>
          <cell r="HC184">
            <v>0</v>
          </cell>
          <cell r="HD184">
            <v>0</v>
          </cell>
          <cell r="HE184">
            <v>0</v>
          </cell>
          <cell r="HF184">
            <v>0</v>
          </cell>
          <cell r="HG184">
            <v>0</v>
          </cell>
          <cell r="HH184">
            <v>0</v>
          </cell>
          <cell r="HI184">
            <v>0</v>
          </cell>
          <cell r="HJ184">
            <v>0</v>
          </cell>
          <cell r="HK184">
            <v>0</v>
          </cell>
          <cell r="HL184">
            <v>0</v>
          </cell>
          <cell r="HM184">
            <v>0</v>
          </cell>
          <cell r="HN184">
            <v>0</v>
          </cell>
          <cell r="HO184">
            <v>0</v>
          </cell>
          <cell r="HP184">
            <v>0</v>
          </cell>
          <cell r="HQ184">
            <v>0</v>
          </cell>
          <cell r="HR184">
            <v>0</v>
          </cell>
          <cell r="HS184">
            <v>0</v>
          </cell>
          <cell r="HT184">
            <v>0</v>
          </cell>
          <cell r="HU184">
            <v>0</v>
          </cell>
          <cell r="HV184">
            <v>0</v>
          </cell>
          <cell r="HW184">
            <v>0</v>
          </cell>
          <cell r="HX184">
            <v>0</v>
          </cell>
          <cell r="HY184">
            <v>0</v>
          </cell>
          <cell r="HZ184">
            <v>0</v>
          </cell>
          <cell r="IA184">
            <v>0</v>
          </cell>
          <cell r="IB184">
            <v>0</v>
          </cell>
          <cell r="IC184">
            <v>0</v>
          </cell>
          <cell r="ID184">
            <v>0</v>
          </cell>
          <cell r="IE184">
            <v>0</v>
          </cell>
          <cell r="IF184">
            <v>0</v>
          </cell>
          <cell r="IG184">
            <v>0</v>
          </cell>
          <cell r="IH184">
            <v>0</v>
          </cell>
          <cell r="II184">
            <v>0</v>
          </cell>
          <cell r="IJ184">
            <v>0</v>
          </cell>
          <cell r="IK184">
            <v>0</v>
          </cell>
          <cell r="IL184">
            <v>0</v>
          </cell>
          <cell r="IM184">
            <v>0</v>
          </cell>
          <cell r="IN184">
            <v>0</v>
          </cell>
          <cell r="IO184">
            <v>0</v>
          </cell>
          <cell r="IP184">
            <v>0</v>
          </cell>
          <cell r="IQ184">
            <v>0</v>
          </cell>
          <cell r="IR184">
            <v>0</v>
          </cell>
          <cell r="IS184">
            <v>0</v>
          </cell>
          <cell r="IT184">
            <v>0</v>
          </cell>
          <cell r="IU184">
            <v>0</v>
          </cell>
          <cell r="IV184">
            <v>0</v>
          </cell>
          <cell r="IW184">
            <v>0</v>
          </cell>
          <cell r="IX184">
            <v>0</v>
          </cell>
          <cell r="IY184">
            <v>0</v>
          </cell>
          <cell r="IZ184">
            <v>0</v>
          </cell>
          <cell r="JA184">
            <v>0</v>
          </cell>
        </row>
        <row r="185">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cell r="CH185">
            <v>0</v>
          </cell>
          <cell r="CI185">
            <v>0</v>
          </cell>
          <cell r="CJ185">
            <v>0</v>
          </cell>
          <cell r="CK185">
            <v>0</v>
          </cell>
          <cell r="CL185">
            <v>0</v>
          </cell>
          <cell r="CM185">
            <v>0</v>
          </cell>
          <cell r="CN185">
            <v>0</v>
          </cell>
          <cell r="CO185">
            <v>0</v>
          </cell>
          <cell r="CP185">
            <v>0</v>
          </cell>
          <cell r="CQ185">
            <v>0</v>
          </cell>
          <cell r="CR185">
            <v>0</v>
          </cell>
          <cell r="CS185">
            <v>0</v>
          </cell>
          <cell r="CT185">
            <v>0</v>
          </cell>
          <cell r="CU185">
            <v>0</v>
          </cell>
          <cell r="CV185">
            <v>0</v>
          </cell>
          <cell r="CW185">
            <v>0</v>
          </cell>
          <cell r="CX185">
            <v>0</v>
          </cell>
          <cell r="CY185">
            <v>0</v>
          </cell>
          <cell r="CZ185">
            <v>0</v>
          </cell>
          <cell r="DA185">
            <v>0</v>
          </cell>
          <cell r="DB185">
            <v>0</v>
          </cell>
          <cell r="DC185">
            <v>0</v>
          </cell>
          <cell r="DD185">
            <v>0</v>
          </cell>
          <cell r="DE185">
            <v>0</v>
          </cell>
          <cell r="DF185">
            <v>0</v>
          </cell>
          <cell r="DG185">
            <v>0</v>
          </cell>
          <cell r="DH185">
            <v>0</v>
          </cell>
          <cell r="DI185">
            <v>0</v>
          </cell>
          <cell r="DJ185">
            <v>0</v>
          </cell>
          <cell r="DK185">
            <v>0</v>
          </cell>
          <cell r="DL185">
            <v>0</v>
          </cell>
          <cell r="DM185">
            <v>0</v>
          </cell>
          <cell r="DN185">
            <v>0</v>
          </cell>
          <cell r="DO185">
            <v>0</v>
          </cell>
          <cell r="DP185">
            <v>0</v>
          </cell>
          <cell r="DQ185">
            <v>0</v>
          </cell>
          <cell r="DR185">
            <v>0</v>
          </cell>
          <cell r="DS185">
            <v>0</v>
          </cell>
          <cell r="DT185">
            <v>0</v>
          </cell>
          <cell r="DU185">
            <v>0</v>
          </cell>
          <cell r="DV185">
            <v>0</v>
          </cell>
          <cell r="DW185">
            <v>0</v>
          </cell>
          <cell r="DX185">
            <v>0</v>
          </cell>
          <cell r="DY185">
            <v>0</v>
          </cell>
          <cell r="DZ185">
            <v>0</v>
          </cell>
          <cell r="EA185">
            <v>0</v>
          </cell>
          <cell r="EB185">
            <v>0</v>
          </cell>
          <cell r="EC185">
            <v>0</v>
          </cell>
          <cell r="ED185">
            <v>0</v>
          </cell>
          <cell r="EE185">
            <v>0</v>
          </cell>
          <cell r="EF185">
            <v>0</v>
          </cell>
          <cell r="EG185">
            <v>0</v>
          </cell>
          <cell r="EH185">
            <v>0</v>
          </cell>
          <cell r="EI185">
            <v>0</v>
          </cell>
          <cell r="EJ185">
            <v>0</v>
          </cell>
          <cell r="EK185">
            <v>0</v>
          </cell>
          <cell r="EL185">
            <v>0</v>
          </cell>
          <cell r="EM185">
            <v>0</v>
          </cell>
          <cell r="EN185">
            <v>0</v>
          </cell>
          <cell r="EO185">
            <v>0</v>
          </cell>
          <cell r="EP185">
            <v>0</v>
          </cell>
          <cell r="EQ185">
            <v>0</v>
          </cell>
          <cell r="ER185">
            <v>0</v>
          </cell>
          <cell r="ES185">
            <v>0</v>
          </cell>
          <cell r="ET185">
            <v>0</v>
          </cell>
          <cell r="EU185">
            <v>0</v>
          </cell>
          <cell r="EV185">
            <v>0</v>
          </cell>
          <cell r="EW185">
            <v>0</v>
          </cell>
          <cell r="EX185">
            <v>0</v>
          </cell>
          <cell r="EY185">
            <v>0</v>
          </cell>
          <cell r="EZ185">
            <v>0</v>
          </cell>
          <cell r="FA185">
            <v>0</v>
          </cell>
          <cell r="FB185">
            <v>0</v>
          </cell>
          <cell r="FC185">
            <v>0</v>
          </cell>
          <cell r="FD185">
            <v>0</v>
          </cell>
          <cell r="FE185">
            <v>0</v>
          </cell>
          <cell r="FF185">
            <v>0</v>
          </cell>
          <cell r="FG185">
            <v>0</v>
          </cell>
          <cell r="FH185">
            <v>0</v>
          </cell>
          <cell r="FI185">
            <v>0</v>
          </cell>
          <cell r="FJ185">
            <v>0</v>
          </cell>
          <cell r="FK185">
            <v>0</v>
          </cell>
          <cell r="FL185">
            <v>0</v>
          </cell>
          <cell r="FM185">
            <v>0</v>
          </cell>
          <cell r="FN185">
            <v>0</v>
          </cell>
          <cell r="FO185">
            <v>0</v>
          </cell>
          <cell r="FP185">
            <v>0</v>
          </cell>
          <cell r="FQ185">
            <v>0</v>
          </cell>
          <cell r="FR185">
            <v>0</v>
          </cell>
          <cell r="FS185">
            <v>0</v>
          </cell>
          <cell r="FT185">
            <v>0</v>
          </cell>
          <cell r="FU185">
            <v>0</v>
          </cell>
          <cell r="FV185">
            <v>0</v>
          </cell>
          <cell r="FW185">
            <v>0</v>
          </cell>
          <cell r="FX185">
            <v>0</v>
          </cell>
          <cell r="FY185">
            <v>0</v>
          </cell>
          <cell r="FZ185">
            <v>0</v>
          </cell>
          <cell r="GA185">
            <v>0</v>
          </cell>
          <cell r="GB185">
            <v>0</v>
          </cell>
          <cell r="GC185">
            <v>0</v>
          </cell>
          <cell r="GD185">
            <v>0</v>
          </cell>
          <cell r="GE185">
            <v>0</v>
          </cell>
          <cell r="GF185">
            <v>0</v>
          </cell>
          <cell r="GG185">
            <v>0</v>
          </cell>
          <cell r="GH185">
            <v>0</v>
          </cell>
          <cell r="GI185">
            <v>0</v>
          </cell>
          <cell r="GJ185">
            <v>0</v>
          </cell>
          <cell r="GK185">
            <v>0</v>
          </cell>
          <cell r="GL185">
            <v>0</v>
          </cell>
          <cell r="GM185">
            <v>0</v>
          </cell>
          <cell r="GN185">
            <v>0</v>
          </cell>
          <cell r="GO185">
            <v>0</v>
          </cell>
          <cell r="GP185">
            <v>0</v>
          </cell>
          <cell r="GQ185">
            <v>0</v>
          </cell>
          <cell r="GR185">
            <v>0</v>
          </cell>
          <cell r="GS185">
            <v>0</v>
          </cell>
          <cell r="GT185">
            <v>0</v>
          </cell>
          <cell r="GU185">
            <v>0</v>
          </cell>
          <cell r="GV185">
            <v>0</v>
          </cell>
          <cell r="GW185">
            <v>0</v>
          </cell>
          <cell r="GX185">
            <v>0</v>
          </cell>
          <cell r="GY185">
            <v>0</v>
          </cell>
          <cell r="GZ185">
            <v>0</v>
          </cell>
          <cell r="HA185">
            <v>0</v>
          </cell>
          <cell r="HB185">
            <v>0</v>
          </cell>
          <cell r="HC185">
            <v>0</v>
          </cell>
          <cell r="HD185">
            <v>0</v>
          </cell>
          <cell r="HE185">
            <v>0</v>
          </cell>
          <cell r="HF185">
            <v>0</v>
          </cell>
          <cell r="HG185">
            <v>0</v>
          </cell>
          <cell r="HH185">
            <v>0</v>
          </cell>
          <cell r="HI185">
            <v>0</v>
          </cell>
          <cell r="HJ185">
            <v>0</v>
          </cell>
          <cell r="HK185">
            <v>0</v>
          </cell>
          <cell r="HL185">
            <v>0</v>
          </cell>
          <cell r="HM185">
            <v>0</v>
          </cell>
          <cell r="HN185">
            <v>0</v>
          </cell>
          <cell r="HO185">
            <v>0</v>
          </cell>
          <cell r="HP185">
            <v>0</v>
          </cell>
          <cell r="HQ185">
            <v>0</v>
          </cell>
          <cell r="HR185">
            <v>0</v>
          </cell>
          <cell r="HS185">
            <v>0</v>
          </cell>
          <cell r="HT185">
            <v>0</v>
          </cell>
          <cell r="HU185">
            <v>0</v>
          </cell>
          <cell r="HV185">
            <v>0</v>
          </cell>
          <cell r="HW185">
            <v>0</v>
          </cell>
          <cell r="HX185">
            <v>0</v>
          </cell>
          <cell r="HY185">
            <v>0</v>
          </cell>
          <cell r="HZ185">
            <v>0</v>
          </cell>
          <cell r="IA185">
            <v>0</v>
          </cell>
          <cell r="IB185">
            <v>0</v>
          </cell>
          <cell r="IC185">
            <v>0</v>
          </cell>
          <cell r="ID185">
            <v>0</v>
          </cell>
          <cell r="IE185">
            <v>0</v>
          </cell>
          <cell r="IF185">
            <v>0</v>
          </cell>
          <cell r="IG185">
            <v>0</v>
          </cell>
          <cell r="IH185">
            <v>0</v>
          </cell>
          <cell r="II185">
            <v>0</v>
          </cell>
          <cell r="IJ185">
            <v>0</v>
          </cell>
          <cell r="IK185">
            <v>0</v>
          </cell>
          <cell r="IL185">
            <v>0</v>
          </cell>
          <cell r="IM185">
            <v>0</v>
          </cell>
          <cell r="IN185">
            <v>0</v>
          </cell>
          <cell r="IO185">
            <v>0</v>
          </cell>
          <cell r="IP185">
            <v>0</v>
          </cell>
          <cell r="IQ185">
            <v>0</v>
          </cell>
          <cell r="IR185">
            <v>0</v>
          </cell>
          <cell r="IS185">
            <v>0</v>
          </cell>
          <cell r="IT185">
            <v>0</v>
          </cell>
          <cell r="IU185">
            <v>0</v>
          </cell>
          <cell r="IV185">
            <v>0</v>
          </cell>
          <cell r="IW185">
            <v>0</v>
          </cell>
          <cell r="IX185">
            <v>0</v>
          </cell>
          <cell r="IY185">
            <v>0</v>
          </cell>
          <cell r="IZ185">
            <v>0</v>
          </cell>
          <cell r="JA185">
            <v>0</v>
          </cell>
        </row>
        <row r="189">
          <cell r="L189">
            <v>1</v>
          </cell>
          <cell r="M189">
            <v>1</v>
          </cell>
          <cell r="N189">
            <v>1</v>
          </cell>
          <cell r="O189">
            <v>1</v>
          </cell>
          <cell r="P189">
            <v>1</v>
          </cell>
          <cell r="Q189">
            <v>1</v>
          </cell>
          <cell r="R189">
            <v>1</v>
          </cell>
          <cell r="S189">
            <v>1</v>
          </cell>
          <cell r="T189">
            <v>1</v>
          </cell>
          <cell r="U189">
            <v>1</v>
          </cell>
          <cell r="V189">
            <v>1</v>
          </cell>
          <cell r="W189">
            <v>1</v>
          </cell>
          <cell r="X189">
            <v>1</v>
          </cell>
          <cell r="Y189">
            <v>1</v>
          </cell>
          <cell r="Z189">
            <v>1</v>
          </cell>
          <cell r="AA189">
            <v>1</v>
          </cell>
          <cell r="AB189">
            <v>1</v>
          </cell>
          <cell r="AC189">
            <v>1</v>
          </cell>
          <cell r="AD189">
            <v>1</v>
          </cell>
          <cell r="AE189">
            <v>1</v>
          </cell>
          <cell r="AF189">
            <v>1</v>
          </cell>
          <cell r="AG189">
            <v>1</v>
          </cell>
          <cell r="AH189">
            <v>1</v>
          </cell>
          <cell r="AI189">
            <v>1</v>
          </cell>
          <cell r="AJ189">
            <v>1</v>
          </cell>
          <cell r="AK189">
            <v>1</v>
          </cell>
          <cell r="AL189">
            <v>1</v>
          </cell>
          <cell r="AM189">
            <v>1</v>
          </cell>
          <cell r="AN189">
            <v>1</v>
          </cell>
          <cell r="AO189">
            <v>1</v>
          </cell>
          <cell r="AP189">
            <v>1</v>
          </cell>
          <cell r="AQ189">
            <v>1</v>
          </cell>
          <cell r="AR189">
            <v>1</v>
          </cell>
          <cell r="AS189">
            <v>1</v>
          </cell>
          <cell r="AT189">
            <v>1</v>
          </cell>
          <cell r="AU189">
            <v>1</v>
          </cell>
          <cell r="AV189">
            <v>1</v>
          </cell>
          <cell r="AW189">
            <v>1</v>
          </cell>
          <cell r="AX189">
            <v>1</v>
          </cell>
          <cell r="AY189">
            <v>1</v>
          </cell>
          <cell r="AZ189">
            <v>1</v>
          </cell>
          <cell r="BA189">
            <v>1</v>
          </cell>
          <cell r="BB189">
            <v>1</v>
          </cell>
          <cell r="BC189">
            <v>1</v>
          </cell>
          <cell r="BD189">
            <v>1</v>
          </cell>
          <cell r="BE189">
            <v>1</v>
          </cell>
          <cell r="BF189">
            <v>1</v>
          </cell>
          <cell r="BG189">
            <v>1</v>
          </cell>
          <cell r="BH189">
            <v>1</v>
          </cell>
          <cell r="BI189">
            <v>1</v>
          </cell>
          <cell r="BJ189">
            <v>1</v>
          </cell>
          <cell r="BK189">
            <v>1</v>
          </cell>
          <cell r="BL189">
            <v>1</v>
          </cell>
          <cell r="BM189">
            <v>1</v>
          </cell>
          <cell r="BN189">
            <v>1</v>
          </cell>
          <cell r="BO189">
            <v>1</v>
          </cell>
          <cell r="BP189">
            <v>1</v>
          </cell>
          <cell r="BQ189">
            <v>1</v>
          </cell>
          <cell r="BR189">
            <v>1</v>
          </cell>
          <cell r="BS189">
            <v>1</v>
          </cell>
          <cell r="BT189">
            <v>1</v>
          </cell>
          <cell r="BU189">
            <v>1</v>
          </cell>
          <cell r="BV189">
            <v>1</v>
          </cell>
          <cell r="BW189">
            <v>1</v>
          </cell>
          <cell r="BX189">
            <v>1</v>
          </cell>
          <cell r="BY189">
            <v>1</v>
          </cell>
          <cell r="BZ189">
            <v>1</v>
          </cell>
          <cell r="CA189">
            <v>1</v>
          </cell>
          <cell r="CB189">
            <v>1</v>
          </cell>
          <cell r="CC189">
            <v>1</v>
          </cell>
          <cell r="CD189">
            <v>1</v>
          </cell>
          <cell r="CE189">
            <v>1</v>
          </cell>
          <cell r="CF189">
            <v>1</v>
          </cell>
          <cell r="CG189">
            <v>1</v>
          </cell>
          <cell r="CH189">
            <v>1</v>
          </cell>
          <cell r="CI189">
            <v>1</v>
          </cell>
          <cell r="CJ189">
            <v>1</v>
          </cell>
          <cell r="CK189">
            <v>1</v>
          </cell>
          <cell r="CL189">
            <v>1</v>
          </cell>
          <cell r="CM189">
            <v>1</v>
          </cell>
          <cell r="CN189">
            <v>1</v>
          </cell>
          <cell r="CO189">
            <v>1</v>
          </cell>
          <cell r="CP189">
            <v>1</v>
          </cell>
          <cell r="CQ189">
            <v>1</v>
          </cell>
          <cell r="CR189">
            <v>1</v>
          </cell>
          <cell r="CS189">
            <v>1</v>
          </cell>
          <cell r="CT189">
            <v>1</v>
          </cell>
          <cell r="CU189">
            <v>1</v>
          </cell>
          <cell r="CV189">
            <v>1</v>
          </cell>
          <cell r="CW189">
            <v>1</v>
          </cell>
          <cell r="CX189">
            <v>1</v>
          </cell>
          <cell r="CY189">
            <v>1</v>
          </cell>
          <cell r="CZ189">
            <v>1</v>
          </cell>
          <cell r="DA189">
            <v>1</v>
          </cell>
          <cell r="DB189">
            <v>1</v>
          </cell>
          <cell r="DC189">
            <v>1</v>
          </cell>
          <cell r="DD189">
            <v>1</v>
          </cell>
          <cell r="DE189">
            <v>1</v>
          </cell>
          <cell r="DF189">
            <v>1</v>
          </cell>
          <cell r="DG189">
            <v>1</v>
          </cell>
          <cell r="DH189">
            <v>1</v>
          </cell>
          <cell r="DI189">
            <v>1</v>
          </cell>
          <cell r="DJ189">
            <v>1</v>
          </cell>
          <cell r="DK189">
            <v>1</v>
          </cell>
          <cell r="DL189">
            <v>1</v>
          </cell>
          <cell r="DM189">
            <v>1</v>
          </cell>
          <cell r="DN189">
            <v>1</v>
          </cell>
          <cell r="DO189">
            <v>1</v>
          </cell>
          <cell r="DP189">
            <v>1</v>
          </cell>
          <cell r="DQ189">
            <v>1</v>
          </cell>
          <cell r="DR189">
            <v>1</v>
          </cell>
          <cell r="DS189">
            <v>1</v>
          </cell>
          <cell r="DT189">
            <v>1</v>
          </cell>
          <cell r="DU189">
            <v>1</v>
          </cell>
          <cell r="DV189">
            <v>1</v>
          </cell>
          <cell r="DW189">
            <v>1</v>
          </cell>
          <cell r="DX189">
            <v>1</v>
          </cell>
          <cell r="DY189">
            <v>1</v>
          </cell>
          <cell r="DZ189">
            <v>1</v>
          </cell>
          <cell r="EA189">
            <v>1</v>
          </cell>
          <cell r="EB189">
            <v>1</v>
          </cell>
          <cell r="EC189">
            <v>1</v>
          </cell>
          <cell r="ED189">
            <v>1</v>
          </cell>
          <cell r="EE189">
            <v>1</v>
          </cell>
          <cell r="EF189">
            <v>1</v>
          </cell>
          <cell r="EG189">
            <v>1</v>
          </cell>
          <cell r="EH189">
            <v>1</v>
          </cell>
          <cell r="EI189">
            <v>1</v>
          </cell>
          <cell r="EJ189">
            <v>1</v>
          </cell>
          <cell r="EK189">
            <v>1</v>
          </cell>
          <cell r="EL189">
            <v>1</v>
          </cell>
          <cell r="EM189">
            <v>1</v>
          </cell>
          <cell r="EN189">
            <v>1</v>
          </cell>
          <cell r="EO189">
            <v>1</v>
          </cell>
          <cell r="EP189">
            <v>1</v>
          </cell>
          <cell r="EQ189">
            <v>1</v>
          </cell>
          <cell r="ER189">
            <v>1</v>
          </cell>
          <cell r="ES189">
            <v>1</v>
          </cell>
          <cell r="ET189">
            <v>1</v>
          </cell>
          <cell r="EU189">
            <v>1</v>
          </cell>
          <cell r="EV189">
            <v>1</v>
          </cell>
          <cell r="EW189">
            <v>1</v>
          </cell>
          <cell r="EX189">
            <v>1</v>
          </cell>
          <cell r="EY189">
            <v>1</v>
          </cell>
          <cell r="EZ189">
            <v>1</v>
          </cell>
          <cell r="FA189">
            <v>1</v>
          </cell>
          <cell r="FB189">
            <v>1</v>
          </cell>
          <cell r="FC189">
            <v>1</v>
          </cell>
          <cell r="FD189">
            <v>1</v>
          </cell>
          <cell r="FE189">
            <v>1</v>
          </cell>
          <cell r="FF189">
            <v>1</v>
          </cell>
          <cell r="FG189">
            <v>1</v>
          </cell>
          <cell r="FH189">
            <v>1</v>
          </cell>
          <cell r="FI189">
            <v>1</v>
          </cell>
          <cell r="FJ189">
            <v>1</v>
          </cell>
          <cell r="FK189">
            <v>1</v>
          </cell>
          <cell r="FL189">
            <v>1</v>
          </cell>
          <cell r="FM189">
            <v>1</v>
          </cell>
          <cell r="FN189">
            <v>1</v>
          </cell>
          <cell r="FO189">
            <v>1</v>
          </cell>
          <cell r="FP189">
            <v>1</v>
          </cell>
          <cell r="FQ189">
            <v>1</v>
          </cell>
          <cell r="FR189">
            <v>1</v>
          </cell>
          <cell r="FS189">
            <v>1</v>
          </cell>
          <cell r="FT189">
            <v>1</v>
          </cell>
          <cell r="FU189">
            <v>1</v>
          </cell>
          <cell r="FV189">
            <v>1</v>
          </cell>
          <cell r="FW189">
            <v>1</v>
          </cell>
          <cell r="FX189">
            <v>1</v>
          </cell>
          <cell r="FY189">
            <v>1</v>
          </cell>
          <cell r="FZ189">
            <v>1</v>
          </cell>
          <cell r="GA189">
            <v>1</v>
          </cell>
          <cell r="GB189">
            <v>1</v>
          </cell>
          <cell r="GC189">
            <v>1</v>
          </cell>
          <cell r="GD189">
            <v>1</v>
          </cell>
          <cell r="GE189">
            <v>1</v>
          </cell>
          <cell r="GF189">
            <v>1</v>
          </cell>
          <cell r="GG189">
            <v>1</v>
          </cell>
          <cell r="GH189">
            <v>1</v>
          </cell>
          <cell r="GI189">
            <v>1</v>
          </cell>
          <cell r="GJ189">
            <v>1</v>
          </cell>
          <cell r="GK189">
            <v>1</v>
          </cell>
          <cell r="GL189">
            <v>1</v>
          </cell>
          <cell r="GM189">
            <v>1</v>
          </cell>
          <cell r="GN189">
            <v>1</v>
          </cell>
          <cell r="GO189">
            <v>1</v>
          </cell>
          <cell r="GP189">
            <v>1</v>
          </cell>
          <cell r="GQ189">
            <v>1</v>
          </cell>
          <cell r="GR189">
            <v>1</v>
          </cell>
          <cell r="GS189">
            <v>1</v>
          </cell>
          <cell r="GT189">
            <v>1</v>
          </cell>
          <cell r="GU189">
            <v>1</v>
          </cell>
          <cell r="GV189">
            <v>1</v>
          </cell>
          <cell r="GW189">
            <v>1</v>
          </cell>
          <cell r="GX189">
            <v>1</v>
          </cell>
          <cell r="GY189">
            <v>1</v>
          </cell>
          <cell r="GZ189">
            <v>1</v>
          </cell>
          <cell r="HA189">
            <v>1</v>
          </cell>
          <cell r="HB189">
            <v>1</v>
          </cell>
          <cell r="HC189">
            <v>1</v>
          </cell>
          <cell r="HD189">
            <v>1</v>
          </cell>
          <cell r="HE189">
            <v>1</v>
          </cell>
          <cell r="HF189">
            <v>1</v>
          </cell>
          <cell r="HG189">
            <v>1</v>
          </cell>
          <cell r="HH189">
            <v>1</v>
          </cell>
          <cell r="HI189">
            <v>1</v>
          </cell>
          <cell r="HJ189">
            <v>1</v>
          </cell>
          <cell r="HK189">
            <v>1</v>
          </cell>
          <cell r="HL189">
            <v>1</v>
          </cell>
          <cell r="HM189">
            <v>1</v>
          </cell>
          <cell r="HN189">
            <v>1</v>
          </cell>
          <cell r="HO189">
            <v>1</v>
          </cell>
          <cell r="HP189">
            <v>1</v>
          </cell>
          <cell r="HQ189">
            <v>1</v>
          </cell>
          <cell r="HR189">
            <v>1</v>
          </cell>
          <cell r="HS189">
            <v>1</v>
          </cell>
          <cell r="HT189">
            <v>1</v>
          </cell>
          <cell r="HU189">
            <v>1</v>
          </cell>
          <cell r="HV189">
            <v>1</v>
          </cell>
          <cell r="HW189">
            <v>1</v>
          </cell>
          <cell r="HX189">
            <v>1</v>
          </cell>
          <cell r="HY189">
            <v>1</v>
          </cell>
          <cell r="HZ189">
            <v>1</v>
          </cell>
          <cell r="IA189">
            <v>1</v>
          </cell>
          <cell r="IB189">
            <v>1</v>
          </cell>
          <cell r="IC189">
            <v>1</v>
          </cell>
          <cell r="ID189">
            <v>1</v>
          </cell>
          <cell r="IE189">
            <v>1</v>
          </cell>
          <cell r="IF189">
            <v>1</v>
          </cell>
          <cell r="IG189">
            <v>1</v>
          </cell>
          <cell r="IH189">
            <v>1</v>
          </cell>
          <cell r="II189">
            <v>1</v>
          </cell>
          <cell r="IJ189">
            <v>1</v>
          </cell>
          <cell r="IK189">
            <v>1</v>
          </cell>
          <cell r="IL189">
            <v>1</v>
          </cell>
          <cell r="IM189">
            <v>1</v>
          </cell>
          <cell r="IN189">
            <v>1</v>
          </cell>
          <cell r="IO189">
            <v>1</v>
          </cell>
          <cell r="IP189">
            <v>1</v>
          </cell>
          <cell r="IQ189">
            <v>1</v>
          </cell>
          <cell r="IR189">
            <v>1</v>
          </cell>
          <cell r="IS189">
            <v>1</v>
          </cell>
          <cell r="IT189">
            <v>1</v>
          </cell>
          <cell r="IU189">
            <v>1</v>
          </cell>
          <cell r="IV189">
            <v>1</v>
          </cell>
          <cell r="IW189">
            <v>1</v>
          </cell>
          <cell r="IX189">
            <v>1</v>
          </cell>
          <cell r="IY189">
            <v>1</v>
          </cell>
          <cell r="IZ189">
            <v>1</v>
          </cell>
          <cell r="JA189">
            <v>1</v>
          </cell>
        </row>
        <row r="192">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v>0</v>
          </cell>
          <cell r="CW192">
            <v>0</v>
          </cell>
          <cell r="CX192">
            <v>0</v>
          </cell>
          <cell r="CY192">
            <v>0</v>
          </cell>
          <cell r="CZ192">
            <v>0</v>
          </cell>
          <cell r="DA192">
            <v>0</v>
          </cell>
          <cell r="DB192">
            <v>0</v>
          </cell>
          <cell r="DC192">
            <v>0</v>
          </cell>
          <cell r="DD192">
            <v>0</v>
          </cell>
          <cell r="DE192">
            <v>0</v>
          </cell>
          <cell r="DF192">
            <v>0</v>
          </cell>
          <cell r="DG192">
            <v>0</v>
          </cell>
          <cell r="DH192">
            <v>0</v>
          </cell>
          <cell r="DI192">
            <v>0</v>
          </cell>
          <cell r="DJ192">
            <v>0</v>
          </cell>
          <cell r="DK192">
            <v>0</v>
          </cell>
          <cell r="DL192">
            <v>0</v>
          </cell>
          <cell r="DM192">
            <v>0</v>
          </cell>
          <cell r="DN192">
            <v>0</v>
          </cell>
          <cell r="DO192">
            <v>0</v>
          </cell>
          <cell r="DP192">
            <v>0</v>
          </cell>
          <cell r="DQ192">
            <v>0</v>
          </cell>
          <cell r="DR192">
            <v>0</v>
          </cell>
          <cell r="DS192">
            <v>0</v>
          </cell>
          <cell r="DT192">
            <v>0</v>
          </cell>
          <cell r="DU192">
            <v>0</v>
          </cell>
          <cell r="DV192">
            <v>0</v>
          </cell>
          <cell r="DW192">
            <v>0</v>
          </cell>
          <cell r="DX192">
            <v>0</v>
          </cell>
          <cell r="DY192">
            <v>0</v>
          </cell>
          <cell r="DZ192">
            <v>0</v>
          </cell>
          <cell r="EA192">
            <v>0</v>
          </cell>
          <cell r="EB192">
            <v>0</v>
          </cell>
          <cell r="EC192">
            <v>0</v>
          </cell>
          <cell r="ED192">
            <v>0</v>
          </cell>
          <cell r="EE192">
            <v>0</v>
          </cell>
          <cell r="EF192">
            <v>0</v>
          </cell>
          <cell r="EG192">
            <v>0</v>
          </cell>
          <cell r="EH192">
            <v>0</v>
          </cell>
          <cell r="EI192">
            <v>0</v>
          </cell>
          <cell r="EJ192">
            <v>0</v>
          </cell>
          <cell r="EK192">
            <v>0</v>
          </cell>
          <cell r="EL192">
            <v>0</v>
          </cell>
          <cell r="EM192">
            <v>0</v>
          </cell>
          <cell r="EN192">
            <v>0</v>
          </cell>
          <cell r="EO192">
            <v>0</v>
          </cell>
          <cell r="EP192">
            <v>0</v>
          </cell>
          <cell r="EQ192">
            <v>0</v>
          </cell>
          <cell r="ER192">
            <v>0</v>
          </cell>
          <cell r="ES192">
            <v>0</v>
          </cell>
          <cell r="ET192">
            <v>0</v>
          </cell>
          <cell r="EU192">
            <v>0</v>
          </cell>
          <cell r="EV192">
            <v>0</v>
          </cell>
          <cell r="EW192">
            <v>0</v>
          </cell>
          <cell r="EX192">
            <v>0</v>
          </cell>
          <cell r="EY192">
            <v>0</v>
          </cell>
          <cell r="EZ192">
            <v>0</v>
          </cell>
          <cell r="FA192">
            <v>0</v>
          </cell>
          <cell r="FB192">
            <v>0</v>
          </cell>
          <cell r="FC192">
            <v>0</v>
          </cell>
          <cell r="FD192">
            <v>0</v>
          </cell>
          <cell r="FE192">
            <v>0</v>
          </cell>
          <cell r="FF192">
            <v>0</v>
          </cell>
          <cell r="FG192">
            <v>0</v>
          </cell>
          <cell r="FH192">
            <v>0</v>
          </cell>
          <cell r="FI192">
            <v>0</v>
          </cell>
          <cell r="FJ192">
            <v>0</v>
          </cell>
          <cell r="FK192">
            <v>0</v>
          </cell>
          <cell r="FL192">
            <v>0</v>
          </cell>
          <cell r="FM192">
            <v>0</v>
          </cell>
          <cell r="FN192">
            <v>0</v>
          </cell>
          <cell r="FO192">
            <v>0</v>
          </cell>
          <cell r="FP192">
            <v>0</v>
          </cell>
          <cell r="FQ192">
            <v>0</v>
          </cell>
          <cell r="FR192">
            <v>0</v>
          </cell>
          <cell r="FS192">
            <v>0</v>
          </cell>
          <cell r="FT192">
            <v>0</v>
          </cell>
          <cell r="FU192">
            <v>0</v>
          </cell>
          <cell r="FV192">
            <v>0</v>
          </cell>
          <cell r="FW192">
            <v>0</v>
          </cell>
          <cell r="FX192">
            <v>0</v>
          </cell>
          <cell r="FY192">
            <v>0</v>
          </cell>
          <cell r="FZ192">
            <v>0</v>
          </cell>
          <cell r="GA192">
            <v>0</v>
          </cell>
          <cell r="GB192">
            <v>0</v>
          </cell>
          <cell r="GC192">
            <v>0</v>
          </cell>
          <cell r="GD192">
            <v>0</v>
          </cell>
          <cell r="GE192">
            <v>0</v>
          </cell>
          <cell r="GF192">
            <v>0</v>
          </cell>
          <cell r="GG192">
            <v>0</v>
          </cell>
          <cell r="GH192">
            <v>0</v>
          </cell>
          <cell r="GI192">
            <v>0</v>
          </cell>
          <cell r="GJ192">
            <v>0</v>
          </cell>
          <cell r="GK192">
            <v>0</v>
          </cell>
          <cell r="GL192">
            <v>0</v>
          </cell>
          <cell r="GM192">
            <v>0</v>
          </cell>
          <cell r="GN192">
            <v>0</v>
          </cell>
          <cell r="GO192">
            <v>0</v>
          </cell>
          <cell r="GP192">
            <v>0</v>
          </cell>
          <cell r="GQ192">
            <v>0</v>
          </cell>
          <cell r="GR192">
            <v>0</v>
          </cell>
          <cell r="GS192">
            <v>0</v>
          </cell>
          <cell r="GT192">
            <v>0</v>
          </cell>
          <cell r="GU192">
            <v>0</v>
          </cell>
          <cell r="GV192">
            <v>0</v>
          </cell>
          <cell r="GW192">
            <v>0</v>
          </cell>
          <cell r="GX192">
            <v>0</v>
          </cell>
          <cell r="GY192">
            <v>0</v>
          </cell>
          <cell r="GZ192">
            <v>0</v>
          </cell>
          <cell r="HA192">
            <v>0</v>
          </cell>
          <cell r="HB192">
            <v>0</v>
          </cell>
          <cell r="HC192">
            <v>0</v>
          </cell>
          <cell r="HD192">
            <v>0</v>
          </cell>
          <cell r="HE192">
            <v>0</v>
          </cell>
          <cell r="HF192">
            <v>0</v>
          </cell>
          <cell r="HG192">
            <v>0</v>
          </cell>
          <cell r="HH192">
            <v>0</v>
          </cell>
          <cell r="HI192">
            <v>0</v>
          </cell>
          <cell r="HJ192">
            <v>0</v>
          </cell>
          <cell r="HK192">
            <v>0</v>
          </cell>
          <cell r="HL192">
            <v>0</v>
          </cell>
          <cell r="HM192">
            <v>0</v>
          </cell>
          <cell r="HN192">
            <v>0</v>
          </cell>
          <cell r="HO192">
            <v>0</v>
          </cell>
          <cell r="HP192">
            <v>0</v>
          </cell>
          <cell r="HQ192">
            <v>0</v>
          </cell>
          <cell r="HR192">
            <v>0</v>
          </cell>
          <cell r="HS192">
            <v>0</v>
          </cell>
          <cell r="HT192">
            <v>0</v>
          </cell>
          <cell r="HU192">
            <v>0</v>
          </cell>
          <cell r="HV192">
            <v>0</v>
          </cell>
          <cell r="HW192">
            <v>0</v>
          </cell>
          <cell r="HX192">
            <v>0</v>
          </cell>
          <cell r="HY192">
            <v>0</v>
          </cell>
          <cell r="HZ192">
            <v>0</v>
          </cell>
          <cell r="IA192">
            <v>0</v>
          </cell>
          <cell r="IB192">
            <v>0</v>
          </cell>
          <cell r="IC192">
            <v>0</v>
          </cell>
          <cell r="ID192">
            <v>0</v>
          </cell>
          <cell r="IE192">
            <v>0</v>
          </cell>
          <cell r="IF192">
            <v>0</v>
          </cell>
          <cell r="IG192">
            <v>0</v>
          </cell>
          <cell r="IH192">
            <v>0</v>
          </cell>
          <cell r="II192">
            <v>0</v>
          </cell>
          <cell r="IJ192">
            <v>0</v>
          </cell>
          <cell r="IK192">
            <v>0</v>
          </cell>
          <cell r="IL192">
            <v>0</v>
          </cell>
          <cell r="IM192">
            <v>0</v>
          </cell>
          <cell r="IN192">
            <v>0</v>
          </cell>
          <cell r="IO192">
            <v>0</v>
          </cell>
          <cell r="IP192">
            <v>0</v>
          </cell>
          <cell r="IQ192">
            <v>0</v>
          </cell>
          <cell r="IR192">
            <v>0</v>
          </cell>
          <cell r="IS192">
            <v>0</v>
          </cell>
          <cell r="IT192">
            <v>0</v>
          </cell>
          <cell r="IU192">
            <v>0</v>
          </cell>
          <cell r="IV192">
            <v>0</v>
          </cell>
          <cell r="IW192">
            <v>0</v>
          </cell>
          <cell r="IX192">
            <v>0</v>
          </cell>
          <cell r="IY192">
            <v>0</v>
          </cell>
          <cell r="IZ192">
            <v>0</v>
          </cell>
          <cell r="JA192">
            <v>0</v>
          </cell>
        </row>
        <row r="193">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cell r="BP193">
            <v>0</v>
          </cell>
          <cell r="BQ193">
            <v>0</v>
          </cell>
          <cell r="BR193">
            <v>0</v>
          </cell>
          <cell r="BS193">
            <v>0</v>
          </cell>
          <cell r="BT193">
            <v>0</v>
          </cell>
          <cell r="BU193">
            <v>0</v>
          </cell>
          <cell r="BV193">
            <v>0</v>
          </cell>
          <cell r="BW193">
            <v>0</v>
          </cell>
          <cell r="BX193">
            <v>0</v>
          </cell>
          <cell r="BY193">
            <v>0</v>
          </cell>
          <cell r="BZ193">
            <v>0</v>
          </cell>
          <cell r="CA193">
            <v>0</v>
          </cell>
          <cell r="CB193">
            <v>0</v>
          </cell>
          <cell r="CC193">
            <v>0</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v>0</v>
          </cell>
          <cell r="CW193">
            <v>0</v>
          </cell>
          <cell r="CX193">
            <v>0</v>
          </cell>
          <cell r="CY193">
            <v>0</v>
          </cell>
          <cell r="CZ193">
            <v>0</v>
          </cell>
          <cell r="DA193">
            <v>0</v>
          </cell>
          <cell r="DB193">
            <v>0</v>
          </cell>
          <cell r="DC193">
            <v>0</v>
          </cell>
          <cell r="DD193">
            <v>0</v>
          </cell>
          <cell r="DE193">
            <v>0</v>
          </cell>
          <cell r="DF193">
            <v>0</v>
          </cell>
          <cell r="DG193">
            <v>0</v>
          </cell>
          <cell r="DH193">
            <v>0</v>
          </cell>
          <cell r="DI193">
            <v>0</v>
          </cell>
          <cell r="DJ193">
            <v>0</v>
          </cell>
          <cell r="DK193">
            <v>0</v>
          </cell>
          <cell r="DL193">
            <v>0</v>
          </cell>
          <cell r="DM193">
            <v>0</v>
          </cell>
          <cell r="DN193">
            <v>0</v>
          </cell>
          <cell r="DO193">
            <v>0</v>
          </cell>
          <cell r="DP193">
            <v>0</v>
          </cell>
          <cell r="DQ193">
            <v>0</v>
          </cell>
          <cell r="DR193">
            <v>0</v>
          </cell>
          <cell r="DS193">
            <v>0</v>
          </cell>
          <cell r="DT193">
            <v>0</v>
          </cell>
          <cell r="DU193">
            <v>0</v>
          </cell>
          <cell r="DV193">
            <v>0</v>
          </cell>
          <cell r="DW193">
            <v>0</v>
          </cell>
          <cell r="DX193">
            <v>0</v>
          </cell>
          <cell r="DY193">
            <v>0</v>
          </cell>
          <cell r="DZ193">
            <v>0</v>
          </cell>
          <cell r="EA193">
            <v>0</v>
          </cell>
          <cell r="EB193">
            <v>0</v>
          </cell>
          <cell r="EC193">
            <v>0</v>
          </cell>
          <cell r="ED193">
            <v>0</v>
          </cell>
          <cell r="EE193">
            <v>0</v>
          </cell>
          <cell r="EF193">
            <v>0</v>
          </cell>
          <cell r="EG193">
            <v>0</v>
          </cell>
          <cell r="EH193">
            <v>0</v>
          </cell>
          <cell r="EI193">
            <v>0</v>
          </cell>
          <cell r="EJ193">
            <v>0</v>
          </cell>
          <cell r="EK193">
            <v>0</v>
          </cell>
          <cell r="EL193">
            <v>0</v>
          </cell>
          <cell r="EM193">
            <v>0</v>
          </cell>
          <cell r="EN193">
            <v>0</v>
          </cell>
          <cell r="EO193">
            <v>0</v>
          </cell>
          <cell r="EP193">
            <v>0</v>
          </cell>
          <cell r="EQ193">
            <v>0</v>
          </cell>
          <cell r="ER193">
            <v>0</v>
          </cell>
          <cell r="ES193">
            <v>0</v>
          </cell>
          <cell r="ET193">
            <v>0</v>
          </cell>
          <cell r="EU193">
            <v>0</v>
          </cell>
          <cell r="EV193">
            <v>0</v>
          </cell>
          <cell r="EW193">
            <v>0</v>
          </cell>
          <cell r="EX193">
            <v>0</v>
          </cell>
          <cell r="EY193">
            <v>0</v>
          </cell>
          <cell r="EZ193">
            <v>0</v>
          </cell>
          <cell r="FA193">
            <v>0</v>
          </cell>
          <cell r="FB193">
            <v>0</v>
          </cell>
          <cell r="FC193">
            <v>0</v>
          </cell>
          <cell r="FD193">
            <v>0</v>
          </cell>
          <cell r="FE193">
            <v>0</v>
          </cell>
          <cell r="FF193">
            <v>0</v>
          </cell>
          <cell r="FG193">
            <v>0</v>
          </cell>
          <cell r="FH193">
            <v>0</v>
          </cell>
          <cell r="FI193">
            <v>0</v>
          </cell>
          <cell r="FJ193">
            <v>0</v>
          </cell>
          <cell r="FK193">
            <v>0</v>
          </cell>
          <cell r="FL193">
            <v>0</v>
          </cell>
          <cell r="FM193">
            <v>0</v>
          </cell>
          <cell r="FN193">
            <v>0</v>
          </cell>
          <cell r="FO193">
            <v>0</v>
          </cell>
          <cell r="FP193">
            <v>0</v>
          </cell>
          <cell r="FQ193">
            <v>0</v>
          </cell>
          <cell r="FR193">
            <v>0</v>
          </cell>
          <cell r="FS193">
            <v>0</v>
          </cell>
          <cell r="FT193">
            <v>0</v>
          </cell>
          <cell r="FU193">
            <v>0</v>
          </cell>
          <cell r="FV193">
            <v>0</v>
          </cell>
          <cell r="FW193">
            <v>0</v>
          </cell>
          <cell r="FX193">
            <v>0</v>
          </cell>
          <cell r="FY193">
            <v>0</v>
          </cell>
          <cell r="FZ193">
            <v>0</v>
          </cell>
          <cell r="GA193">
            <v>0</v>
          </cell>
          <cell r="GB193">
            <v>0</v>
          </cell>
          <cell r="GC193">
            <v>0</v>
          </cell>
          <cell r="GD193">
            <v>0</v>
          </cell>
          <cell r="GE193">
            <v>0</v>
          </cell>
          <cell r="GF193">
            <v>0</v>
          </cell>
          <cell r="GG193">
            <v>0</v>
          </cell>
          <cell r="GH193">
            <v>0</v>
          </cell>
          <cell r="GI193">
            <v>0</v>
          </cell>
          <cell r="GJ193">
            <v>0</v>
          </cell>
          <cell r="GK193">
            <v>0</v>
          </cell>
          <cell r="GL193">
            <v>0</v>
          </cell>
          <cell r="GM193">
            <v>0</v>
          </cell>
          <cell r="GN193">
            <v>0</v>
          </cell>
          <cell r="GO193">
            <v>0</v>
          </cell>
          <cell r="GP193">
            <v>0</v>
          </cell>
          <cell r="GQ193">
            <v>0</v>
          </cell>
          <cell r="GR193">
            <v>0</v>
          </cell>
          <cell r="GS193">
            <v>0</v>
          </cell>
          <cell r="GT193">
            <v>0</v>
          </cell>
          <cell r="GU193">
            <v>0</v>
          </cell>
          <cell r="GV193">
            <v>0</v>
          </cell>
          <cell r="GW193">
            <v>0</v>
          </cell>
          <cell r="GX193">
            <v>0</v>
          </cell>
          <cell r="GY193">
            <v>0</v>
          </cell>
          <cell r="GZ193">
            <v>0</v>
          </cell>
          <cell r="HA193">
            <v>0</v>
          </cell>
          <cell r="HB193">
            <v>0</v>
          </cell>
          <cell r="HC193">
            <v>0</v>
          </cell>
          <cell r="HD193">
            <v>0</v>
          </cell>
          <cell r="HE193">
            <v>0</v>
          </cell>
          <cell r="HF193">
            <v>0</v>
          </cell>
          <cell r="HG193">
            <v>0</v>
          </cell>
          <cell r="HH193">
            <v>0</v>
          </cell>
          <cell r="HI193">
            <v>0</v>
          </cell>
          <cell r="HJ193">
            <v>0</v>
          </cell>
          <cell r="HK193">
            <v>0</v>
          </cell>
          <cell r="HL193">
            <v>0</v>
          </cell>
          <cell r="HM193">
            <v>0</v>
          </cell>
          <cell r="HN193">
            <v>0</v>
          </cell>
          <cell r="HO193">
            <v>0</v>
          </cell>
          <cell r="HP193">
            <v>0</v>
          </cell>
          <cell r="HQ193">
            <v>0</v>
          </cell>
          <cell r="HR193">
            <v>0</v>
          </cell>
          <cell r="HS193">
            <v>0</v>
          </cell>
          <cell r="HT193">
            <v>0</v>
          </cell>
          <cell r="HU193">
            <v>0</v>
          </cell>
          <cell r="HV193">
            <v>0</v>
          </cell>
          <cell r="HW193">
            <v>0</v>
          </cell>
          <cell r="HX193">
            <v>0</v>
          </cell>
          <cell r="HY193">
            <v>0</v>
          </cell>
          <cell r="HZ193">
            <v>0</v>
          </cell>
          <cell r="IA193">
            <v>0</v>
          </cell>
          <cell r="IB193">
            <v>0</v>
          </cell>
          <cell r="IC193">
            <v>0</v>
          </cell>
          <cell r="ID193">
            <v>0</v>
          </cell>
          <cell r="IE193">
            <v>0</v>
          </cell>
          <cell r="IF193">
            <v>0</v>
          </cell>
          <cell r="IG193">
            <v>0</v>
          </cell>
          <cell r="IH193">
            <v>0</v>
          </cell>
          <cell r="II193">
            <v>0</v>
          </cell>
          <cell r="IJ193">
            <v>0</v>
          </cell>
          <cell r="IK193">
            <v>0</v>
          </cell>
          <cell r="IL193">
            <v>0</v>
          </cell>
          <cell r="IM193">
            <v>0</v>
          </cell>
          <cell r="IN193">
            <v>0</v>
          </cell>
          <cell r="IO193">
            <v>0</v>
          </cell>
          <cell r="IP193">
            <v>0</v>
          </cell>
          <cell r="IQ193">
            <v>0</v>
          </cell>
          <cell r="IR193">
            <v>0</v>
          </cell>
          <cell r="IS193">
            <v>0</v>
          </cell>
          <cell r="IT193">
            <v>0</v>
          </cell>
          <cell r="IU193">
            <v>0</v>
          </cell>
          <cell r="IV193">
            <v>0</v>
          </cell>
          <cell r="IW193">
            <v>0</v>
          </cell>
          <cell r="IX193">
            <v>0</v>
          </cell>
          <cell r="IY193">
            <v>0</v>
          </cell>
          <cell r="IZ193">
            <v>0</v>
          </cell>
          <cell r="JA193">
            <v>0</v>
          </cell>
        </row>
        <row r="194">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cell r="BP194">
            <v>0</v>
          </cell>
          <cell r="BQ194">
            <v>0</v>
          </cell>
          <cell r="BR194">
            <v>0</v>
          </cell>
          <cell r="BS194">
            <v>0</v>
          </cell>
          <cell r="BT194">
            <v>0</v>
          </cell>
          <cell r="BU194">
            <v>0</v>
          </cell>
          <cell r="BV194">
            <v>0</v>
          </cell>
          <cell r="BW194">
            <v>0</v>
          </cell>
          <cell r="BX194">
            <v>0</v>
          </cell>
          <cell r="BY194">
            <v>0</v>
          </cell>
          <cell r="BZ194">
            <v>0</v>
          </cell>
          <cell r="CA194">
            <v>0</v>
          </cell>
          <cell r="CB194">
            <v>0</v>
          </cell>
          <cell r="CC194">
            <v>0</v>
          </cell>
          <cell r="CD194">
            <v>0</v>
          </cell>
          <cell r="CE194">
            <v>0</v>
          </cell>
          <cell r="CF194">
            <v>0</v>
          </cell>
          <cell r="CG194">
            <v>0</v>
          </cell>
          <cell r="CH194">
            <v>0</v>
          </cell>
          <cell r="CI194">
            <v>0</v>
          </cell>
          <cell r="CJ194">
            <v>0</v>
          </cell>
          <cell r="CK194">
            <v>0</v>
          </cell>
          <cell r="CL194">
            <v>0</v>
          </cell>
          <cell r="CM194">
            <v>0</v>
          </cell>
          <cell r="CN194">
            <v>0</v>
          </cell>
          <cell r="CO194">
            <v>0</v>
          </cell>
          <cell r="CP194">
            <v>0</v>
          </cell>
          <cell r="CQ194">
            <v>0</v>
          </cell>
          <cell r="CR194">
            <v>0</v>
          </cell>
          <cell r="CS194">
            <v>0</v>
          </cell>
          <cell r="CT194">
            <v>0</v>
          </cell>
          <cell r="CU194">
            <v>0</v>
          </cell>
          <cell r="CV194">
            <v>0</v>
          </cell>
          <cell r="CW194">
            <v>0</v>
          </cell>
          <cell r="CX194">
            <v>0</v>
          </cell>
          <cell r="CY194">
            <v>0</v>
          </cell>
          <cell r="CZ194">
            <v>0</v>
          </cell>
          <cell r="DA194">
            <v>0</v>
          </cell>
          <cell r="DB194">
            <v>0</v>
          </cell>
          <cell r="DC194">
            <v>0</v>
          </cell>
          <cell r="DD194">
            <v>0</v>
          </cell>
          <cell r="DE194">
            <v>0</v>
          </cell>
          <cell r="DF194">
            <v>0</v>
          </cell>
          <cell r="DG194">
            <v>0</v>
          </cell>
          <cell r="DH194">
            <v>0</v>
          </cell>
          <cell r="DI194">
            <v>0</v>
          </cell>
          <cell r="DJ194">
            <v>0</v>
          </cell>
          <cell r="DK194">
            <v>0</v>
          </cell>
          <cell r="DL194">
            <v>0</v>
          </cell>
          <cell r="DM194">
            <v>0</v>
          </cell>
          <cell r="DN194">
            <v>0</v>
          </cell>
          <cell r="DO194">
            <v>0</v>
          </cell>
          <cell r="DP194">
            <v>0</v>
          </cell>
          <cell r="DQ194">
            <v>0</v>
          </cell>
          <cell r="DR194">
            <v>0</v>
          </cell>
          <cell r="DS194">
            <v>0</v>
          </cell>
          <cell r="DT194">
            <v>0</v>
          </cell>
          <cell r="DU194">
            <v>0</v>
          </cell>
          <cell r="DV194">
            <v>0</v>
          </cell>
          <cell r="DW194">
            <v>0</v>
          </cell>
          <cell r="DX194">
            <v>0</v>
          </cell>
          <cell r="DY194">
            <v>0</v>
          </cell>
          <cell r="DZ194">
            <v>0</v>
          </cell>
          <cell r="EA194">
            <v>0</v>
          </cell>
          <cell r="EB194">
            <v>0</v>
          </cell>
          <cell r="EC194">
            <v>0</v>
          </cell>
          <cell r="ED194">
            <v>0</v>
          </cell>
          <cell r="EE194">
            <v>0</v>
          </cell>
          <cell r="EF194">
            <v>0</v>
          </cell>
          <cell r="EG194">
            <v>0</v>
          </cell>
          <cell r="EH194">
            <v>0</v>
          </cell>
          <cell r="EI194">
            <v>0</v>
          </cell>
          <cell r="EJ194">
            <v>0</v>
          </cell>
          <cell r="EK194">
            <v>0</v>
          </cell>
          <cell r="EL194">
            <v>0</v>
          </cell>
          <cell r="EM194">
            <v>0</v>
          </cell>
          <cell r="EN194">
            <v>0</v>
          </cell>
          <cell r="EO194">
            <v>0</v>
          </cell>
          <cell r="EP194">
            <v>0</v>
          </cell>
          <cell r="EQ194">
            <v>0</v>
          </cell>
          <cell r="ER194">
            <v>0</v>
          </cell>
          <cell r="ES194">
            <v>0</v>
          </cell>
          <cell r="ET194">
            <v>0</v>
          </cell>
          <cell r="EU194">
            <v>0</v>
          </cell>
          <cell r="EV194">
            <v>0</v>
          </cell>
          <cell r="EW194">
            <v>0</v>
          </cell>
          <cell r="EX194">
            <v>0</v>
          </cell>
          <cell r="EY194">
            <v>0</v>
          </cell>
          <cell r="EZ194">
            <v>0</v>
          </cell>
          <cell r="FA194">
            <v>0</v>
          </cell>
          <cell r="FB194">
            <v>0</v>
          </cell>
          <cell r="FC194">
            <v>0</v>
          </cell>
          <cell r="FD194">
            <v>0</v>
          </cell>
          <cell r="FE194">
            <v>0</v>
          </cell>
          <cell r="FF194">
            <v>0</v>
          </cell>
          <cell r="FG194">
            <v>0</v>
          </cell>
          <cell r="FH194">
            <v>0</v>
          </cell>
          <cell r="FI194">
            <v>0</v>
          </cell>
          <cell r="FJ194">
            <v>0</v>
          </cell>
          <cell r="FK194">
            <v>0</v>
          </cell>
          <cell r="FL194">
            <v>0</v>
          </cell>
          <cell r="FM194">
            <v>0</v>
          </cell>
          <cell r="FN194">
            <v>0</v>
          </cell>
          <cell r="FO194">
            <v>0</v>
          </cell>
          <cell r="FP194">
            <v>0</v>
          </cell>
          <cell r="FQ194">
            <v>0</v>
          </cell>
          <cell r="FR194">
            <v>0</v>
          </cell>
          <cell r="FS194">
            <v>0</v>
          </cell>
          <cell r="FT194">
            <v>0</v>
          </cell>
          <cell r="FU194">
            <v>0</v>
          </cell>
          <cell r="FV194">
            <v>0</v>
          </cell>
          <cell r="FW194">
            <v>0</v>
          </cell>
          <cell r="FX194">
            <v>0</v>
          </cell>
          <cell r="FY194">
            <v>0</v>
          </cell>
          <cell r="FZ194">
            <v>0</v>
          </cell>
          <cell r="GA194">
            <v>0</v>
          </cell>
          <cell r="GB194">
            <v>0</v>
          </cell>
          <cell r="GC194">
            <v>0</v>
          </cell>
          <cell r="GD194">
            <v>0</v>
          </cell>
          <cell r="GE194">
            <v>0</v>
          </cell>
          <cell r="GF194">
            <v>0</v>
          </cell>
          <cell r="GG194">
            <v>0</v>
          </cell>
          <cell r="GH194">
            <v>0</v>
          </cell>
          <cell r="GI194">
            <v>0</v>
          </cell>
          <cell r="GJ194">
            <v>0</v>
          </cell>
          <cell r="GK194">
            <v>0</v>
          </cell>
          <cell r="GL194">
            <v>0</v>
          </cell>
          <cell r="GM194">
            <v>0</v>
          </cell>
          <cell r="GN194">
            <v>0</v>
          </cell>
          <cell r="GO194">
            <v>0</v>
          </cell>
          <cell r="GP194">
            <v>0</v>
          </cell>
          <cell r="GQ194">
            <v>0</v>
          </cell>
          <cell r="GR194">
            <v>0</v>
          </cell>
          <cell r="GS194">
            <v>0</v>
          </cell>
          <cell r="GT194">
            <v>0</v>
          </cell>
          <cell r="GU194">
            <v>0</v>
          </cell>
          <cell r="GV194">
            <v>0</v>
          </cell>
          <cell r="GW194">
            <v>0</v>
          </cell>
          <cell r="GX194">
            <v>0</v>
          </cell>
          <cell r="GY194">
            <v>0</v>
          </cell>
          <cell r="GZ194">
            <v>0</v>
          </cell>
          <cell r="HA194">
            <v>0</v>
          </cell>
          <cell r="HB194">
            <v>0</v>
          </cell>
          <cell r="HC194">
            <v>0</v>
          </cell>
          <cell r="HD194">
            <v>0</v>
          </cell>
          <cell r="HE194">
            <v>0</v>
          </cell>
          <cell r="HF194">
            <v>0</v>
          </cell>
          <cell r="HG194">
            <v>0</v>
          </cell>
          <cell r="HH194">
            <v>0</v>
          </cell>
          <cell r="HI194">
            <v>0</v>
          </cell>
          <cell r="HJ194">
            <v>0</v>
          </cell>
          <cell r="HK194">
            <v>0</v>
          </cell>
          <cell r="HL194">
            <v>0</v>
          </cell>
          <cell r="HM194">
            <v>0</v>
          </cell>
          <cell r="HN194">
            <v>0</v>
          </cell>
          <cell r="HO194">
            <v>0</v>
          </cell>
          <cell r="HP194">
            <v>0</v>
          </cell>
          <cell r="HQ194">
            <v>0</v>
          </cell>
          <cell r="HR194">
            <v>0</v>
          </cell>
          <cell r="HS194">
            <v>0</v>
          </cell>
          <cell r="HT194">
            <v>0</v>
          </cell>
          <cell r="HU194">
            <v>0</v>
          </cell>
          <cell r="HV194">
            <v>0</v>
          </cell>
          <cell r="HW194">
            <v>0</v>
          </cell>
          <cell r="HX194">
            <v>0</v>
          </cell>
          <cell r="HY194">
            <v>0</v>
          </cell>
          <cell r="HZ194">
            <v>0</v>
          </cell>
          <cell r="IA194">
            <v>0</v>
          </cell>
          <cell r="IB194">
            <v>0</v>
          </cell>
          <cell r="IC194">
            <v>0</v>
          </cell>
          <cell r="ID194">
            <v>0</v>
          </cell>
          <cell r="IE194">
            <v>0</v>
          </cell>
          <cell r="IF194">
            <v>0</v>
          </cell>
          <cell r="IG194">
            <v>0</v>
          </cell>
          <cell r="IH194">
            <v>0</v>
          </cell>
          <cell r="II194">
            <v>0</v>
          </cell>
          <cell r="IJ194">
            <v>0</v>
          </cell>
          <cell r="IK194">
            <v>0</v>
          </cell>
          <cell r="IL194">
            <v>0</v>
          </cell>
          <cell r="IM194">
            <v>0</v>
          </cell>
          <cell r="IN194">
            <v>0</v>
          </cell>
          <cell r="IO194">
            <v>0</v>
          </cell>
          <cell r="IP194">
            <v>0</v>
          </cell>
          <cell r="IQ194">
            <v>0</v>
          </cell>
          <cell r="IR194">
            <v>0</v>
          </cell>
          <cell r="IS194">
            <v>0</v>
          </cell>
          <cell r="IT194">
            <v>0</v>
          </cell>
          <cell r="IU194">
            <v>0</v>
          </cell>
          <cell r="IV194">
            <v>0</v>
          </cell>
          <cell r="IW194">
            <v>0</v>
          </cell>
          <cell r="IX194">
            <v>0</v>
          </cell>
          <cell r="IY194">
            <v>0</v>
          </cell>
          <cell r="IZ194">
            <v>0</v>
          </cell>
          <cell r="JA194">
            <v>0</v>
          </cell>
        </row>
        <row r="197">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cell r="BM197">
            <v>0</v>
          </cell>
          <cell r="BN197">
            <v>0</v>
          </cell>
          <cell r="BO197">
            <v>0</v>
          </cell>
          <cell r="BP197">
            <v>0</v>
          </cell>
          <cell r="BQ197">
            <v>0</v>
          </cell>
          <cell r="BR197">
            <v>0</v>
          </cell>
          <cell r="BS197">
            <v>0</v>
          </cell>
          <cell r="BT197">
            <v>0</v>
          </cell>
          <cell r="BU197">
            <v>0</v>
          </cell>
          <cell r="BV197">
            <v>0</v>
          </cell>
          <cell r="BW197">
            <v>0</v>
          </cell>
          <cell r="BX197">
            <v>0</v>
          </cell>
          <cell r="BY197">
            <v>0</v>
          </cell>
          <cell r="BZ197">
            <v>0</v>
          </cell>
          <cell r="CA197">
            <v>0</v>
          </cell>
          <cell r="CB197">
            <v>0</v>
          </cell>
          <cell r="CC197">
            <v>0</v>
          </cell>
          <cell r="CD197">
            <v>0</v>
          </cell>
          <cell r="CE197">
            <v>0</v>
          </cell>
          <cell r="CF197">
            <v>0</v>
          </cell>
          <cell r="CG197">
            <v>0</v>
          </cell>
          <cell r="CH197">
            <v>0</v>
          </cell>
          <cell r="CI197">
            <v>0</v>
          </cell>
          <cell r="CJ197">
            <v>0</v>
          </cell>
          <cell r="CK197">
            <v>0</v>
          </cell>
          <cell r="CL197">
            <v>0</v>
          </cell>
          <cell r="CM197">
            <v>0</v>
          </cell>
          <cell r="CN197">
            <v>0</v>
          </cell>
          <cell r="CO197">
            <v>0</v>
          </cell>
          <cell r="CP197">
            <v>0</v>
          </cell>
          <cell r="CQ197">
            <v>0</v>
          </cell>
          <cell r="CR197">
            <v>0</v>
          </cell>
          <cell r="CS197">
            <v>0</v>
          </cell>
          <cell r="CT197">
            <v>0</v>
          </cell>
          <cell r="CU197">
            <v>0</v>
          </cell>
          <cell r="CV197">
            <v>0</v>
          </cell>
          <cell r="CW197">
            <v>0</v>
          </cell>
          <cell r="CX197">
            <v>0</v>
          </cell>
          <cell r="CY197">
            <v>0</v>
          </cell>
          <cell r="CZ197">
            <v>0</v>
          </cell>
          <cell r="DA197">
            <v>0</v>
          </cell>
          <cell r="DB197">
            <v>0</v>
          </cell>
          <cell r="DC197">
            <v>0</v>
          </cell>
          <cell r="DD197">
            <v>0</v>
          </cell>
          <cell r="DE197">
            <v>0</v>
          </cell>
          <cell r="DF197">
            <v>0</v>
          </cell>
          <cell r="DG197">
            <v>0</v>
          </cell>
          <cell r="DH197">
            <v>0</v>
          </cell>
          <cell r="DI197">
            <v>0</v>
          </cell>
          <cell r="DJ197">
            <v>0</v>
          </cell>
          <cell r="DK197">
            <v>0</v>
          </cell>
          <cell r="DL197">
            <v>0</v>
          </cell>
          <cell r="DM197">
            <v>0</v>
          </cell>
          <cell r="DN197">
            <v>0</v>
          </cell>
          <cell r="DO197">
            <v>0</v>
          </cell>
          <cell r="DP197">
            <v>0</v>
          </cell>
          <cell r="DQ197">
            <v>0</v>
          </cell>
          <cell r="DR197">
            <v>0</v>
          </cell>
          <cell r="DS197">
            <v>0</v>
          </cell>
          <cell r="DT197">
            <v>0</v>
          </cell>
          <cell r="DU197">
            <v>0</v>
          </cell>
          <cell r="DV197">
            <v>0</v>
          </cell>
          <cell r="DW197">
            <v>0</v>
          </cell>
          <cell r="DX197">
            <v>0</v>
          </cell>
          <cell r="DY197">
            <v>0</v>
          </cell>
          <cell r="DZ197">
            <v>0</v>
          </cell>
          <cell r="EA197">
            <v>0</v>
          </cell>
          <cell r="EB197">
            <v>0</v>
          </cell>
          <cell r="EC197">
            <v>0</v>
          </cell>
          <cell r="ED197">
            <v>0</v>
          </cell>
          <cell r="EE197">
            <v>0</v>
          </cell>
          <cell r="EF197">
            <v>0</v>
          </cell>
          <cell r="EG197">
            <v>0</v>
          </cell>
          <cell r="EH197">
            <v>0</v>
          </cell>
          <cell r="EI197">
            <v>0</v>
          </cell>
          <cell r="EJ197">
            <v>0</v>
          </cell>
          <cell r="EK197">
            <v>0</v>
          </cell>
          <cell r="EL197">
            <v>0</v>
          </cell>
          <cell r="EM197">
            <v>0</v>
          </cell>
          <cell r="EN197">
            <v>0</v>
          </cell>
          <cell r="EO197">
            <v>0</v>
          </cell>
          <cell r="EP197">
            <v>0</v>
          </cell>
          <cell r="EQ197">
            <v>0</v>
          </cell>
          <cell r="ER197">
            <v>0</v>
          </cell>
          <cell r="ES197">
            <v>0</v>
          </cell>
          <cell r="ET197">
            <v>0</v>
          </cell>
          <cell r="EU197">
            <v>0</v>
          </cell>
          <cell r="EV197">
            <v>0</v>
          </cell>
          <cell r="EW197">
            <v>0</v>
          </cell>
          <cell r="EX197">
            <v>0</v>
          </cell>
          <cell r="EY197">
            <v>0</v>
          </cell>
          <cell r="EZ197">
            <v>0</v>
          </cell>
          <cell r="FA197">
            <v>0</v>
          </cell>
          <cell r="FB197">
            <v>0</v>
          </cell>
          <cell r="FC197">
            <v>0</v>
          </cell>
          <cell r="FD197">
            <v>0</v>
          </cell>
          <cell r="FE197">
            <v>0</v>
          </cell>
          <cell r="FF197">
            <v>0</v>
          </cell>
          <cell r="FG197">
            <v>0</v>
          </cell>
          <cell r="FH197">
            <v>0</v>
          </cell>
          <cell r="FI197">
            <v>0</v>
          </cell>
          <cell r="FJ197">
            <v>0</v>
          </cell>
          <cell r="FK197">
            <v>0</v>
          </cell>
          <cell r="FL197">
            <v>0</v>
          </cell>
          <cell r="FM197">
            <v>0</v>
          </cell>
          <cell r="FN197">
            <v>0</v>
          </cell>
          <cell r="FO197">
            <v>0</v>
          </cell>
          <cell r="FP197">
            <v>0</v>
          </cell>
          <cell r="FQ197">
            <v>0</v>
          </cell>
          <cell r="FR197">
            <v>0</v>
          </cell>
          <cell r="FS197">
            <v>0</v>
          </cell>
          <cell r="FT197">
            <v>0</v>
          </cell>
          <cell r="FU197">
            <v>0</v>
          </cell>
          <cell r="FV197">
            <v>0</v>
          </cell>
          <cell r="FW197">
            <v>0</v>
          </cell>
          <cell r="FX197">
            <v>0</v>
          </cell>
          <cell r="FY197">
            <v>0</v>
          </cell>
          <cell r="FZ197">
            <v>0</v>
          </cell>
          <cell r="GA197">
            <v>0</v>
          </cell>
          <cell r="GB197">
            <v>0</v>
          </cell>
          <cell r="GC197">
            <v>0</v>
          </cell>
          <cell r="GD197">
            <v>0</v>
          </cell>
          <cell r="GE197">
            <v>0</v>
          </cell>
          <cell r="GF197">
            <v>0</v>
          </cell>
          <cell r="GG197">
            <v>0</v>
          </cell>
          <cell r="GH197">
            <v>0</v>
          </cell>
          <cell r="GI197">
            <v>0</v>
          </cell>
          <cell r="GJ197">
            <v>0</v>
          </cell>
          <cell r="GK197">
            <v>0</v>
          </cell>
          <cell r="GL197">
            <v>0</v>
          </cell>
          <cell r="GM197">
            <v>0</v>
          </cell>
          <cell r="GN197">
            <v>0</v>
          </cell>
          <cell r="GO197">
            <v>0</v>
          </cell>
          <cell r="GP197">
            <v>0</v>
          </cell>
          <cell r="GQ197">
            <v>0</v>
          </cell>
          <cell r="GR197">
            <v>0</v>
          </cell>
          <cell r="GS197">
            <v>0</v>
          </cell>
          <cell r="GT197">
            <v>0</v>
          </cell>
          <cell r="GU197">
            <v>0</v>
          </cell>
          <cell r="GV197">
            <v>0</v>
          </cell>
          <cell r="GW197">
            <v>0</v>
          </cell>
          <cell r="GX197">
            <v>0</v>
          </cell>
          <cell r="GY197">
            <v>0</v>
          </cell>
          <cell r="GZ197">
            <v>0</v>
          </cell>
          <cell r="HA197">
            <v>0</v>
          </cell>
          <cell r="HB197">
            <v>0</v>
          </cell>
          <cell r="HC197">
            <v>0</v>
          </cell>
          <cell r="HD197">
            <v>0</v>
          </cell>
          <cell r="HE197">
            <v>0</v>
          </cell>
          <cell r="HF197">
            <v>0</v>
          </cell>
          <cell r="HG197">
            <v>0</v>
          </cell>
          <cell r="HH197">
            <v>0</v>
          </cell>
          <cell r="HI197">
            <v>0</v>
          </cell>
          <cell r="HJ197">
            <v>0</v>
          </cell>
          <cell r="HK197">
            <v>0</v>
          </cell>
          <cell r="HL197">
            <v>0</v>
          </cell>
          <cell r="HM197">
            <v>0</v>
          </cell>
          <cell r="HN197">
            <v>0</v>
          </cell>
          <cell r="HO197">
            <v>0</v>
          </cell>
          <cell r="HP197">
            <v>0</v>
          </cell>
          <cell r="HQ197">
            <v>0</v>
          </cell>
          <cell r="HR197">
            <v>0</v>
          </cell>
          <cell r="HS197">
            <v>0</v>
          </cell>
          <cell r="HT197">
            <v>0</v>
          </cell>
          <cell r="HU197">
            <v>0</v>
          </cell>
          <cell r="HV197">
            <v>0</v>
          </cell>
          <cell r="HW197">
            <v>0</v>
          </cell>
          <cell r="HX197">
            <v>0</v>
          </cell>
          <cell r="HY197">
            <v>0</v>
          </cell>
          <cell r="HZ197">
            <v>0</v>
          </cell>
          <cell r="IA197">
            <v>0</v>
          </cell>
          <cell r="IB197">
            <v>0</v>
          </cell>
          <cell r="IC197">
            <v>0</v>
          </cell>
          <cell r="ID197">
            <v>0</v>
          </cell>
          <cell r="IE197">
            <v>0</v>
          </cell>
          <cell r="IF197">
            <v>0</v>
          </cell>
          <cell r="IG197">
            <v>0</v>
          </cell>
          <cell r="IH197">
            <v>0</v>
          </cell>
          <cell r="II197">
            <v>0</v>
          </cell>
          <cell r="IJ197">
            <v>0</v>
          </cell>
          <cell r="IK197">
            <v>0</v>
          </cell>
          <cell r="IL197">
            <v>0</v>
          </cell>
          <cell r="IM197">
            <v>0</v>
          </cell>
          <cell r="IN197">
            <v>0</v>
          </cell>
          <cell r="IO197">
            <v>0</v>
          </cell>
          <cell r="IP197">
            <v>0</v>
          </cell>
          <cell r="IQ197">
            <v>0</v>
          </cell>
          <cell r="IR197">
            <v>0</v>
          </cell>
          <cell r="IS197">
            <v>0</v>
          </cell>
          <cell r="IT197">
            <v>0</v>
          </cell>
          <cell r="IU197">
            <v>0</v>
          </cell>
          <cell r="IV197">
            <v>0</v>
          </cell>
          <cell r="IW197">
            <v>0</v>
          </cell>
          <cell r="IX197">
            <v>0</v>
          </cell>
          <cell r="IY197">
            <v>0</v>
          </cell>
          <cell r="IZ197">
            <v>0</v>
          </cell>
          <cell r="JA197">
            <v>0</v>
          </cell>
        </row>
        <row r="198">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cell r="BM198">
            <v>0</v>
          </cell>
          <cell r="BN198">
            <v>0</v>
          </cell>
          <cell r="BO198">
            <v>0</v>
          </cell>
          <cell r="BP198">
            <v>0</v>
          </cell>
          <cell r="BQ198">
            <v>0</v>
          </cell>
          <cell r="BR198">
            <v>0</v>
          </cell>
          <cell r="BS198">
            <v>0</v>
          </cell>
          <cell r="BT198">
            <v>0</v>
          </cell>
          <cell r="BU198">
            <v>0</v>
          </cell>
          <cell r="BV198">
            <v>0</v>
          </cell>
          <cell r="BW198">
            <v>0</v>
          </cell>
          <cell r="BX198">
            <v>0</v>
          </cell>
          <cell r="BY198">
            <v>0</v>
          </cell>
          <cell r="BZ198">
            <v>0</v>
          </cell>
          <cell r="CA198">
            <v>0</v>
          </cell>
          <cell r="CB198">
            <v>0</v>
          </cell>
          <cell r="CC198">
            <v>0</v>
          </cell>
          <cell r="CD198">
            <v>0</v>
          </cell>
          <cell r="CE198">
            <v>0</v>
          </cell>
          <cell r="CF198">
            <v>0</v>
          </cell>
          <cell r="CG198">
            <v>0</v>
          </cell>
          <cell r="CH198">
            <v>0</v>
          </cell>
          <cell r="CI198">
            <v>0</v>
          </cell>
          <cell r="CJ198">
            <v>0</v>
          </cell>
          <cell r="CK198">
            <v>0</v>
          </cell>
          <cell r="CL198">
            <v>0</v>
          </cell>
          <cell r="CM198">
            <v>0</v>
          </cell>
          <cell r="CN198">
            <v>0</v>
          </cell>
          <cell r="CO198">
            <v>0</v>
          </cell>
          <cell r="CP198">
            <v>0</v>
          </cell>
          <cell r="CQ198">
            <v>0</v>
          </cell>
          <cell r="CR198">
            <v>0</v>
          </cell>
          <cell r="CS198">
            <v>0</v>
          </cell>
          <cell r="CT198">
            <v>0</v>
          </cell>
          <cell r="CU198">
            <v>0</v>
          </cell>
          <cell r="CV198">
            <v>0</v>
          </cell>
          <cell r="CW198">
            <v>0</v>
          </cell>
          <cell r="CX198">
            <v>0</v>
          </cell>
          <cell r="CY198">
            <v>0</v>
          </cell>
          <cell r="CZ198">
            <v>0</v>
          </cell>
          <cell r="DA198">
            <v>0</v>
          </cell>
          <cell r="DB198">
            <v>0</v>
          </cell>
          <cell r="DC198">
            <v>0</v>
          </cell>
          <cell r="DD198">
            <v>0</v>
          </cell>
          <cell r="DE198">
            <v>0</v>
          </cell>
          <cell r="DF198">
            <v>0</v>
          </cell>
          <cell r="DG198">
            <v>0</v>
          </cell>
          <cell r="DH198">
            <v>0</v>
          </cell>
          <cell r="DI198">
            <v>0</v>
          </cell>
          <cell r="DJ198">
            <v>0</v>
          </cell>
          <cell r="DK198">
            <v>0</v>
          </cell>
          <cell r="DL198">
            <v>0</v>
          </cell>
          <cell r="DM198">
            <v>0</v>
          </cell>
          <cell r="DN198">
            <v>0</v>
          </cell>
          <cell r="DO198">
            <v>0</v>
          </cell>
          <cell r="DP198">
            <v>0</v>
          </cell>
          <cell r="DQ198">
            <v>0</v>
          </cell>
          <cell r="DR198">
            <v>0</v>
          </cell>
          <cell r="DS198">
            <v>0</v>
          </cell>
          <cell r="DT198">
            <v>0</v>
          </cell>
          <cell r="DU198">
            <v>0</v>
          </cell>
          <cell r="DV198">
            <v>0</v>
          </cell>
          <cell r="DW198">
            <v>0</v>
          </cell>
          <cell r="DX198">
            <v>0</v>
          </cell>
          <cell r="DY198">
            <v>0</v>
          </cell>
          <cell r="DZ198">
            <v>0</v>
          </cell>
          <cell r="EA198">
            <v>0</v>
          </cell>
          <cell r="EB198">
            <v>0</v>
          </cell>
          <cell r="EC198">
            <v>0</v>
          </cell>
          <cell r="ED198">
            <v>0</v>
          </cell>
          <cell r="EE198">
            <v>0</v>
          </cell>
          <cell r="EF198">
            <v>0</v>
          </cell>
          <cell r="EG198">
            <v>0</v>
          </cell>
          <cell r="EH198">
            <v>0</v>
          </cell>
          <cell r="EI198">
            <v>0</v>
          </cell>
          <cell r="EJ198">
            <v>0</v>
          </cell>
          <cell r="EK198">
            <v>0</v>
          </cell>
          <cell r="EL198">
            <v>0</v>
          </cell>
          <cell r="EM198">
            <v>0</v>
          </cell>
          <cell r="EN198">
            <v>0</v>
          </cell>
          <cell r="EO198">
            <v>0</v>
          </cell>
          <cell r="EP198">
            <v>0</v>
          </cell>
          <cell r="EQ198">
            <v>0</v>
          </cell>
          <cell r="ER198">
            <v>0</v>
          </cell>
          <cell r="ES198">
            <v>0</v>
          </cell>
          <cell r="ET198">
            <v>0</v>
          </cell>
          <cell r="EU198">
            <v>0</v>
          </cell>
          <cell r="EV198">
            <v>0</v>
          </cell>
          <cell r="EW198">
            <v>0</v>
          </cell>
          <cell r="EX198">
            <v>0</v>
          </cell>
          <cell r="EY198">
            <v>0</v>
          </cell>
          <cell r="EZ198">
            <v>0</v>
          </cell>
          <cell r="FA198">
            <v>0</v>
          </cell>
          <cell r="FB198">
            <v>0</v>
          </cell>
          <cell r="FC198">
            <v>0</v>
          </cell>
          <cell r="FD198">
            <v>0</v>
          </cell>
          <cell r="FE198">
            <v>0</v>
          </cell>
          <cell r="FF198">
            <v>0</v>
          </cell>
          <cell r="FG198">
            <v>0</v>
          </cell>
          <cell r="FH198">
            <v>0</v>
          </cell>
          <cell r="FI198">
            <v>0</v>
          </cell>
          <cell r="FJ198">
            <v>0</v>
          </cell>
          <cell r="FK198">
            <v>0</v>
          </cell>
          <cell r="FL198">
            <v>0</v>
          </cell>
          <cell r="FM198">
            <v>0</v>
          </cell>
          <cell r="FN198">
            <v>0</v>
          </cell>
          <cell r="FO198">
            <v>0</v>
          </cell>
          <cell r="FP198">
            <v>0</v>
          </cell>
          <cell r="FQ198">
            <v>0</v>
          </cell>
          <cell r="FR198">
            <v>0</v>
          </cell>
          <cell r="FS198">
            <v>0</v>
          </cell>
          <cell r="FT198">
            <v>0</v>
          </cell>
          <cell r="FU198">
            <v>0</v>
          </cell>
          <cell r="FV198">
            <v>0</v>
          </cell>
          <cell r="FW198">
            <v>0</v>
          </cell>
          <cell r="FX198">
            <v>0</v>
          </cell>
          <cell r="FY198">
            <v>0</v>
          </cell>
          <cell r="FZ198">
            <v>0</v>
          </cell>
          <cell r="GA198">
            <v>0</v>
          </cell>
          <cell r="GB198">
            <v>0</v>
          </cell>
          <cell r="GC198">
            <v>0</v>
          </cell>
          <cell r="GD198">
            <v>0</v>
          </cell>
          <cell r="GE198">
            <v>0</v>
          </cell>
          <cell r="GF198">
            <v>0</v>
          </cell>
          <cell r="GG198">
            <v>0</v>
          </cell>
          <cell r="GH198">
            <v>0</v>
          </cell>
          <cell r="GI198">
            <v>0</v>
          </cell>
          <cell r="GJ198">
            <v>0</v>
          </cell>
          <cell r="GK198">
            <v>0</v>
          </cell>
          <cell r="GL198">
            <v>0</v>
          </cell>
          <cell r="GM198">
            <v>0</v>
          </cell>
          <cell r="GN198">
            <v>0</v>
          </cell>
          <cell r="GO198">
            <v>0</v>
          </cell>
          <cell r="GP198">
            <v>0</v>
          </cell>
          <cell r="GQ198">
            <v>0</v>
          </cell>
          <cell r="GR198">
            <v>0</v>
          </cell>
          <cell r="GS198">
            <v>0</v>
          </cell>
          <cell r="GT198">
            <v>0</v>
          </cell>
          <cell r="GU198">
            <v>0</v>
          </cell>
          <cell r="GV198">
            <v>0</v>
          </cell>
          <cell r="GW198">
            <v>0</v>
          </cell>
          <cell r="GX198">
            <v>0</v>
          </cell>
          <cell r="GY198">
            <v>0</v>
          </cell>
          <cell r="GZ198">
            <v>0</v>
          </cell>
          <cell r="HA198">
            <v>0</v>
          </cell>
          <cell r="HB198">
            <v>0</v>
          </cell>
          <cell r="HC198">
            <v>0</v>
          </cell>
          <cell r="HD198">
            <v>0</v>
          </cell>
          <cell r="HE198">
            <v>0</v>
          </cell>
          <cell r="HF198">
            <v>0</v>
          </cell>
          <cell r="HG198">
            <v>0</v>
          </cell>
          <cell r="HH198">
            <v>0</v>
          </cell>
          <cell r="HI198">
            <v>0</v>
          </cell>
          <cell r="HJ198">
            <v>0</v>
          </cell>
          <cell r="HK198">
            <v>0</v>
          </cell>
          <cell r="HL198">
            <v>0</v>
          </cell>
          <cell r="HM198">
            <v>0</v>
          </cell>
          <cell r="HN198">
            <v>0</v>
          </cell>
          <cell r="HO198">
            <v>0</v>
          </cell>
          <cell r="HP198">
            <v>0</v>
          </cell>
          <cell r="HQ198">
            <v>0</v>
          </cell>
          <cell r="HR198">
            <v>0</v>
          </cell>
          <cell r="HS198">
            <v>0</v>
          </cell>
          <cell r="HT198">
            <v>0</v>
          </cell>
          <cell r="HU198">
            <v>0</v>
          </cell>
          <cell r="HV198">
            <v>0</v>
          </cell>
          <cell r="HW198">
            <v>0</v>
          </cell>
          <cell r="HX198">
            <v>0</v>
          </cell>
          <cell r="HY198">
            <v>0</v>
          </cell>
          <cell r="HZ198">
            <v>0</v>
          </cell>
          <cell r="IA198">
            <v>0</v>
          </cell>
          <cell r="IB198">
            <v>0</v>
          </cell>
          <cell r="IC198">
            <v>0</v>
          </cell>
          <cell r="ID198">
            <v>0</v>
          </cell>
          <cell r="IE198">
            <v>0</v>
          </cell>
          <cell r="IF198">
            <v>0</v>
          </cell>
          <cell r="IG198">
            <v>0</v>
          </cell>
          <cell r="IH198">
            <v>0</v>
          </cell>
          <cell r="II198">
            <v>0</v>
          </cell>
          <cell r="IJ198">
            <v>0</v>
          </cell>
          <cell r="IK198">
            <v>0</v>
          </cell>
          <cell r="IL198">
            <v>0</v>
          </cell>
          <cell r="IM198">
            <v>0</v>
          </cell>
          <cell r="IN198">
            <v>0</v>
          </cell>
          <cell r="IO198">
            <v>0</v>
          </cell>
          <cell r="IP198">
            <v>0</v>
          </cell>
          <cell r="IQ198">
            <v>0</v>
          </cell>
          <cell r="IR198">
            <v>0</v>
          </cell>
          <cell r="IS198">
            <v>0</v>
          </cell>
          <cell r="IT198">
            <v>0</v>
          </cell>
          <cell r="IU198">
            <v>0</v>
          </cell>
          <cell r="IV198">
            <v>0</v>
          </cell>
          <cell r="IW198">
            <v>0</v>
          </cell>
          <cell r="IX198">
            <v>0</v>
          </cell>
          <cell r="IY198">
            <v>0</v>
          </cell>
          <cell r="IZ198">
            <v>0</v>
          </cell>
          <cell r="JA198">
            <v>0</v>
          </cell>
        </row>
        <row r="210">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cell r="BN210">
            <v>0</v>
          </cell>
          <cell r="BO210">
            <v>0</v>
          </cell>
          <cell r="BP210">
            <v>0</v>
          </cell>
          <cell r="BQ210">
            <v>0</v>
          </cell>
          <cell r="BR210">
            <v>0</v>
          </cell>
          <cell r="BS210">
            <v>0</v>
          </cell>
          <cell r="BT210">
            <v>0</v>
          </cell>
          <cell r="BU210">
            <v>0</v>
          </cell>
          <cell r="BV210">
            <v>0</v>
          </cell>
          <cell r="BW210">
            <v>0</v>
          </cell>
          <cell r="BX210">
            <v>0</v>
          </cell>
          <cell r="BY210">
            <v>0</v>
          </cell>
          <cell r="BZ210">
            <v>0</v>
          </cell>
          <cell r="CA210">
            <v>0</v>
          </cell>
          <cell r="CB210">
            <v>0</v>
          </cell>
          <cell r="CC210">
            <v>0</v>
          </cell>
          <cell r="CD210">
            <v>0</v>
          </cell>
          <cell r="CE210">
            <v>0</v>
          </cell>
          <cell r="CF210">
            <v>0</v>
          </cell>
          <cell r="CG210">
            <v>0</v>
          </cell>
          <cell r="CH210">
            <v>0</v>
          </cell>
          <cell r="CI210">
            <v>0</v>
          </cell>
          <cell r="CJ210">
            <v>0</v>
          </cell>
          <cell r="CK210">
            <v>0</v>
          </cell>
          <cell r="CL210">
            <v>0</v>
          </cell>
          <cell r="CM210">
            <v>0</v>
          </cell>
          <cell r="CN210">
            <v>0</v>
          </cell>
          <cell r="CO210">
            <v>0</v>
          </cell>
          <cell r="CP210">
            <v>0</v>
          </cell>
          <cell r="CQ210">
            <v>0</v>
          </cell>
          <cell r="CR210">
            <v>0</v>
          </cell>
          <cell r="CS210">
            <v>0</v>
          </cell>
          <cell r="CT210">
            <v>0</v>
          </cell>
          <cell r="CU210">
            <v>0</v>
          </cell>
          <cell r="CV210">
            <v>0</v>
          </cell>
          <cell r="CW210">
            <v>0</v>
          </cell>
          <cell r="CX210">
            <v>0</v>
          </cell>
          <cell r="CY210">
            <v>0</v>
          </cell>
          <cell r="CZ210">
            <v>0</v>
          </cell>
          <cell r="DA210">
            <v>0</v>
          </cell>
          <cell r="DB210">
            <v>0</v>
          </cell>
          <cell r="DC210">
            <v>0</v>
          </cell>
          <cell r="DD210">
            <v>0</v>
          </cell>
          <cell r="DE210">
            <v>0</v>
          </cell>
          <cell r="DF210">
            <v>0</v>
          </cell>
          <cell r="DG210">
            <v>0</v>
          </cell>
          <cell r="DH210">
            <v>0</v>
          </cell>
          <cell r="DI210">
            <v>0</v>
          </cell>
          <cell r="DJ210">
            <v>0</v>
          </cell>
          <cell r="DK210">
            <v>0</v>
          </cell>
          <cell r="DL210">
            <v>0</v>
          </cell>
          <cell r="DM210">
            <v>0</v>
          </cell>
          <cell r="DN210">
            <v>0</v>
          </cell>
          <cell r="DO210">
            <v>0</v>
          </cell>
          <cell r="DP210">
            <v>0</v>
          </cell>
          <cell r="DQ210">
            <v>0</v>
          </cell>
          <cell r="DR210">
            <v>0</v>
          </cell>
          <cell r="DS210">
            <v>0</v>
          </cell>
          <cell r="DT210">
            <v>0</v>
          </cell>
          <cell r="DU210">
            <v>0</v>
          </cell>
          <cell r="DV210">
            <v>0</v>
          </cell>
          <cell r="DW210">
            <v>0</v>
          </cell>
          <cell r="DX210">
            <v>0</v>
          </cell>
          <cell r="DY210">
            <v>0</v>
          </cell>
          <cell r="DZ210">
            <v>0</v>
          </cell>
          <cell r="EA210">
            <v>0</v>
          </cell>
          <cell r="EB210">
            <v>0</v>
          </cell>
          <cell r="EC210">
            <v>0</v>
          </cell>
          <cell r="ED210">
            <v>0</v>
          </cell>
          <cell r="EE210">
            <v>0</v>
          </cell>
          <cell r="EF210">
            <v>0</v>
          </cell>
          <cell r="EG210">
            <v>0</v>
          </cell>
          <cell r="EH210">
            <v>0</v>
          </cell>
          <cell r="EI210">
            <v>0</v>
          </cell>
          <cell r="EJ210">
            <v>0</v>
          </cell>
          <cell r="EK210">
            <v>0</v>
          </cell>
          <cell r="EL210">
            <v>0</v>
          </cell>
          <cell r="EM210">
            <v>0</v>
          </cell>
          <cell r="EN210">
            <v>0</v>
          </cell>
          <cell r="EO210">
            <v>0</v>
          </cell>
          <cell r="EP210">
            <v>0</v>
          </cell>
          <cell r="EQ210">
            <v>0</v>
          </cell>
          <cell r="ER210">
            <v>0</v>
          </cell>
          <cell r="ES210">
            <v>0</v>
          </cell>
          <cell r="ET210">
            <v>0</v>
          </cell>
          <cell r="EU210">
            <v>0</v>
          </cell>
          <cell r="EV210">
            <v>0</v>
          </cell>
          <cell r="EW210">
            <v>0</v>
          </cell>
          <cell r="EX210">
            <v>0</v>
          </cell>
          <cell r="EY210">
            <v>0</v>
          </cell>
          <cell r="EZ210">
            <v>0</v>
          </cell>
          <cell r="FA210">
            <v>0</v>
          </cell>
          <cell r="FB210">
            <v>0</v>
          </cell>
          <cell r="FC210">
            <v>0</v>
          </cell>
          <cell r="FD210">
            <v>0</v>
          </cell>
          <cell r="FE210">
            <v>0</v>
          </cell>
          <cell r="FF210">
            <v>0</v>
          </cell>
          <cell r="FG210">
            <v>0</v>
          </cell>
          <cell r="FH210">
            <v>0</v>
          </cell>
          <cell r="FI210">
            <v>0</v>
          </cell>
          <cell r="FJ210">
            <v>0</v>
          </cell>
          <cell r="FK210">
            <v>0</v>
          </cell>
          <cell r="FL210">
            <v>0</v>
          </cell>
          <cell r="FM210">
            <v>0</v>
          </cell>
          <cell r="FN210">
            <v>0</v>
          </cell>
          <cell r="FO210">
            <v>0</v>
          </cell>
          <cell r="FP210">
            <v>0</v>
          </cell>
          <cell r="FQ210">
            <v>0</v>
          </cell>
          <cell r="FR210">
            <v>0</v>
          </cell>
          <cell r="FS210">
            <v>0</v>
          </cell>
          <cell r="FT210">
            <v>0</v>
          </cell>
          <cell r="FU210">
            <v>0</v>
          </cell>
          <cell r="FV210">
            <v>0</v>
          </cell>
          <cell r="FW210">
            <v>0</v>
          </cell>
          <cell r="FX210">
            <v>0</v>
          </cell>
          <cell r="FY210">
            <v>0</v>
          </cell>
          <cell r="FZ210">
            <v>0</v>
          </cell>
          <cell r="GA210">
            <v>0</v>
          </cell>
          <cell r="GB210">
            <v>0</v>
          </cell>
          <cell r="GC210">
            <v>0</v>
          </cell>
          <cell r="GD210">
            <v>0</v>
          </cell>
          <cell r="GE210">
            <v>0</v>
          </cell>
          <cell r="GF210">
            <v>0</v>
          </cell>
          <cell r="GG210">
            <v>0</v>
          </cell>
          <cell r="GH210">
            <v>0</v>
          </cell>
          <cell r="GI210">
            <v>0</v>
          </cell>
          <cell r="GJ210">
            <v>0</v>
          </cell>
          <cell r="GK210">
            <v>0</v>
          </cell>
          <cell r="GL210">
            <v>0</v>
          </cell>
          <cell r="GM210">
            <v>0</v>
          </cell>
          <cell r="GN210">
            <v>0</v>
          </cell>
          <cell r="GO210">
            <v>0</v>
          </cell>
          <cell r="GP210">
            <v>0</v>
          </cell>
          <cell r="GQ210">
            <v>0</v>
          </cell>
          <cell r="GR210">
            <v>0</v>
          </cell>
          <cell r="GS210">
            <v>0</v>
          </cell>
          <cell r="GT210">
            <v>0</v>
          </cell>
          <cell r="GU210">
            <v>0</v>
          </cell>
          <cell r="GV210">
            <v>0</v>
          </cell>
          <cell r="GW210">
            <v>0</v>
          </cell>
          <cell r="GX210">
            <v>0</v>
          </cell>
          <cell r="GY210">
            <v>0</v>
          </cell>
          <cell r="GZ210">
            <v>0</v>
          </cell>
          <cell r="HA210">
            <v>0</v>
          </cell>
          <cell r="HB210">
            <v>0</v>
          </cell>
          <cell r="HC210">
            <v>0</v>
          </cell>
          <cell r="HD210">
            <v>0</v>
          </cell>
          <cell r="HE210">
            <v>0</v>
          </cell>
          <cell r="HF210">
            <v>0</v>
          </cell>
          <cell r="HG210">
            <v>0</v>
          </cell>
          <cell r="HH210">
            <v>0</v>
          </cell>
          <cell r="HI210">
            <v>0</v>
          </cell>
          <cell r="HJ210">
            <v>0</v>
          </cell>
          <cell r="HK210">
            <v>0</v>
          </cell>
          <cell r="HL210">
            <v>0</v>
          </cell>
          <cell r="HM210">
            <v>0</v>
          </cell>
          <cell r="HN210">
            <v>0</v>
          </cell>
          <cell r="HO210">
            <v>0</v>
          </cell>
          <cell r="HP210">
            <v>0</v>
          </cell>
          <cell r="HQ210">
            <v>0</v>
          </cell>
          <cell r="HR210">
            <v>0</v>
          </cell>
          <cell r="HS210">
            <v>0</v>
          </cell>
          <cell r="HT210">
            <v>0</v>
          </cell>
          <cell r="HU210">
            <v>0</v>
          </cell>
          <cell r="HV210">
            <v>0</v>
          </cell>
          <cell r="HW210">
            <v>0</v>
          </cell>
          <cell r="HX210">
            <v>0</v>
          </cell>
          <cell r="HY210">
            <v>0</v>
          </cell>
          <cell r="HZ210">
            <v>0</v>
          </cell>
          <cell r="IA210">
            <v>0</v>
          </cell>
          <cell r="IB210">
            <v>0</v>
          </cell>
          <cell r="IC210">
            <v>0</v>
          </cell>
          <cell r="ID210">
            <v>0</v>
          </cell>
          <cell r="IE210">
            <v>0</v>
          </cell>
          <cell r="IF210">
            <v>0</v>
          </cell>
          <cell r="IG210">
            <v>0</v>
          </cell>
          <cell r="IH210">
            <v>0</v>
          </cell>
          <cell r="II210">
            <v>0</v>
          </cell>
          <cell r="IJ210">
            <v>0</v>
          </cell>
          <cell r="IK210">
            <v>0</v>
          </cell>
          <cell r="IL210">
            <v>0</v>
          </cell>
          <cell r="IM210">
            <v>0</v>
          </cell>
          <cell r="IN210">
            <v>0</v>
          </cell>
          <cell r="IO210">
            <v>0</v>
          </cell>
          <cell r="IP210">
            <v>0</v>
          </cell>
          <cell r="IQ210">
            <v>0</v>
          </cell>
          <cell r="IR210">
            <v>0</v>
          </cell>
          <cell r="IS210">
            <v>0</v>
          </cell>
          <cell r="IT210">
            <v>0</v>
          </cell>
          <cell r="IU210">
            <v>0</v>
          </cell>
          <cell r="IV210">
            <v>0</v>
          </cell>
          <cell r="IW210">
            <v>0</v>
          </cell>
          <cell r="IX210">
            <v>0</v>
          </cell>
          <cell r="IY210">
            <v>0</v>
          </cell>
          <cell r="IZ210">
            <v>0</v>
          </cell>
          <cell r="JA210">
            <v>0</v>
          </cell>
        </row>
        <row r="216">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cell r="BM216">
            <v>0</v>
          </cell>
          <cell r="BN216">
            <v>0</v>
          </cell>
          <cell r="BO216">
            <v>0</v>
          </cell>
          <cell r="BP216">
            <v>0</v>
          </cell>
          <cell r="BQ216">
            <v>0</v>
          </cell>
          <cell r="BR216">
            <v>0</v>
          </cell>
          <cell r="BS216">
            <v>0</v>
          </cell>
          <cell r="BT216">
            <v>0</v>
          </cell>
          <cell r="BU216">
            <v>0</v>
          </cell>
          <cell r="BV216">
            <v>0</v>
          </cell>
          <cell r="BW216">
            <v>0</v>
          </cell>
          <cell r="BX216">
            <v>0</v>
          </cell>
          <cell r="BY216">
            <v>0</v>
          </cell>
          <cell r="BZ216">
            <v>0</v>
          </cell>
          <cell r="CA216">
            <v>0</v>
          </cell>
          <cell r="CB216">
            <v>0</v>
          </cell>
          <cell r="CC216">
            <v>0</v>
          </cell>
          <cell r="CD216">
            <v>0</v>
          </cell>
          <cell r="CE216">
            <v>0</v>
          </cell>
          <cell r="CF216">
            <v>0</v>
          </cell>
          <cell r="CG216">
            <v>0</v>
          </cell>
          <cell r="CH216">
            <v>0</v>
          </cell>
          <cell r="CI216">
            <v>0</v>
          </cell>
          <cell r="CJ216">
            <v>0</v>
          </cell>
          <cell r="CK216">
            <v>0</v>
          </cell>
          <cell r="CL216">
            <v>0</v>
          </cell>
          <cell r="CM216">
            <v>0</v>
          </cell>
          <cell r="CN216">
            <v>0</v>
          </cell>
          <cell r="CO216">
            <v>0</v>
          </cell>
          <cell r="CP216">
            <v>0</v>
          </cell>
          <cell r="CQ216">
            <v>0</v>
          </cell>
          <cell r="CR216">
            <v>0</v>
          </cell>
          <cell r="CS216">
            <v>0</v>
          </cell>
          <cell r="CT216">
            <v>0</v>
          </cell>
          <cell r="CU216">
            <v>0</v>
          </cell>
          <cell r="CV216">
            <v>0</v>
          </cell>
          <cell r="CW216">
            <v>0</v>
          </cell>
          <cell r="CX216">
            <v>0</v>
          </cell>
          <cell r="CY216">
            <v>0</v>
          </cell>
          <cell r="CZ216">
            <v>0</v>
          </cell>
          <cell r="DA216">
            <v>0</v>
          </cell>
          <cell r="DB216">
            <v>0</v>
          </cell>
          <cell r="DC216">
            <v>0</v>
          </cell>
          <cell r="DD216">
            <v>0</v>
          </cell>
          <cell r="DE216">
            <v>0</v>
          </cell>
          <cell r="DF216">
            <v>0</v>
          </cell>
          <cell r="DG216">
            <v>0</v>
          </cell>
          <cell r="DH216">
            <v>0</v>
          </cell>
          <cell r="DI216">
            <v>0</v>
          </cell>
          <cell r="DJ216">
            <v>0</v>
          </cell>
          <cell r="DK216">
            <v>0</v>
          </cell>
          <cell r="DL216">
            <v>0</v>
          </cell>
          <cell r="DM216">
            <v>0</v>
          </cell>
          <cell r="DN216">
            <v>0</v>
          </cell>
          <cell r="DO216">
            <v>0</v>
          </cell>
          <cell r="DP216">
            <v>0</v>
          </cell>
          <cell r="DQ216">
            <v>0</v>
          </cell>
          <cell r="DR216">
            <v>0</v>
          </cell>
          <cell r="DS216">
            <v>0</v>
          </cell>
          <cell r="DT216">
            <v>0</v>
          </cell>
          <cell r="DU216">
            <v>0</v>
          </cell>
          <cell r="DV216">
            <v>0</v>
          </cell>
          <cell r="DW216">
            <v>0</v>
          </cell>
          <cell r="DX216">
            <v>0</v>
          </cell>
          <cell r="DY216">
            <v>0</v>
          </cell>
          <cell r="DZ216">
            <v>0</v>
          </cell>
          <cell r="EA216">
            <v>0</v>
          </cell>
          <cell r="EB216">
            <v>0</v>
          </cell>
          <cell r="EC216">
            <v>0</v>
          </cell>
          <cell r="ED216">
            <v>0</v>
          </cell>
          <cell r="EE216">
            <v>0</v>
          </cell>
          <cell r="EF216">
            <v>0</v>
          </cell>
          <cell r="EG216">
            <v>0</v>
          </cell>
          <cell r="EH216">
            <v>0</v>
          </cell>
          <cell r="EI216">
            <v>0</v>
          </cell>
          <cell r="EJ216">
            <v>0</v>
          </cell>
          <cell r="EK216">
            <v>0</v>
          </cell>
          <cell r="EL216">
            <v>0</v>
          </cell>
          <cell r="EM216">
            <v>0</v>
          </cell>
          <cell r="EN216">
            <v>0</v>
          </cell>
          <cell r="EO216">
            <v>0</v>
          </cell>
          <cell r="EP216">
            <v>0</v>
          </cell>
          <cell r="EQ216">
            <v>0</v>
          </cell>
          <cell r="ER216">
            <v>0</v>
          </cell>
          <cell r="ES216">
            <v>0</v>
          </cell>
          <cell r="ET216">
            <v>0</v>
          </cell>
          <cell r="EU216">
            <v>0</v>
          </cell>
          <cell r="EV216">
            <v>0</v>
          </cell>
          <cell r="EW216">
            <v>0</v>
          </cell>
          <cell r="EX216">
            <v>0</v>
          </cell>
          <cell r="EY216">
            <v>0</v>
          </cell>
          <cell r="EZ216">
            <v>0</v>
          </cell>
          <cell r="FA216">
            <v>0</v>
          </cell>
          <cell r="FB216">
            <v>0</v>
          </cell>
          <cell r="FC216">
            <v>0</v>
          </cell>
          <cell r="FD216">
            <v>0</v>
          </cell>
          <cell r="FE216">
            <v>0</v>
          </cell>
          <cell r="FF216">
            <v>0</v>
          </cell>
          <cell r="FG216">
            <v>0</v>
          </cell>
          <cell r="FH216">
            <v>0</v>
          </cell>
          <cell r="FI216">
            <v>0</v>
          </cell>
          <cell r="FJ216">
            <v>0</v>
          </cell>
          <cell r="FK216">
            <v>0</v>
          </cell>
          <cell r="FL216">
            <v>0</v>
          </cell>
          <cell r="FM216">
            <v>0</v>
          </cell>
          <cell r="FN216">
            <v>0</v>
          </cell>
          <cell r="FO216">
            <v>0</v>
          </cell>
          <cell r="FP216">
            <v>0</v>
          </cell>
          <cell r="FQ216">
            <v>0</v>
          </cell>
          <cell r="FR216">
            <v>0</v>
          </cell>
          <cell r="FS216">
            <v>0</v>
          </cell>
          <cell r="FT216">
            <v>0</v>
          </cell>
          <cell r="FU216">
            <v>0</v>
          </cell>
          <cell r="FV216">
            <v>0</v>
          </cell>
          <cell r="FW216">
            <v>0</v>
          </cell>
          <cell r="FX216">
            <v>0</v>
          </cell>
          <cell r="FY216">
            <v>0</v>
          </cell>
          <cell r="FZ216">
            <v>0</v>
          </cell>
          <cell r="GA216">
            <v>0</v>
          </cell>
          <cell r="GB216">
            <v>0</v>
          </cell>
          <cell r="GC216">
            <v>0</v>
          </cell>
          <cell r="GD216">
            <v>0</v>
          </cell>
          <cell r="GE216">
            <v>0</v>
          </cell>
          <cell r="GF216">
            <v>0</v>
          </cell>
          <cell r="GG216">
            <v>0</v>
          </cell>
          <cell r="GH216">
            <v>0</v>
          </cell>
          <cell r="GI216">
            <v>0</v>
          </cell>
          <cell r="GJ216">
            <v>0</v>
          </cell>
          <cell r="GK216">
            <v>0</v>
          </cell>
          <cell r="GL216">
            <v>0</v>
          </cell>
          <cell r="GM216">
            <v>0</v>
          </cell>
          <cell r="GN216">
            <v>0</v>
          </cell>
          <cell r="GO216">
            <v>0</v>
          </cell>
          <cell r="GP216">
            <v>0</v>
          </cell>
          <cell r="GQ216">
            <v>0</v>
          </cell>
          <cell r="GR216">
            <v>0</v>
          </cell>
          <cell r="GS216">
            <v>0</v>
          </cell>
          <cell r="GT216">
            <v>0</v>
          </cell>
          <cell r="GU216">
            <v>0</v>
          </cell>
          <cell r="GV216">
            <v>0</v>
          </cell>
          <cell r="GW216">
            <v>0</v>
          </cell>
          <cell r="GX216">
            <v>0</v>
          </cell>
          <cell r="GY216">
            <v>0</v>
          </cell>
          <cell r="GZ216">
            <v>0</v>
          </cell>
          <cell r="HA216">
            <v>0</v>
          </cell>
          <cell r="HB216">
            <v>0</v>
          </cell>
          <cell r="HC216">
            <v>0</v>
          </cell>
          <cell r="HD216">
            <v>0</v>
          </cell>
          <cell r="HE216">
            <v>0</v>
          </cell>
          <cell r="HF216">
            <v>0</v>
          </cell>
          <cell r="HG216">
            <v>0</v>
          </cell>
          <cell r="HH216">
            <v>0</v>
          </cell>
          <cell r="HI216">
            <v>0</v>
          </cell>
          <cell r="HJ216">
            <v>0</v>
          </cell>
          <cell r="HK216">
            <v>0</v>
          </cell>
          <cell r="HL216">
            <v>0</v>
          </cell>
          <cell r="HM216">
            <v>0</v>
          </cell>
          <cell r="HN216">
            <v>0</v>
          </cell>
          <cell r="HO216">
            <v>0</v>
          </cell>
          <cell r="HP216">
            <v>0</v>
          </cell>
          <cell r="HQ216">
            <v>0</v>
          </cell>
          <cell r="HR216">
            <v>0</v>
          </cell>
          <cell r="HS216">
            <v>0</v>
          </cell>
          <cell r="HT216">
            <v>0</v>
          </cell>
          <cell r="HU216">
            <v>0</v>
          </cell>
          <cell r="HV216">
            <v>0</v>
          </cell>
          <cell r="HW216">
            <v>0</v>
          </cell>
          <cell r="HX216">
            <v>0</v>
          </cell>
          <cell r="HY216">
            <v>0</v>
          </cell>
          <cell r="HZ216">
            <v>0</v>
          </cell>
          <cell r="IA216">
            <v>0</v>
          </cell>
          <cell r="IB216">
            <v>0</v>
          </cell>
          <cell r="IC216">
            <v>0</v>
          </cell>
          <cell r="ID216">
            <v>0</v>
          </cell>
          <cell r="IE216">
            <v>0</v>
          </cell>
          <cell r="IF216">
            <v>0</v>
          </cell>
          <cell r="IG216">
            <v>0</v>
          </cell>
          <cell r="IH216">
            <v>0</v>
          </cell>
          <cell r="II216">
            <v>0</v>
          </cell>
          <cell r="IJ216">
            <v>0</v>
          </cell>
          <cell r="IK216">
            <v>0</v>
          </cell>
          <cell r="IL216">
            <v>0</v>
          </cell>
          <cell r="IM216">
            <v>0</v>
          </cell>
          <cell r="IN216">
            <v>0</v>
          </cell>
          <cell r="IO216">
            <v>0</v>
          </cell>
          <cell r="IP216">
            <v>0</v>
          </cell>
          <cell r="IQ216">
            <v>0</v>
          </cell>
          <cell r="IR216">
            <v>0</v>
          </cell>
          <cell r="IS216">
            <v>0</v>
          </cell>
          <cell r="IT216">
            <v>0</v>
          </cell>
          <cell r="IU216">
            <v>0</v>
          </cell>
          <cell r="IV216">
            <v>0</v>
          </cell>
          <cell r="IW216">
            <v>0</v>
          </cell>
          <cell r="IX216">
            <v>0</v>
          </cell>
          <cell r="IY216">
            <v>0</v>
          </cell>
          <cell r="IZ216">
            <v>0</v>
          </cell>
          <cell r="JA216">
            <v>0</v>
          </cell>
        </row>
        <row r="218">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cell r="BM218">
            <v>0</v>
          </cell>
          <cell r="BN218">
            <v>0</v>
          </cell>
          <cell r="BO218">
            <v>0</v>
          </cell>
          <cell r="BP218">
            <v>0</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0</v>
          </cell>
          <cell r="CI218">
            <v>0</v>
          </cell>
          <cell r="CJ218">
            <v>0</v>
          </cell>
          <cell r="CK218">
            <v>0</v>
          </cell>
          <cell r="CL218">
            <v>0</v>
          </cell>
          <cell r="CM218">
            <v>0</v>
          </cell>
          <cell r="CN218">
            <v>0</v>
          </cell>
          <cell r="CO218">
            <v>0</v>
          </cell>
          <cell r="CP218">
            <v>0</v>
          </cell>
          <cell r="CQ218">
            <v>0</v>
          </cell>
          <cell r="CR218">
            <v>0</v>
          </cell>
          <cell r="CS218">
            <v>0</v>
          </cell>
          <cell r="CT218">
            <v>0</v>
          </cell>
          <cell r="CU218">
            <v>0</v>
          </cell>
          <cell r="CV218">
            <v>0</v>
          </cell>
          <cell r="CW218">
            <v>0</v>
          </cell>
          <cell r="CX218">
            <v>0</v>
          </cell>
          <cell r="CY218">
            <v>0</v>
          </cell>
          <cell r="CZ218">
            <v>0</v>
          </cell>
          <cell r="DA218">
            <v>0</v>
          </cell>
          <cell r="DB218">
            <v>0</v>
          </cell>
          <cell r="DC218">
            <v>0</v>
          </cell>
          <cell r="DD218">
            <v>0</v>
          </cell>
          <cell r="DE218">
            <v>0</v>
          </cell>
          <cell r="DF218">
            <v>0</v>
          </cell>
          <cell r="DG218">
            <v>0</v>
          </cell>
          <cell r="DH218">
            <v>0</v>
          </cell>
          <cell r="DI218">
            <v>0</v>
          </cell>
          <cell r="DJ218">
            <v>0</v>
          </cell>
          <cell r="DK218">
            <v>0</v>
          </cell>
          <cell r="DL218">
            <v>0</v>
          </cell>
          <cell r="DM218">
            <v>0</v>
          </cell>
          <cell r="DN218">
            <v>0</v>
          </cell>
          <cell r="DO218">
            <v>0</v>
          </cell>
          <cell r="DP218">
            <v>0</v>
          </cell>
          <cell r="DQ218">
            <v>0</v>
          </cell>
          <cell r="DR218">
            <v>0</v>
          </cell>
          <cell r="DS218">
            <v>0</v>
          </cell>
          <cell r="DT218">
            <v>0</v>
          </cell>
          <cell r="DU218">
            <v>0</v>
          </cell>
          <cell r="DV218">
            <v>0</v>
          </cell>
          <cell r="DW218">
            <v>0</v>
          </cell>
          <cell r="DX218">
            <v>0</v>
          </cell>
          <cell r="DY218">
            <v>0</v>
          </cell>
          <cell r="DZ218">
            <v>0</v>
          </cell>
          <cell r="EA218">
            <v>0</v>
          </cell>
          <cell r="EB218">
            <v>0</v>
          </cell>
          <cell r="EC218">
            <v>0</v>
          </cell>
          <cell r="ED218">
            <v>0</v>
          </cell>
          <cell r="EE218">
            <v>0</v>
          </cell>
          <cell r="EF218">
            <v>0</v>
          </cell>
          <cell r="EG218">
            <v>0</v>
          </cell>
          <cell r="EH218">
            <v>0</v>
          </cell>
          <cell r="EI218">
            <v>0</v>
          </cell>
          <cell r="EJ218">
            <v>0</v>
          </cell>
          <cell r="EK218">
            <v>0</v>
          </cell>
          <cell r="EL218">
            <v>0</v>
          </cell>
          <cell r="EM218">
            <v>0</v>
          </cell>
          <cell r="EN218">
            <v>0</v>
          </cell>
          <cell r="EO218">
            <v>0</v>
          </cell>
          <cell r="EP218">
            <v>0</v>
          </cell>
          <cell r="EQ218">
            <v>0</v>
          </cell>
          <cell r="ER218">
            <v>0</v>
          </cell>
          <cell r="ES218">
            <v>0</v>
          </cell>
          <cell r="ET218">
            <v>0</v>
          </cell>
          <cell r="EU218">
            <v>0</v>
          </cell>
          <cell r="EV218">
            <v>0</v>
          </cell>
          <cell r="EW218">
            <v>0</v>
          </cell>
          <cell r="EX218">
            <v>0</v>
          </cell>
          <cell r="EY218">
            <v>0</v>
          </cell>
          <cell r="EZ218">
            <v>0</v>
          </cell>
          <cell r="FA218">
            <v>0</v>
          </cell>
          <cell r="FB218">
            <v>0</v>
          </cell>
          <cell r="FC218">
            <v>0</v>
          </cell>
          <cell r="FD218">
            <v>0</v>
          </cell>
          <cell r="FE218">
            <v>0</v>
          </cell>
          <cell r="FF218">
            <v>0</v>
          </cell>
          <cell r="FG218">
            <v>0</v>
          </cell>
          <cell r="FH218">
            <v>0</v>
          </cell>
          <cell r="FI218">
            <v>0</v>
          </cell>
          <cell r="FJ218">
            <v>0</v>
          </cell>
          <cell r="FK218">
            <v>0</v>
          </cell>
          <cell r="FL218">
            <v>0</v>
          </cell>
          <cell r="FM218">
            <v>0</v>
          </cell>
          <cell r="FN218">
            <v>0</v>
          </cell>
          <cell r="FO218">
            <v>0</v>
          </cell>
          <cell r="FP218">
            <v>0</v>
          </cell>
          <cell r="FQ218">
            <v>0</v>
          </cell>
          <cell r="FR218">
            <v>0</v>
          </cell>
          <cell r="FS218">
            <v>0</v>
          </cell>
          <cell r="FT218">
            <v>0</v>
          </cell>
          <cell r="FU218">
            <v>0</v>
          </cell>
          <cell r="FV218">
            <v>0</v>
          </cell>
          <cell r="FW218">
            <v>0</v>
          </cell>
          <cell r="FX218">
            <v>0</v>
          </cell>
          <cell r="FY218">
            <v>0</v>
          </cell>
          <cell r="FZ218">
            <v>0</v>
          </cell>
          <cell r="GA218">
            <v>0</v>
          </cell>
          <cell r="GB218">
            <v>0</v>
          </cell>
          <cell r="GC218">
            <v>0</v>
          </cell>
          <cell r="GD218">
            <v>0</v>
          </cell>
          <cell r="GE218">
            <v>0</v>
          </cell>
          <cell r="GF218">
            <v>0</v>
          </cell>
          <cell r="GG218">
            <v>0</v>
          </cell>
          <cell r="GH218">
            <v>0</v>
          </cell>
          <cell r="GI218">
            <v>0</v>
          </cell>
          <cell r="GJ218">
            <v>0</v>
          </cell>
          <cell r="GK218">
            <v>0</v>
          </cell>
          <cell r="GL218">
            <v>0</v>
          </cell>
          <cell r="GM218">
            <v>0</v>
          </cell>
          <cell r="GN218">
            <v>0</v>
          </cell>
          <cell r="GO218">
            <v>0</v>
          </cell>
          <cell r="GP218">
            <v>0</v>
          </cell>
          <cell r="GQ218">
            <v>0</v>
          </cell>
          <cell r="GR218">
            <v>0</v>
          </cell>
          <cell r="GS218">
            <v>0</v>
          </cell>
          <cell r="GT218">
            <v>0</v>
          </cell>
          <cell r="GU218">
            <v>0</v>
          </cell>
          <cell r="GV218">
            <v>0</v>
          </cell>
          <cell r="GW218">
            <v>0</v>
          </cell>
          <cell r="GX218">
            <v>0</v>
          </cell>
          <cell r="GY218">
            <v>0</v>
          </cell>
          <cell r="GZ218">
            <v>0</v>
          </cell>
          <cell r="HA218">
            <v>0</v>
          </cell>
          <cell r="HB218">
            <v>0</v>
          </cell>
          <cell r="HC218">
            <v>0</v>
          </cell>
          <cell r="HD218">
            <v>0</v>
          </cell>
          <cell r="HE218">
            <v>0</v>
          </cell>
          <cell r="HF218">
            <v>0</v>
          </cell>
          <cell r="HG218">
            <v>0</v>
          </cell>
          <cell r="HH218">
            <v>0</v>
          </cell>
          <cell r="HI218">
            <v>0</v>
          </cell>
          <cell r="HJ218">
            <v>0</v>
          </cell>
          <cell r="HK218">
            <v>0</v>
          </cell>
          <cell r="HL218">
            <v>0</v>
          </cell>
          <cell r="HM218">
            <v>0</v>
          </cell>
          <cell r="HN218">
            <v>0</v>
          </cell>
          <cell r="HO218">
            <v>0</v>
          </cell>
          <cell r="HP218">
            <v>0</v>
          </cell>
          <cell r="HQ218">
            <v>0</v>
          </cell>
          <cell r="HR218">
            <v>0</v>
          </cell>
          <cell r="HS218">
            <v>0</v>
          </cell>
          <cell r="HT218">
            <v>0</v>
          </cell>
          <cell r="HU218">
            <v>0</v>
          </cell>
          <cell r="HV218">
            <v>0</v>
          </cell>
          <cell r="HW218">
            <v>0</v>
          </cell>
          <cell r="HX218">
            <v>0</v>
          </cell>
          <cell r="HY218">
            <v>0</v>
          </cell>
          <cell r="HZ218">
            <v>0</v>
          </cell>
          <cell r="IA218">
            <v>0</v>
          </cell>
          <cell r="IB218">
            <v>0</v>
          </cell>
          <cell r="IC218">
            <v>0</v>
          </cell>
          <cell r="ID218">
            <v>0</v>
          </cell>
          <cell r="IE218">
            <v>0</v>
          </cell>
          <cell r="IF218">
            <v>0</v>
          </cell>
          <cell r="IG218">
            <v>0</v>
          </cell>
          <cell r="IH218">
            <v>0</v>
          </cell>
          <cell r="II218">
            <v>0</v>
          </cell>
          <cell r="IJ218">
            <v>0</v>
          </cell>
          <cell r="IK218">
            <v>0</v>
          </cell>
          <cell r="IL218">
            <v>0</v>
          </cell>
          <cell r="IM218">
            <v>0</v>
          </cell>
          <cell r="IN218">
            <v>0</v>
          </cell>
          <cell r="IO218">
            <v>0</v>
          </cell>
          <cell r="IP218">
            <v>0</v>
          </cell>
          <cell r="IQ218">
            <v>0</v>
          </cell>
          <cell r="IR218">
            <v>0</v>
          </cell>
          <cell r="IS218">
            <v>0</v>
          </cell>
          <cell r="IT218">
            <v>0</v>
          </cell>
          <cell r="IU218">
            <v>0</v>
          </cell>
          <cell r="IV218">
            <v>0</v>
          </cell>
          <cell r="IW218">
            <v>0</v>
          </cell>
          <cell r="IX218">
            <v>0</v>
          </cell>
          <cell r="IY218">
            <v>0</v>
          </cell>
          <cell r="IZ218">
            <v>0</v>
          </cell>
          <cell r="JA218">
            <v>0</v>
          </cell>
        </row>
        <row r="221">
          <cell r="L221">
            <v>0.08</v>
          </cell>
          <cell r="M221">
            <v>0.08</v>
          </cell>
          <cell r="N221">
            <v>0.08</v>
          </cell>
          <cell r="O221">
            <v>0.08</v>
          </cell>
          <cell r="P221">
            <v>0.08</v>
          </cell>
          <cell r="Q221">
            <v>0.08</v>
          </cell>
          <cell r="R221">
            <v>0.08</v>
          </cell>
          <cell r="S221">
            <v>0.08</v>
          </cell>
          <cell r="T221">
            <v>0.08</v>
          </cell>
          <cell r="U221">
            <v>0.08</v>
          </cell>
          <cell r="V221">
            <v>0.08</v>
          </cell>
          <cell r="W221">
            <v>0.08</v>
          </cell>
          <cell r="X221">
            <v>0.08</v>
          </cell>
          <cell r="Y221">
            <v>0.08</v>
          </cell>
          <cell r="Z221">
            <v>0.08</v>
          </cell>
          <cell r="AA221">
            <v>0.08</v>
          </cell>
          <cell r="AB221">
            <v>0.08</v>
          </cell>
          <cell r="AC221">
            <v>0.08</v>
          </cell>
          <cell r="AD221">
            <v>0.08</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cell r="BM221">
            <v>0</v>
          </cell>
          <cell r="BN221">
            <v>0</v>
          </cell>
          <cell r="BO221">
            <v>0</v>
          </cell>
          <cell r="BP221">
            <v>0</v>
          </cell>
          <cell r="BQ221">
            <v>0</v>
          </cell>
          <cell r="BR221">
            <v>0</v>
          </cell>
          <cell r="BS221">
            <v>0</v>
          </cell>
          <cell r="BT221">
            <v>0</v>
          </cell>
          <cell r="BU221">
            <v>0</v>
          </cell>
          <cell r="BV221">
            <v>0</v>
          </cell>
          <cell r="BW221">
            <v>0</v>
          </cell>
          <cell r="BX221">
            <v>0</v>
          </cell>
          <cell r="BY221">
            <v>0</v>
          </cell>
          <cell r="BZ221">
            <v>0</v>
          </cell>
          <cell r="CA221">
            <v>0</v>
          </cell>
          <cell r="CB221">
            <v>0</v>
          </cell>
          <cell r="CC221">
            <v>0</v>
          </cell>
          <cell r="CD221">
            <v>0</v>
          </cell>
          <cell r="CE221">
            <v>0</v>
          </cell>
          <cell r="CF221">
            <v>0</v>
          </cell>
          <cell r="CG221">
            <v>0</v>
          </cell>
          <cell r="CH221">
            <v>0</v>
          </cell>
          <cell r="CI221">
            <v>0</v>
          </cell>
          <cell r="CJ221">
            <v>0</v>
          </cell>
          <cell r="CK221">
            <v>0</v>
          </cell>
          <cell r="CL221">
            <v>0</v>
          </cell>
          <cell r="CM221">
            <v>0</v>
          </cell>
          <cell r="CN221">
            <v>0</v>
          </cell>
          <cell r="CO221">
            <v>0</v>
          </cell>
          <cell r="CP221">
            <v>0</v>
          </cell>
          <cell r="CQ221">
            <v>0</v>
          </cell>
          <cell r="CR221">
            <v>0</v>
          </cell>
          <cell r="CS221">
            <v>0</v>
          </cell>
          <cell r="CT221">
            <v>0</v>
          </cell>
          <cell r="CU221">
            <v>0</v>
          </cell>
          <cell r="CV221">
            <v>0</v>
          </cell>
          <cell r="CW221">
            <v>0</v>
          </cell>
          <cell r="CX221">
            <v>0</v>
          </cell>
          <cell r="CY221">
            <v>0</v>
          </cell>
          <cell r="CZ221">
            <v>0</v>
          </cell>
          <cell r="DA221">
            <v>0</v>
          </cell>
          <cell r="DB221">
            <v>0</v>
          </cell>
          <cell r="DC221">
            <v>0</v>
          </cell>
          <cell r="DD221">
            <v>0</v>
          </cell>
          <cell r="DE221">
            <v>0</v>
          </cell>
          <cell r="DF221">
            <v>0</v>
          </cell>
          <cell r="DG221">
            <v>0</v>
          </cell>
          <cell r="DH221">
            <v>0</v>
          </cell>
          <cell r="DI221">
            <v>0</v>
          </cell>
          <cell r="DJ221">
            <v>0</v>
          </cell>
          <cell r="DK221">
            <v>0</v>
          </cell>
          <cell r="DL221">
            <v>0</v>
          </cell>
          <cell r="DM221">
            <v>0</v>
          </cell>
          <cell r="DN221">
            <v>0</v>
          </cell>
          <cell r="DO221">
            <v>0</v>
          </cell>
          <cell r="DP221">
            <v>0</v>
          </cell>
          <cell r="DQ221">
            <v>0</v>
          </cell>
          <cell r="DR221">
            <v>0</v>
          </cell>
          <cell r="DS221">
            <v>0</v>
          </cell>
          <cell r="DT221">
            <v>0</v>
          </cell>
          <cell r="DU221">
            <v>0</v>
          </cell>
          <cell r="DV221">
            <v>0</v>
          </cell>
          <cell r="DW221">
            <v>0</v>
          </cell>
          <cell r="DX221">
            <v>0</v>
          </cell>
          <cell r="DY221">
            <v>0</v>
          </cell>
          <cell r="DZ221">
            <v>0</v>
          </cell>
          <cell r="EA221">
            <v>0</v>
          </cell>
          <cell r="EB221">
            <v>0</v>
          </cell>
          <cell r="EC221">
            <v>0</v>
          </cell>
          <cell r="ED221">
            <v>0</v>
          </cell>
          <cell r="EE221">
            <v>0</v>
          </cell>
          <cell r="EF221">
            <v>0</v>
          </cell>
          <cell r="EG221">
            <v>0</v>
          </cell>
          <cell r="EH221">
            <v>0</v>
          </cell>
          <cell r="EI221">
            <v>0</v>
          </cell>
          <cell r="EJ221">
            <v>0</v>
          </cell>
          <cell r="EK221">
            <v>0</v>
          </cell>
          <cell r="EL221">
            <v>0</v>
          </cell>
          <cell r="EM221">
            <v>0</v>
          </cell>
          <cell r="EN221">
            <v>0</v>
          </cell>
          <cell r="EO221">
            <v>0</v>
          </cell>
          <cell r="EP221">
            <v>0</v>
          </cell>
          <cell r="EQ221">
            <v>0</v>
          </cell>
          <cell r="ER221">
            <v>0</v>
          </cell>
          <cell r="ES221">
            <v>0</v>
          </cell>
          <cell r="ET221">
            <v>0</v>
          </cell>
          <cell r="EU221">
            <v>0</v>
          </cell>
          <cell r="EV221">
            <v>0</v>
          </cell>
          <cell r="EW221">
            <v>0</v>
          </cell>
          <cell r="EX221">
            <v>0</v>
          </cell>
          <cell r="EY221">
            <v>0</v>
          </cell>
          <cell r="EZ221">
            <v>0</v>
          </cell>
          <cell r="FA221">
            <v>0</v>
          </cell>
          <cell r="FB221">
            <v>0</v>
          </cell>
          <cell r="FC221">
            <v>0</v>
          </cell>
          <cell r="FD221">
            <v>0</v>
          </cell>
          <cell r="FE221">
            <v>0</v>
          </cell>
          <cell r="FF221">
            <v>0</v>
          </cell>
          <cell r="FG221">
            <v>0</v>
          </cell>
          <cell r="FH221">
            <v>0</v>
          </cell>
          <cell r="FI221">
            <v>0</v>
          </cell>
          <cell r="FJ221">
            <v>0</v>
          </cell>
          <cell r="FK221">
            <v>0</v>
          </cell>
          <cell r="FL221">
            <v>0</v>
          </cell>
          <cell r="FM221">
            <v>0</v>
          </cell>
          <cell r="FN221">
            <v>0</v>
          </cell>
          <cell r="FO221">
            <v>0</v>
          </cell>
          <cell r="FP221">
            <v>0</v>
          </cell>
          <cell r="FQ221">
            <v>0</v>
          </cell>
          <cell r="FR221">
            <v>0</v>
          </cell>
          <cell r="FS221">
            <v>0</v>
          </cell>
          <cell r="FT221">
            <v>0</v>
          </cell>
          <cell r="FU221">
            <v>0</v>
          </cell>
          <cell r="FV221">
            <v>0</v>
          </cell>
          <cell r="FW221">
            <v>0</v>
          </cell>
          <cell r="FX221">
            <v>0</v>
          </cell>
          <cell r="FY221">
            <v>0</v>
          </cell>
          <cell r="FZ221">
            <v>0</v>
          </cell>
          <cell r="GA221">
            <v>0</v>
          </cell>
          <cell r="GB221">
            <v>0</v>
          </cell>
          <cell r="GC221">
            <v>0</v>
          </cell>
          <cell r="GD221">
            <v>0</v>
          </cell>
          <cell r="GE221">
            <v>0</v>
          </cell>
          <cell r="GF221">
            <v>0</v>
          </cell>
          <cell r="GG221">
            <v>0</v>
          </cell>
          <cell r="GH221">
            <v>0</v>
          </cell>
          <cell r="GI221">
            <v>0</v>
          </cell>
          <cell r="GJ221">
            <v>0</v>
          </cell>
          <cell r="GK221">
            <v>0</v>
          </cell>
          <cell r="GL221">
            <v>0</v>
          </cell>
          <cell r="GM221">
            <v>0</v>
          </cell>
          <cell r="GN221">
            <v>0</v>
          </cell>
          <cell r="GO221">
            <v>0</v>
          </cell>
          <cell r="GP221">
            <v>0</v>
          </cell>
          <cell r="GQ221">
            <v>0</v>
          </cell>
          <cell r="GR221">
            <v>0</v>
          </cell>
          <cell r="GS221">
            <v>0</v>
          </cell>
          <cell r="GT221">
            <v>0</v>
          </cell>
          <cell r="GU221">
            <v>0</v>
          </cell>
          <cell r="GV221">
            <v>0</v>
          </cell>
          <cell r="GW221">
            <v>0</v>
          </cell>
          <cell r="GX221">
            <v>0</v>
          </cell>
          <cell r="GY221">
            <v>0</v>
          </cell>
          <cell r="GZ221">
            <v>0</v>
          </cell>
          <cell r="HA221">
            <v>0</v>
          </cell>
          <cell r="HB221">
            <v>0</v>
          </cell>
          <cell r="HC221">
            <v>0</v>
          </cell>
          <cell r="HD221">
            <v>0</v>
          </cell>
          <cell r="HE221">
            <v>0</v>
          </cell>
          <cell r="HF221">
            <v>0</v>
          </cell>
          <cell r="HG221">
            <v>0</v>
          </cell>
          <cell r="HH221">
            <v>0</v>
          </cell>
          <cell r="HI221">
            <v>0</v>
          </cell>
          <cell r="HJ221">
            <v>0</v>
          </cell>
          <cell r="HK221">
            <v>0</v>
          </cell>
          <cell r="HL221">
            <v>0</v>
          </cell>
          <cell r="HM221">
            <v>0</v>
          </cell>
          <cell r="HN221">
            <v>0</v>
          </cell>
          <cell r="HO221">
            <v>0</v>
          </cell>
          <cell r="HP221">
            <v>0</v>
          </cell>
          <cell r="HQ221">
            <v>0</v>
          </cell>
          <cell r="HR221">
            <v>0</v>
          </cell>
          <cell r="HS221">
            <v>0</v>
          </cell>
          <cell r="HT221">
            <v>0</v>
          </cell>
          <cell r="HU221">
            <v>0</v>
          </cell>
          <cell r="HV221">
            <v>0</v>
          </cell>
          <cell r="HW221">
            <v>0</v>
          </cell>
          <cell r="HX221">
            <v>0</v>
          </cell>
          <cell r="HY221">
            <v>0</v>
          </cell>
          <cell r="HZ221">
            <v>0</v>
          </cell>
          <cell r="IA221">
            <v>0</v>
          </cell>
          <cell r="IB221">
            <v>0</v>
          </cell>
          <cell r="IC221">
            <v>0</v>
          </cell>
          <cell r="ID221">
            <v>0</v>
          </cell>
          <cell r="IE221">
            <v>0</v>
          </cell>
          <cell r="IF221">
            <v>0</v>
          </cell>
          <cell r="IG221">
            <v>0</v>
          </cell>
          <cell r="IH221">
            <v>0</v>
          </cell>
          <cell r="II221">
            <v>0</v>
          </cell>
          <cell r="IJ221">
            <v>0</v>
          </cell>
          <cell r="IK221">
            <v>0</v>
          </cell>
          <cell r="IL221">
            <v>0</v>
          </cell>
          <cell r="IM221">
            <v>0</v>
          </cell>
          <cell r="IN221">
            <v>0</v>
          </cell>
          <cell r="IO221">
            <v>0</v>
          </cell>
          <cell r="IP221">
            <v>0</v>
          </cell>
          <cell r="IQ221">
            <v>0</v>
          </cell>
          <cell r="IR221">
            <v>0</v>
          </cell>
          <cell r="IS221">
            <v>0</v>
          </cell>
          <cell r="IT221">
            <v>0</v>
          </cell>
          <cell r="IU221">
            <v>0</v>
          </cell>
          <cell r="IV221">
            <v>0</v>
          </cell>
          <cell r="IW221">
            <v>0</v>
          </cell>
          <cell r="IX221">
            <v>0</v>
          </cell>
          <cell r="IY221">
            <v>0</v>
          </cell>
          <cell r="IZ221">
            <v>0</v>
          </cell>
          <cell r="JA221">
            <v>0</v>
          </cell>
        </row>
        <row r="222">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cell r="BM222">
            <v>0</v>
          </cell>
          <cell r="BN222">
            <v>0</v>
          </cell>
          <cell r="BO222">
            <v>0</v>
          </cell>
          <cell r="BP222">
            <v>0</v>
          </cell>
          <cell r="BQ222">
            <v>0</v>
          </cell>
          <cell r="BR222">
            <v>0</v>
          </cell>
          <cell r="BS222">
            <v>0</v>
          </cell>
          <cell r="BT222">
            <v>0</v>
          </cell>
          <cell r="BU222">
            <v>0</v>
          </cell>
          <cell r="BV222">
            <v>0</v>
          </cell>
          <cell r="BW222">
            <v>0</v>
          </cell>
          <cell r="BX222">
            <v>0</v>
          </cell>
          <cell r="BY222">
            <v>0</v>
          </cell>
          <cell r="BZ222">
            <v>0</v>
          </cell>
          <cell r="CA222">
            <v>0</v>
          </cell>
          <cell r="CB222">
            <v>0</v>
          </cell>
          <cell r="CC222">
            <v>0</v>
          </cell>
          <cell r="CD222">
            <v>0</v>
          </cell>
          <cell r="CE222">
            <v>0</v>
          </cell>
          <cell r="CF222">
            <v>0</v>
          </cell>
          <cell r="CG222">
            <v>0</v>
          </cell>
          <cell r="CH222">
            <v>0</v>
          </cell>
          <cell r="CI222">
            <v>0</v>
          </cell>
          <cell r="CJ222">
            <v>0</v>
          </cell>
          <cell r="CK222">
            <v>0</v>
          </cell>
          <cell r="CL222">
            <v>0</v>
          </cell>
          <cell r="CM222">
            <v>0</v>
          </cell>
          <cell r="CN222">
            <v>0</v>
          </cell>
          <cell r="CO222">
            <v>0</v>
          </cell>
          <cell r="CP222">
            <v>0</v>
          </cell>
          <cell r="CQ222">
            <v>0</v>
          </cell>
          <cell r="CR222">
            <v>0</v>
          </cell>
          <cell r="CS222">
            <v>0</v>
          </cell>
          <cell r="CT222">
            <v>0</v>
          </cell>
          <cell r="CU222">
            <v>0</v>
          </cell>
          <cell r="CV222">
            <v>0</v>
          </cell>
          <cell r="CW222">
            <v>0</v>
          </cell>
          <cell r="CX222">
            <v>0</v>
          </cell>
          <cell r="CY222">
            <v>0</v>
          </cell>
          <cell r="CZ222">
            <v>0</v>
          </cell>
          <cell r="DA222">
            <v>0</v>
          </cell>
          <cell r="DB222">
            <v>0</v>
          </cell>
          <cell r="DC222">
            <v>0</v>
          </cell>
          <cell r="DD222">
            <v>0</v>
          </cell>
          <cell r="DE222">
            <v>0</v>
          </cell>
          <cell r="DF222">
            <v>0</v>
          </cell>
          <cell r="DG222">
            <v>0</v>
          </cell>
          <cell r="DH222">
            <v>0</v>
          </cell>
          <cell r="DI222">
            <v>0</v>
          </cell>
          <cell r="DJ222">
            <v>0</v>
          </cell>
          <cell r="DK222">
            <v>0</v>
          </cell>
          <cell r="DL222">
            <v>0</v>
          </cell>
          <cell r="DM222">
            <v>0</v>
          </cell>
          <cell r="DN222">
            <v>0</v>
          </cell>
          <cell r="DO222">
            <v>0</v>
          </cell>
          <cell r="DP222">
            <v>0</v>
          </cell>
          <cell r="DQ222">
            <v>0</v>
          </cell>
          <cell r="DR222">
            <v>0</v>
          </cell>
          <cell r="DS222">
            <v>0</v>
          </cell>
          <cell r="DT222">
            <v>0</v>
          </cell>
          <cell r="DU222">
            <v>0</v>
          </cell>
          <cell r="DV222">
            <v>0</v>
          </cell>
          <cell r="DW222">
            <v>0</v>
          </cell>
          <cell r="DX222">
            <v>0</v>
          </cell>
          <cell r="DY222">
            <v>0</v>
          </cell>
          <cell r="DZ222">
            <v>0</v>
          </cell>
          <cell r="EA222">
            <v>0</v>
          </cell>
          <cell r="EB222">
            <v>0</v>
          </cell>
          <cell r="EC222">
            <v>0</v>
          </cell>
          <cell r="ED222">
            <v>0</v>
          </cell>
          <cell r="EE222">
            <v>0</v>
          </cell>
          <cell r="EF222">
            <v>0</v>
          </cell>
          <cell r="EG222">
            <v>0</v>
          </cell>
          <cell r="EH222">
            <v>0</v>
          </cell>
          <cell r="EI222">
            <v>0</v>
          </cell>
          <cell r="EJ222">
            <v>0</v>
          </cell>
          <cell r="EK222">
            <v>0</v>
          </cell>
          <cell r="EL222">
            <v>0</v>
          </cell>
          <cell r="EM222">
            <v>0</v>
          </cell>
          <cell r="EN222">
            <v>0</v>
          </cell>
          <cell r="EO222">
            <v>0</v>
          </cell>
          <cell r="EP222">
            <v>0</v>
          </cell>
          <cell r="EQ222">
            <v>0</v>
          </cell>
          <cell r="ER222">
            <v>0</v>
          </cell>
          <cell r="ES222">
            <v>0</v>
          </cell>
          <cell r="ET222">
            <v>0</v>
          </cell>
          <cell r="EU222">
            <v>0</v>
          </cell>
          <cell r="EV222">
            <v>0</v>
          </cell>
          <cell r="EW222">
            <v>0</v>
          </cell>
          <cell r="EX222">
            <v>0</v>
          </cell>
          <cell r="EY222">
            <v>0</v>
          </cell>
          <cell r="EZ222">
            <v>0</v>
          </cell>
          <cell r="FA222">
            <v>0</v>
          </cell>
          <cell r="FB222">
            <v>0</v>
          </cell>
          <cell r="FC222">
            <v>0</v>
          </cell>
          <cell r="FD222">
            <v>0</v>
          </cell>
          <cell r="FE222">
            <v>0</v>
          </cell>
          <cell r="FF222">
            <v>0</v>
          </cell>
          <cell r="FG222">
            <v>0</v>
          </cell>
          <cell r="FH222">
            <v>0</v>
          </cell>
          <cell r="FI222">
            <v>0</v>
          </cell>
          <cell r="FJ222">
            <v>0</v>
          </cell>
          <cell r="FK222">
            <v>0</v>
          </cell>
          <cell r="FL222">
            <v>0</v>
          </cell>
          <cell r="FM222">
            <v>0</v>
          </cell>
          <cell r="FN222">
            <v>0</v>
          </cell>
          <cell r="FO222">
            <v>0</v>
          </cell>
          <cell r="FP222">
            <v>0</v>
          </cell>
          <cell r="FQ222">
            <v>0</v>
          </cell>
          <cell r="FR222">
            <v>0</v>
          </cell>
          <cell r="FS222">
            <v>0</v>
          </cell>
          <cell r="FT222">
            <v>0</v>
          </cell>
          <cell r="FU222">
            <v>0</v>
          </cell>
          <cell r="FV222">
            <v>0</v>
          </cell>
          <cell r="FW222">
            <v>0</v>
          </cell>
          <cell r="FX222">
            <v>0</v>
          </cell>
          <cell r="FY222">
            <v>0</v>
          </cell>
          <cell r="FZ222">
            <v>0</v>
          </cell>
          <cell r="GA222">
            <v>0</v>
          </cell>
          <cell r="GB222">
            <v>0</v>
          </cell>
          <cell r="GC222">
            <v>0</v>
          </cell>
          <cell r="GD222">
            <v>0</v>
          </cell>
          <cell r="GE222">
            <v>0</v>
          </cell>
          <cell r="GF222">
            <v>0</v>
          </cell>
          <cell r="GG222">
            <v>0</v>
          </cell>
          <cell r="GH222">
            <v>0</v>
          </cell>
          <cell r="GI222">
            <v>0</v>
          </cell>
          <cell r="GJ222">
            <v>0</v>
          </cell>
          <cell r="GK222">
            <v>0</v>
          </cell>
          <cell r="GL222">
            <v>0</v>
          </cell>
          <cell r="GM222">
            <v>0</v>
          </cell>
          <cell r="GN222">
            <v>0</v>
          </cell>
          <cell r="GO222">
            <v>0</v>
          </cell>
          <cell r="GP222">
            <v>0</v>
          </cell>
          <cell r="GQ222">
            <v>0</v>
          </cell>
          <cell r="GR222">
            <v>0</v>
          </cell>
          <cell r="GS222">
            <v>0</v>
          </cell>
          <cell r="GT222">
            <v>0</v>
          </cell>
          <cell r="GU222">
            <v>0</v>
          </cell>
          <cell r="GV222">
            <v>0</v>
          </cell>
          <cell r="GW222">
            <v>0</v>
          </cell>
          <cell r="GX222">
            <v>0</v>
          </cell>
          <cell r="GY222">
            <v>0</v>
          </cell>
          <cell r="GZ222">
            <v>0</v>
          </cell>
          <cell r="HA222">
            <v>0</v>
          </cell>
          <cell r="HB222">
            <v>0</v>
          </cell>
          <cell r="HC222">
            <v>0</v>
          </cell>
          <cell r="HD222">
            <v>0</v>
          </cell>
          <cell r="HE222">
            <v>0</v>
          </cell>
          <cell r="HF222">
            <v>0</v>
          </cell>
          <cell r="HG222">
            <v>0</v>
          </cell>
          <cell r="HH222">
            <v>0</v>
          </cell>
          <cell r="HI222">
            <v>0</v>
          </cell>
          <cell r="HJ222">
            <v>0</v>
          </cell>
          <cell r="HK222">
            <v>0</v>
          </cell>
          <cell r="HL222">
            <v>0</v>
          </cell>
          <cell r="HM222">
            <v>0</v>
          </cell>
          <cell r="HN222">
            <v>0</v>
          </cell>
          <cell r="HO222">
            <v>0</v>
          </cell>
          <cell r="HP222">
            <v>0</v>
          </cell>
          <cell r="HQ222">
            <v>0</v>
          </cell>
          <cell r="HR222">
            <v>0</v>
          </cell>
          <cell r="HS222">
            <v>0</v>
          </cell>
          <cell r="HT222">
            <v>0</v>
          </cell>
          <cell r="HU222">
            <v>0</v>
          </cell>
          <cell r="HV222">
            <v>0</v>
          </cell>
          <cell r="HW222">
            <v>0</v>
          </cell>
          <cell r="HX222">
            <v>0</v>
          </cell>
          <cell r="HY222">
            <v>0</v>
          </cell>
          <cell r="HZ222">
            <v>0</v>
          </cell>
          <cell r="IA222">
            <v>0</v>
          </cell>
          <cell r="IB222">
            <v>0</v>
          </cell>
          <cell r="IC222">
            <v>0</v>
          </cell>
          <cell r="ID222">
            <v>0</v>
          </cell>
          <cell r="IE222">
            <v>0</v>
          </cell>
          <cell r="IF222">
            <v>0</v>
          </cell>
          <cell r="IG222">
            <v>0</v>
          </cell>
          <cell r="IH222">
            <v>0</v>
          </cell>
          <cell r="II222">
            <v>0</v>
          </cell>
          <cell r="IJ222">
            <v>0</v>
          </cell>
          <cell r="IK222">
            <v>0</v>
          </cell>
          <cell r="IL222">
            <v>0</v>
          </cell>
          <cell r="IM222">
            <v>0</v>
          </cell>
          <cell r="IN222">
            <v>0</v>
          </cell>
          <cell r="IO222">
            <v>0</v>
          </cell>
          <cell r="IP222">
            <v>0</v>
          </cell>
          <cell r="IQ222">
            <v>0</v>
          </cell>
          <cell r="IR222">
            <v>0</v>
          </cell>
          <cell r="IS222">
            <v>0</v>
          </cell>
          <cell r="IT222">
            <v>0</v>
          </cell>
          <cell r="IU222">
            <v>0</v>
          </cell>
          <cell r="IV222">
            <v>0</v>
          </cell>
          <cell r="IW222">
            <v>0</v>
          </cell>
          <cell r="IX222">
            <v>0</v>
          </cell>
          <cell r="IY222">
            <v>0</v>
          </cell>
          <cell r="IZ222">
            <v>0</v>
          </cell>
          <cell r="JA222">
            <v>0</v>
          </cell>
        </row>
        <row r="227">
          <cell r="L227">
            <v>0</v>
          </cell>
          <cell r="M227">
            <v>0</v>
          </cell>
          <cell r="N227">
            <v>0</v>
          </cell>
          <cell r="O227">
            <v>0</v>
          </cell>
          <cell r="P227">
            <v>0</v>
          </cell>
          <cell r="Q227">
            <v>0</v>
          </cell>
          <cell r="R227">
            <v>0</v>
          </cell>
          <cell r="S227">
            <v>9.4797560287326832E-2</v>
          </cell>
          <cell r="T227">
            <v>8.0435100731144168E-2</v>
          </cell>
          <cell r="U227">
            <v>6.8946443224217543E-2</v>
          </cell>
          <cell r="V227">
            <v>5.9749416855900454E-2</v>
          </cell>
          <cell r="W227">
            <v>5.2395874300066703E-2</v>
          </cell>
          <cell r="X227">
            <v>4.6548846824089288E-2</v>
          </cell>
          <cell r="Y227">
            <v>4.1840579891494215E-2</v>
          </cell>
          <cell r="Z227">
            <v>3.5720615291448397E-2</v>
          </cell>
          <cell r="AA227">
            <v>1.7181243371269604E-2</v>
          </cell>
          <cell r="AB227">
            <v>1.7427500999612631E-2</v>
          </cell>
          <cell r="AC227">
            <v>1.7677454135123592E-2</v>
          </cell>
          <cell r="AD227">
            <v>1.6292003259479625E-2</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0</v>
          </cell>
          <cell r="BU227">
            <v>0</v>
          </cell>
          <cell r="BV227">
            <v>0</v>
          </cell>
          <cell r="BW227">
            <v>0</v>
          </cell>
          <cell r="BX227">
            <v>0</v>
          </cell>
          <cell r="BY227">
            <v>0</v>
          </cell>
          <cell r="BZ227">
            <v>0</v>
          </cell>
          <cell r="CA227">
            <v>0</v>
          </cell>
          <cell r="CB227">
            <v>0</v>
          </cell>
          <cell r="CC227">
            <v>0</v>
          </cell>
          <cell r="CD227">
            <v>0</v>
          </cell>
          <cell r="CE227">
            <v>0</v>
          </cell>
          <cell r="CF227">
            <v>0</v>
          </cell>
          <cell r="CG227">
            <v>0</v>
          </cell>
          <cell r="CH227">
            <v>0</v>
          </cell>
          <cell r="CI227">
            <v>0</v>
          </cell>
          <cell r="CJ227">
            <v>0</v>
          </cell>
          <cell r="CK227">
            <v>0</v>
          </cell>
          <cell r="CL227">
            <v>0</v>
          </cell>
          <cell r="CM227">
            <v>0</v>
          </cell>
          <cell r="CN227">
            <v>0</v>
          </cell>
          <cell r="CO227">
            <v>0</v>
          </cell>
          <cell r="CP227">
            <v>0</v>
          </cell>
          <cell r="CQ227">
            <v>0</v>
          </cell>
          <cell r="CR227">
            <v>0</v>
          </cell>
          <cell r="CS227">
            <v>0</v>
          </cell>
          <cell r="CT227">
            <v>0</v>
          </cell>
          <cell r="CU227">
            <v>0</v>
          </cell>
          <cell r="CV227">
            <v>0</v>
          </cell>
          <cell r="CW227">
            <v>0</v>
          </cell>
          <cell r="CX227">
            <v>0</v>
          </cell>
          <cell r="CY227">
            <v>0</v>
          </cell>
          <cell r="CZ227">
            <v>0</v>
          </cell>
          <cell r="DA227">
            <v>0</v>
          </cell>
          <cell r="DB227">
            <v>0</v>
          </cell>
          <cell r="DC227">
            <v>0</v>
          </cell>
          <cell r="DD227">
            <v>0</v>
          </cell>
          <cell r="DE227">
            <v>0</v>
          </cell>
          <cell r="DF227">
            <v>0</v>
          </cell>
          <cell r="DG227">
            <v>0</v>
          </cell>
          <cell r="DH227">
            <v>0</v>
          </cell>
          <cell r="DI227">
            <v>0</v>
          </cell>
          <cell r="DJ227">
            <v>0</v>
          </cell>
          <cell r="DK227">
            <v>0</v>
          </cell>
          <cell r="DL227">
            <v>0</v>
          </cell>
          <cell r="DM227">
            <v>0</v>
          </cell>
          <cell r="DN227">
            <v>0</v>
          </cell>
          <cell r="DO227">
            <v>0</v>
          </cell>
          <cell r="DP227">
            <v>0</v>
          </cell>
          <cell r="DQ227">
            <v>0</v>
          </cell>
          <cell r="DR227">
            <v>0</v>
          </cell>
          <cell r="DS227">
            <v>0</v>
          </cell>
          <cell r="DT227">
            <v>0</v>
          </cell>
          <cell r="DU227">
            <v>0</v>
          </cell>
          <cell r="DV227">
            <v>0</v>
          </cell>
          <cell r="DW227">
            <v>0</v>
          </cell>
          <cell r="DX227">
            <v>0</v>
          </cell>
          <cell r="DY227">
            <v>0</v>
          </cell>
          <cell r="DZ227">
            <v>0</v>
          </cell>
          <cell r="EA227">
            <v>0</v>
          </cell>
          <cell r="EB227">
            <v>0</v>
          </cell>
          <cell r="EC227">
            <v>0</v>
          </cell>
          <cell r="ED227">
            <v>0</v>
          </cell>
          <cell r="EE227">
            <v>0</v>
          </cell>
          <cell r="EF227">
            <v>0</v>
          </cell>
          <cell r="EG227">
            <v>0</v>
          </cell>
          <cell r="EH227">
            <v>0</v>
          </cell>
          <cell r="EI227">
            <v>0</v>
          </cell>
          <cell r="EJ227">
            <v>0</v>
          </cell>
          <cell r="EK227">
            <v>0</v>
          </cell>
          <cell r="EL227">
            <v>0</v>
          </cell>
          <cell r="EM227">
            <v>0</v>
          </cell>
          <cell r="EN227">
            <v>0</v>
          </cell>
          <cell r="EO227">
            <v>0</v>
          </cell>
          <cell r="EP227">
            <v>0</v>
          </cell>
          <cell r="EQ227">
            <v>0</v>
          </cell>
          <cell r="ER227">
            <v>0</v>
          </cell>
          <cell r="ES227">
            <v>0</v>
          </cell>
          <cell r="ET227">
            <v>0</v>
          </cell>
          <cell r="EU227">
            <v>0</v>
          </cell>
          <cell r="EV227">
            <v>0</v>
          </cell>
          <cell r="EW227">
            <v>0</v>
          </cell>
          <cell r="EX227">
            <v>0</v>
          </cell>
          <cell r="EY227">
            <v>0</v>
          </cell>
          <cell r="EZ227">
            <v>0</v>
          </cell>
          <cell r="FA227">
            <v>0</v>
          </cell>
          <cell r="FB227">
            <v>0</v>
          </cell>
          <cell r="FC227">
            <v>0</v>
          </cell>
          <cell r="FD227">
            <v>0</v>
          </cell>
          <cell r="FE227">
            <v>0</v>
          </cell>
          <cell r="FF227">
            <v>0</v>
          </cell>
          <cell r="FG227">
            <v>0</v>
          </cell>
          <cell r="FH227">
            <v>0</v>
          </cell>
          <cell r="FI227">
            <v>0</v>
          </cell>
          <cell r="FJ227">
            <v>0</v>
          </cell>
          <cell r="FK227">
            <v>0</v>
          </cell>
          <cell r="FL227">
            <v>0</v>
          </cell>
          <cell r="FM227">
            <v>0</v>
          </cell>
          <cell r="FN227">
            <v>0</v>
          </cell>
          <cell r="FO227">
            <v>0</v>
          </cell>
          <cell r="FP227">
            <v>0</v>
          </cell>
          <cell r="FQ227">
            <v>0</v>
          </cell>
          <cell r="FR227">
            <v>0</v>
          </cell>
          <cell r="FS227">
            <v>0</v>
          </cell>
          <cell r="FT227">
            <v>0</v>
          </cell>
          <cell r="FU227">
            <v>0</v>
          </cell>
          <cell r="FV227">
            <v>0</v>
          </cell>
          <cell r="FW227">
            <v>0</v>
          </cell>
          <cell r="FX227">
            <v>0</v>
          </cell>
          <cell r="FY227">
            <v>0</v>
          </cell>
          <cell r="FZ227">
            <v>0</v>
          </cell>
          <cell r="GA227">
            <v>0</v>
          </cell>
          <cell r="GB227">
            <v>0</v>
          </cell>
          <cell r="GC227">
            <v>0</v>
          </cell>
          <cell r="GD227">
            <v>0</v>
          </cell>
          <cell r="GE227">
            <v>0</v>
          </cell>
          <cell r="GF227">
            <v>0</v>
          </cell>
          <cell r="GG227">
            <v>0</v>
          </cell>
          <cell r="GH227">
            <v>0</v>
          </cell>
          <cell r="GI227">
            <v>0</v>
          </cell>
          <cell r="GJ227">
            <v>0</v>
          </cell>
          <cell r="GK227">
            <v>0</v>
          </cell>
          <cell r="GL227">
            <v>0</v>
          </cell>
          <cell r="GM227">
            <v>0</v>
          </cell>
          <cell r="GN227">
            <v>0</v>
          </cell>
          <cell r="GO227">
            <v>0</v>
          </cell>
          <cell r="GP227">
            <v>0</v>
          </cell>
          <cell r="GQ227">
            <v>0</v>
          </cell>
          <cell r="GR227">
            <v>0</v>
          </cell>
          <cell r="GS227">
            <v>0</v>
          </cell>
          <cell r="GT227">
            <v>0</v>
          </cell>
          <cell r="GU227">
            <v>0</v>
          </cell>
          <cell r="GV227">
            <v>0</v>
          </cell>
          <cell r="GW227">
            <v>0</v>
          </cell>
          <cell r="GX227">
            <v>0</v>
          </cell>
          <cell r="GY227">
            <v>0</v>
          </cell>
          <cell r="GZ227">
            <v>0</v>
          </cell>
          <cell r="HA227">
            <v>0</v>
          </cell>
          <cell r="HB227">
            <v>0</v>
          </cell>
          <cell r="HC227">
            <v>0</v>
          </cell>
          <cell r="HD227">
            <v>0</v>
          </cell>
          <cell r="HE227">
            <v>0</v>
          </cell>
          <cell r="HF227">
            <v>0</v>
          </cell>
          <cell r="HG227">
            <v>0</v>
          </cell>
          <cell r="HH227">
            <v>0</v>
          </cell>
          <cell r="HI227">
            <v>0</v>
          </cell>
          <cell r="HJ227">
            <v>0</v>
          </cell>
          <cell r="HK227">
            <v>0</v>
          </cell>
          <cell r="HL227">
            <v>0</v>
          </cell>
          <cell r="HM227">
            <v>0</v>
          </cell>
          <cell r="HN227">
            <v>0</v>
          </cell>
          <cell r="HO227">
            <v>0</v>
          </cell>
          <cell r="HP227">
            <v>0</v>
          </cell>
          <cell r="HQ227">
            <v>0</v>
          </cell>
          <cell r="HR227">
            <v>0</v>
          </cell>
          <cell r="HS227">
            <v>0</v>
          </cell>
          <cell r="HT227">
            <v>0</v>
          </cell>
          <cell r="HU227">
            <v>0</v>
          </cell>
          <cell r="HV227">
            <v>0</v>
          </cell>
          <cell r="HW227">
            <v>0</v>
          </cell>
          <cell r="HX227">
            <v>0</v>
          </cell>
          <cell r="HY227">
            <v>0</v>
          </cell>
          <cell r="HZ227">
            <v>0</v>
          </cell>
          <cell r="IA227">
            <v>0</v>
          </cell>
          <cell r="IB227">
            <v>0</v>
          </cell>
          <cell r="IC227">
            <v>0</v>
          </cell>
          <cell r="ID227">
            <v>0</v>
          </cell>
          <cell r="IE227">
            <v>0</v>
          </cell>
          <cell r="IF227">
            <v>0</v>
          </cell>
          <cell r="IG227">
            <v>0</v>
          </cell>
          <cell r="IH227">
            <v>0</v>
          </cell>
          <cell r="II227">
            <v>0</v>
          </cell>
          <cell r="IJ227">
            <v>0</v>
          </cell>
          <cell r="IK227">
            <v>0</v>
          </cell>
          <cell r="IL227">
            <v>0</v>
          </cell>
          <cell r="IM227">
            <v>0</v>
          </cell>
          <cell r="IN227">
            <v>0</v>
          </cell>
          <cell r="IO227">
            <v>0</v>
          </cell>
          <cell r="IP227">
            <v>0</v>
          </cell>
          <cell r="IQ227">
            <v>0</v>
          </cell>
          <cell r="IR227">
            <v>0</v>
          </cell>
          <cell r="IS227">
            <v>0</v>
          </cell>
          <cell r="IT227">
            <v>0</v>
          </cell>
          <cell r="IU227">
            <v>0</v>
          </cell>
          <cell r="IV227">
            <v>0</v>
          </cell>
          <cell r="IW227">
            <v>0</v>
          </cell>
          <cell r="IX227">
            <v>0</v>
          </cell>
          <cell r="IY227">
            <v>0</v>
          </cell>
          <cell r="IZ227">
            <v>0</v>
          </cell>
          <cell r="JA227">
            <v>0</v>
          </cell>
        </row>
        <row r="231">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cell r="BM231">
            <v>0</v>
          </cell>
          <cell r="BN231">
            <v>0</v>
          </cell>
          <cell r="BO231">
            <v>0</v>
          </cell>
          <cell r="BP231">
            <v>0</v>
          </cell>
          <cell r="BQ231">
            <v>0</v>
          </cell>
          <cell r="BR231">
            <v>0</v>
          </cell>
          <cell r="BS231">
            <v>0</v>
          </cell>
          <cell r="BT231">
            <v>0</v>
          </cell>
          <cell r="BU231">
            <v>0</v>
          </cell>
          <cell r="BV231">
            <v>0</v>
          </cell>
          <cell r="BW231">
            <v>0</v>
          </cell>
          <cell r="BX231">
            <v>0</v>
          </cell>
          <cell r="BY231">
            <v>0</v>
          </cell>
          <cell r="BZ231">
            <v>0</v>
          </cell>
          <cell r="CA231">
            <v>0</v>
          </cell>
          <cell r="CB231">
            <v>0</v>
          </cell>
          <cell r="CC231">
            <v>0</v>
          </cell>
          <cell r="CD231">
            <v>0</v>
          </cell>
          <cell r="CE231">
            <v>0</v>
          </cell>
          <cell r="CF231">
            <v>0</v>
          </cell>
          <cell r="CG231">
            <v>0</v>
          </cell>
          <cell r="CH231">
            <v>0</v>
          </cell>
          <cell r="CI231">
            <v>0</v>
          </cell>
          <cell r="CJ231">
            <v>0</v>
          </cell>
          <cell r="CK231">
            <v>0</v>
          </cell>
          <cell r="CL231">
            <v>0</v>
          </cell>
          <cell r="CM231">
            <v>0</v>
          </cell>
          <cell r="CN231">
            <v>0</v>
          </cell>
          <cell r="CO231">
            <v>0</v>
          </cell>
          <cell r="CP231">
            <v>0</v>
          </cell>
          <cell r="CQ231">
            <v>0</v>
          </cell>
          <cell r="CR231">
            <v>0</v>
          </cell>
          <cell r="CS231">
            <v>0</v>
          </cell>
          <cell r="CT231">
            <v>0</v>
          </cell>
          <cell r="CU231">
            <v>0</v>
          </cell>
          <cell r="CV231">
            <v>0</v>
          </cell>
          <cell r="CW231">
            <v>0</v>
          </cell>
          <cell r="CX231">
            <v>0</v>
          </cell>
          <cell r="CY231">
            <v>0</v>
          </cell>
          <cell r="CZ231">
            <v>0</v>
          </cell>
          <cell r="DA231">
            <v>0</v>
          </cell>
          <cell r="DB231">
            <v>0</v>
          </cell>
          <cell r="DC231">
            <v>0</v>
          </cell>
          <cell r="DD231">
            <v>0</v>
          </cell>
          <cell r="DE231">
            <v>0</v>
          </cell>
          <cell r="DF231">
            <v>0</v>
          </cell>
          <cell r="DG231">
            <v>0</v>
          </cell>
          <cell r="DH231">
            <v>0</v>
          </cell>
          <cell r="DI231">
            <v>0</v>
          </cell>
          <cell r="DJ231">
            <v>0</v>
          </cell>
          <cell r="DK231">
            <v>0</v>
          </cell>
          <cell r="DL231">
            <v>0</v>
          </cell>
          <cell r="DM231">
            <v>0</v>
          </cell>
          <cell r="DN231">
            <v>0</v>
          </cell>
          <cell r="DO231">
            <v>0</v>
          </cell>
          <cell r="DP231">
            <v>0</v>
          </cell>
          <cell r="DQ231">
            <v>0</v>
          </cell>
          <cell r="DR231">
            <v>0</v>
          </cell>
          <cell r="DS231">
            <v>0</v>
          </cell>
          <cell r="DT231">
            <v>0</v>
          </cell>
          <cell r="DU231">
            <v>0</v>
          </cell>
          <cell r="DV231">
            <v>0</v>
          </cell>
          <cell r="DW231">
            <v>0</v>
          </cell>
          <cell r="DX231">
            <v>0</v>
          </cell>
          <cell r="DY231">
            <v>0</v>
          </cell>
          <cell r="DZ231">
            <v>0</v>
          </cell>
          <cell r="EA231">
            <v>0</v>
          </cell>
          <cell r="EB231">
            <v>0</v>
          </cell>
          <cell r="EC231">
            <v>0</v>
          </cell>
          <cell r="ED231">
            <v>0</v>
          </cell>
          <cell r="EE231">
            <v>0</v>
          </cell>
          <cell r="EF231">
            <v>0</v>
          </cell>
          <cell r="EG231">
            <v>0</v>
          </cell>
          <cell r="EH231">
            <v>0</v>
          </cell>
          <cell r="EI231">
            <v>0</v>
          </cell>
          <cell r="EJ231">
            <v>0</v>
          </cell>
          <cell r="EK231">
            <v>0</v>
          </cell>
          <cell r="EL231">
            <v>0</v>
          </cell>
          <cell r="EM231">
            <v>0</v>
          </cell>
          <cell r="EN231">
            <v>0</v>
          </cell>
          <cell r="EO231">
            <v>0</v>
          </cell>
          <cell r="EP231">
            <v>0</v>
          </cell>
          <cell r="EQ231">
            <v>0</v>
          </cell>
          <cell r="ER231">
            <v>0</v>
          </cell>
          <cell r="ES231">
            <v>0</v>
          </cell>
          <cell r="ET231">
            <v>0</v>
          </cell>
          <cell r="EU231">
            <v>0</v>
          </cell>
          <cell r="EV231">
            <v>0</v>
          </cell>
          <cell r="EW231">
            <v>0</v>
          </cell>
          <cell r="EX231">
            <v>0</v>
          </cell>
          <cell r="EY231">
            <v>0</v>
          </cell>
          <cell r="EZ231">
            <v>0</v>
          </cell>
          <cell r="FA231">
            <v>0</v>
          </cell>
          <cell r="FB231">
            <v>0</v>
          </cell>
          <cell r="FC231">
            <v>0</v>
          </cell>
          <cell r="FD231">
            <v>0</v>
          </cell>
          <cell r="FE231">
            <v>0</v>
          </cell>
          <cell r="FF231">
            <v>0</v>
          </cell>
          <cell r="FG231">
            <v>0</v>
          </cell>
          <cell r="FH231">
            <v>0</v>
          </cell>
          <cell r="FI231">
            <v>0</v>
          </cell>
          <cell r="FJ231">
            <v>0</v>
          </cell>
          <cell r="FK231">
            <v>0</v>
          </cell>
          <cell r="FL231">
            <v>0</v>
          </cell>
          <cell r="FM231">
            <v>0</v>
          </cell>
          <cell r="FN231">
            <v>0</v>
          </cell>
          <cell r="FO231">
            <v>0</v>
          </cell>
          <cell r="FP231">
            <v>0</v>
          </cell>
          <cell r="FQ231">
            <v>0</v>
          </cell>
          <cell r="FR231">
            <v>0</v>
          </cell>
          <cell r="FS231">
            <v>0</v>
          </cell>
          <cell r="FT231">
            <v>0</v>
          </cell>
          <cell r="FU231">
            <v>0</v>
          </cell>
          <cell r="FV231">
            <v>0</v>
          </cell>
          <cell r="FW231">
            <v>0</v>
          </cell>
          <cell r="FX231">
            <v>0</v>
          </cell>
          <cell r="FY231">
            <v>0</v>
          </cell>
          <cell r="FZ231">
            <v>0</v>
          </cell>
          <cell r="GA231">
            <v>0</v>
          </cell>
          <cell r="GB231">
            <v>0</v>
          </cell>
          <cell r="GC231">
            <v>0</v>
          </cell>
          <cell r="GD231">
            <v>0</v>
          </cell>
          <cell r="GE231">
            <v>0</v>
          </cell>
          <cell r="GF231">
            <v>0</v>
          </cell>
          <cell r="GG231">
            <v>0</v>
          </cell>
          <cell r="GH231">
            <v>0</v>
          </cell>
          <cell r="GI231">
            <v>0</v>
          </cell>
          <cell r="GJ231">
            <v>0</v>
          </cell>
          <cell r="GK231">
            <v>0</v>
          </cell>
          <cell r="GL231">
            <v>0</v>
          </cell>
          <cell r="GM231">
            <v>0</v>
          </cell>
          <cell r="GN231">
            <v>0</v>
          </cell>
          <cell r="GO231">
            <v>0</v>
          </cell>
          <cell r="GP231">
            <v>0</v>
          </cell>
          <cell r="GQ231">
            <v>0</v>
          </cell>
          <cell r="GR231">
            <v>0</v>
          </cell>
          <cell r="GS231">
            <v>0</v>
          </cell>
          <cell r="GT231">
            <v>0</v>
          </cell>
          <cell r="GU231">
            <v>0</v>
          </cell>
          <cell r="GV231">
            <v>0</v>
          </cell>
          <cell r="GW231">
            <v>0</v>
          </cell>
          <cell r="GX231">
            <v>0</v>
          </cell>
          <cell r="GY231">
            <v>0</v>
          </cell>
          <cell r="GZ231">
            <v>0</v>
          </cell>
          <cell r="HA231">
            <v>0</v>
          </cell>
          <cell r="HB231">
            <v>0</v>
          </cell>
          <cell r="HC231">
            <v>0</v>
          </cell>
          <cell r="HD231">
            <v>0</v>
          </cell>
          <cell r="HE231">
            <v>0</v>
          </cell>
          <cell r="HF231">
            <v>0</v>
          </cell>
          <cell r="HG231">
            <v>0</v>
          </cell>
          <cell r="HH231">
            <v>0</v>
          </cell>
          <cell r="HI231">
            <v>0</v>
          </cell>
          <cell r="HJ231">
            <v>0</v>
          </cell>
          <cell r="HK231">
            <v>0</v>
          </cell>
          <cell r="HL231">
            <v>0</v>
          </cell>
          <cell r="HM231">
            <v>0</v>
          </cell>
          <cell r="HN231">
            <v>0</v>
          </cell>
          <cell r="HO231">
            <v>0</v>
          </cell>
          <cell r="HP231">
            <v>0</v>
          </cell>
          <cell r="HQ231">
            <v>0</v>
          </cell>
          <cell r="HR231">
            <v>0</v>
          </cell>
          <cell r="HS231">
            <v>0</v>
          </cell>
          <cell r="HT231">
            <v>0</v>
          </cell>
          <cell r="HU231">
            <v>0</v>
          </cell>
          <cell r="HV231">
            <v>0</v>
          </cell>
          <cell r="HW231">
            <v>0</v>
          </cell>
          <cell r="HX231">
            <v>0</v>
          </cell>
          <cell r="HY231">
            <v>0</v>
          </cell>
          <cell r="HZ231">
            <v>0</v>
          </cell>
          <cell r="IA231">
            <v>0</v>
          </cell>
          <cell r="IB231">
            <v>0</v>
          </cell>
          <cell r="IC231">
            <v>0</v>
          </cell>
          <cell r="ID231">
            <v>0</v>
          </cell>
          <cell r="IE231">
            <v>0</v>
          </cell>
          <cell r="IF231">
            <v>0</v>
          </cell>
          <cell r="IG231">
            <v>0</v>
          </cell>
          <cell r="IH231">
            <v>0</v>
          </cell>
          <cell r="II231">
            <v>0</v>
          </cell>
          <cell r="IJ231">
            <v>0</v>
          </cell>
          <cell r="IK231">
            <v>0</v>
          </cell>
          <cell r="IL231">
            <v>0</v>
          </cell>
          <cell r="IM231">
            <v>0</v>
          </cell>
          <cell r="IN231">
            <v>0</v>
          </cell>
          <cell r="IO231">
            <v>0</v>
          </cell>
          <cell r="IP231">
            <v>0</v>
          </cell>
          <cell r="IQ231">
            <v>0</v>
          </cell>
          <cell r="IR231">
            <v>0</v>
          </cell>
          <cell r="IS231">
            <v>0</v>
          </cell>
          <cell r="IT231">
            <v>0</v>
          </cell>
          <cell r="IU231">
            <v>0</v>
          </cell>
          <cell r="IV231">
            <v>0</v>
          </cell>
          <cell r="IW231">
            <v>0</v>
          </cell>
          <cell r="IX231">
            <v>0</v>
          </cell>
          <cell r="IY231">
            <v>0</v>
          </cell>
          <cell r="IZ231">
            <v>0</v>
          </cell>
          <cell r="JA231">
            <v>0</v>
          </cell>
        </row>
        <row r="232">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cell r="BM232">
            <v>0</v>
          </cell>
          <cell r="BN232">
            <v>0</v>
          </cell>
          <cell r="BO232">
            <v>0</v>
          </cell>
          <cell r="BP232">
            <v>0</v>
          </cell>
          <cell r="BQ232">
            <v>0</v>
          </cell>
          <cell r="BR232">
            <v>0</v>
          </cell>
          <cell r="BS232">
            <v>0</v>
          </cell>
          <cell r="BT232">
            <v>0</v>
          </cell>
          <cell r="BU232">
            <v>0</v>
          </cell>
          <cell r="BV232">
            <v>0</v>
          </cell>
          <cell r="BW232">
            <v>0</v>
          </cell>
          <cell r="BX232">
            <v>0</v>
          </cell>
          <cell r="BY232">
            <v>0</v>
          </cell>
          <cell r="BZ232">
            <v>0</v>
          </cell>
          <cell r="CA232">
            <v>0</v>
          </cell>
          <cell r="CB232">
            <v>0</v>
          </cell>
          <cell r="CC232">
            <v>0</v>
          </cell>
          <cell r="CD232">
            <v>0</v>
          </cell>
          <cell r="CE232">
            <v>0</v>
          </cell>
          <cell r="CF232">
            <v>0</v>
          </cell>
          <cell r="CG232">
            <v>0</v>
          </cell>
          <cell r="CH232">
            <v>0</v>
          </cell>
          <cell r="CI232">
            <v>0</v>
          </cell>
          <cell r="CJ232">
            <v>0</v>
          </cell>
          <cell r="CK232">
            <v>0</v>
          </cell>
          <cell r="CL232">
            <v>0</v>
          </cell>
          <cell r="CM232">
            <v>0</v>
          </cell>
          <cell r="CN232">
            <v>0</v>
          </cell>
          <cell r="CO232">
            <v>0</v>
          </cell>
          <cell r="CP232">
            <v>0</v>
          </cell>
          <cell r="CQ232">
            <v>0</v>
          </cell>
          <cell r="CR232">
            <v>0</v>
          </cell>
          <cell r="CS232">
            <v>0</v>
          </cell>
          <cell r="CT232">
            <v>0</v>
          </cell>
          <cell r="CU232">
            <v>0</v>
          </cell>
          <cell r="CV232">
            <v>0</v>
          </cell>
          <cell r="CW232">
            <v>0</v>
          </cell>
          <cell r="CX232">
            <v>0</v>
          </cell>
          <cell r="CY232">
            <v>0</v>
          </cell>
          <cell r="CZ232">
            <v>0</v>
          </cell>
          <cell r="DA232">
            <v>0</v>
          </cell>
          <cell r="DB232">
            <v>0</v>
          </cell>
          <cell r="DC232">
            <v>0</v>
          </cell>
          <cell r="DD232">
            <v>0</v>
          </cell>
          <cell r="DE232">
            <v>0</v>
          </cell>
          <cell r="DF232">
            <v>0</v>
          </cell>
          <cell r="DG232">
            <v>0</v>
          </cell>
          <cell r="DH232">
            <v>0</v>
          </cell>
          <cell r="DI232">
            <v>0</v>
          </cell>
          <cell r="DJ232">
            <v>0</v>
          </cell>
          <cell r="DK232">
            <v>0</v>
          </cell>
          <cell r="DL232">
            <v>0</v>
          </cell>
          <cell r="DM232">
            <v>0</v>
          </cell>
          <cell r="DN232">
            <v>0</v>
          </cell>
          <cell r="DO232">
            <v>0</v>
          </cell>
          <cell r="DP232">
            <v>0</v>
          </cell>
          <cell r="DQ232">
            <v>0</v>
          </cell>
          <cell r="DR232">
            <v>0</v>
          </cell>
          <cell r="DS232">
            <v>0</v>
          </cell>
          <cell r="DT232">
            <v>0</v>
          </cell>
          <cell r="DU232">
            <v>0</v>
          </cell>
          <cell r="DV232">
            <v>0</v>
          </cell>
          <cell r="DW232">
            <v>0</v>
          </cell>
          <cell r="DX232">
            <v>0</v>
          </cell>
          <cell r="DY232">
            <v>0</v>
          </cell>
          <cell r="DZ232">
            <v>0</v>
          </cell>
          <cell r="EA232">
            <v>0</v>
          </cell>
          <cell r="EB232">
            <v>0</v>
          </cell>
          <cell r="EC232">
            <v>0</v>
          </cell>
          <cell r="ED232">
            <v>0</v>
          </cell>
          <cell r="EE232">
            <v>0</v>
          </cell>
          <cell r="EF232">
            <v>0</v>
          </cell>
          <cell r="EG232">
            <v>0</v>
          </cell>
          <cell r="EH232">
            <v>0</v>
          </cell>
          <cell r="EI232">
            <v>0</v>
          </cell>
          <cell r="EJ232">
            <v>0</v>
          </cell>
          <cell r="EK232">
            <v>0</v>
          </cell>
          <cell r="EL232">
            <v>0</v>
          </cell>
          <cell r="EM232">
            <v>0</v>
          </cell>
          <cell r="EN232">
            <v>0</v>
          </cell>
          <cell r="EO232">
            <v>0</v>
          </cell>
          <cell r="EP232">
            <v>0</v>
          </cell>
          <cell r="EQ232">
            <v>0</v>
          </cell>
          <cell r="ER232">
            <v>0</v>
          </cell>
          <cell r="ES232">
            <v>0</v>
          </cell>
          <cell r="ET232">
            <v>0</v>
          </cell>
          <cell r="EU232">
            <v>0</v>
          </cell>
          <cell r="EV232">
            <v>0</v>
          </cell>
          <cell r="EW232">
            <v>0</v>
          </cell>
          <cell r="EX232">
            <v>0</v>
          </cell>
          <cell r="EY232">
            <v>0</v>
          </cell>
          <cell r="EZ232">
            <v>0</v>
          </cell>
          <cell r="FA232">
            <v>0</v>
          </cell>
          <cell r="FB232">
            <v>0</v>
          </cell>
          <cell r="FC232">
            <v>0</v>
          </cell>
          <cell r="FD232">
            <v>0</v>
          </cell>
          <cell r="FE232">
            <v>0</v>
          </cell>
          <cell r="FF232">
            <v>0</v>
          </cell>
          <cell r="FG232">
            <v>0</v>
          </cell>
          <cell r="FH232">
            <v>0</v>
          </cell>
          <cell r="FI232">
            <v>0</v>
          </cell>
          <cell r="FJ232">
            <v>0</v>
          </cell>
          <cell r="FK232">
            <v>0</v>
          </cell>
          <cell r="FL232">
            <v>0</v>
          </cell>
          <cell r="FM232">
            <v>0</v>
          </cell>
          <cell r="FN232">
            <v>0</v>
          </cell>
          <cell r="FO232">
            <v>0</v>
          </cell>
          <cell r="FP232">
            <v>0</v>
          </cell>
          <cell r="FQ232">
            <v>0</v>
          </cell>
          <cell r="FR232">
            <v>0</v>
          </cell>
          <cell r="FS232">
            <v>0</v>
          </cell>
          <cell r="FT232">
            <v>0</v>
          </cell>
          <cell r="FU232">
            <v>0</v>
          </cell>
          <cell r="FV232">
            <v>0</v>
          </cell>
          <cell r="FW232">
            <v>0</v>
          </cell>
          <cell r="FX232">
            <v>0</v>
          </cell>
          <cell r="FY232">
            <v>0</v>
          </cell>
          <cell r="FZ232">
            <v>0</v>
          </cell>
          <cell r="GA232">
            <v>0</v>
          </cell>
          <cell r="GB232">
            <v>0</v>
          </cell>
          <cell r="GC232">
            <v>0</v>
          </cell>
          <cell r="GD232">
            <v>0</v>
          </cell>
          <cell r="GE232">
            <v>0</v>
          </cell>
          <cell r="GF232">
            <v>0</v>
          </cell>
          <cell r="GG232">
            <v>0</v>
          </cell>
          <cell r="GH232">
            <v>0</v>
          </cell>
          <cell r="GI232">
            <v>0</v>
          </cell>
          <cell r="GJ232">
            <v>0</v>
          </cell>
          <cell r="GK232">
            <v>0</v>
          </cell>
          <cell r="GL232">
            <v>0</v>
          </cell>
          <cell r="GM232">
            <v>0</v>
          </cell>
          <cell r="GN232">
            <v>0</v>
          </cell>
          <cell r="GO232">
            <v>0</v>
          </cell>
          <cell r="GP232">
            <v>0</v>
          </cell>
          <cell r="GQ232">
            <v>0</v>
          </cell>
          <cell r="GR232">
            <v>0</v>
          </cell>
          <cell r="GS232">
            <v>0</v>
          </cell>
          <cell r="GT232">
            <v>0</v>
          </cell>
          <cell r="GU232">
            <v>0</v>
          </cell>
          <cell r="GV232">
            <v>0</v>
          </cell>
          <cell r="GW232">
            <v>0</v>
          </cell>
          <cell r="GX232">
            <v>0</v>
          </cell>
          <cell r="GY232">
            <v>0</v>
          </cell>
          <cell r="GZ232">
            <v>0</v>
          </cell>
          <cell r="HA232">
            <v>0</v>
          </cell>
          <cell r="HB232">
            <v>0</v>
          </cell>
          <cell r="HC232">
            <v>0</v>
          </cell>
          <cell r="HD232">
            <v>0</v>
          </cell>
          <cell r="HE232">
            <v>0</v>
          </cell>
          <cell r="HF232">
            <v>0</v>
          </cell>
          <cell r="HG232">
            <v>0</v>
          </cell>
          <cell r="HH232">
            <v>0</v>
          </cell>
          <cell r="HI232">
            <v>0</v>
          </cell>
          <cell r="HJ232">
            <v>0</v>
          </cell>
          <cell r="HK232">
            <v>0</v>
          </cell>
          <cell r="HL232">
            <v>0</v>
          </cell>
          <cell r="HM232">
            <v>0</v>
          </cell>
          <cell r="HN232">
            <v>0</v>
          </cell>
          <cell r="HO232">
            <v>0</v>
          </cell>
          <cell r="HP232">
            <v>0</v>
          </cell>
          <cell r="HQ232">
            <v>0</v>
          </cell>
          <cell r="HR232">
            <v>0</v>
          </cell>
          <cell r="HS232">
            <v>0</v>
          </cell>
          <cell r="HT232">
            <v>0</v>
          </cell>
          <cell r="HU232">
            <v>0</v>
          </cell>
          <cell r="HV232">
            <v>0</v>
          </cell>
          <cell r="HW232">
            <v>0</v>
          </cell>
          <cell r="HX232">
            <v>0</v>
          </cell>
          <cell r="HY232">
            <v>0</v>
          </cell>
          <cell r="HZ232">
            <v>0</v>
          </cell>
          <cell r="IA232">
            <v>0</v>
          </cell>
          <cell r="IB232">
            <v>0</v>
          </cell>
          <cell r="IC232">
            <v>0</v>
          </cell>
          <cell r="ID232">
            <v>0</v>
          </cell>
          <cell r="IE232">
            <v>0</v>
          </cell>
          <cell r="IF232">
            <v>0</v>
          </cell>
          <cell r="IG232">
            <v>0</v>
          </cell>
          <cell r="IH232">
            <v>0</v>
          </cell>
          <cell r="II232">
            <v>0</v>
          </cell>
          <cell r="IJ232">
            <v>0</v>
          </cell>
          <cell r="IK232">
            <v>0</v>
          </cell>
          <cell r="IL232">
            <v>0</v>
          </cell>
          <cell r="IM232">
            <v>0</v>
          </cell>
          <cell r="IN232">
            <v>0</v>
          </cell>
          <cell r="IO232">
            <v>0</v>
          </cell>
          <cell r="IP232">
            <v>0</v>
          </cell>
          <cell r="IQ232">
            <v>0</v>
          </cell>
          <cell r="IR232">
            <v>0</v>
          </cell>
          <cell r="IS232">
            <v>0</v>
          </cell>
          <cell r="IT232">
            <v>0</v>
          </cell>
          <cell r="IU232">
            <v>0</v>
          </cell>
          <cell r="IV232">
            <v>0</v>
          </cell>
          <cell r="IW232">
            <v>0</v>
          </cell>
          <cell r="IX232">
            <v>0</v>
          </cell>
          <cell r="IY232">
            <v>0</v>
          </cell>
          <cell r="IZ232">
            <v>0</v>
          </cell>
          <cell r="JA232">
            <v>0</v>
          </cell>
        </row>
        <row r="235">
          <cell r="L235">
            <v>0</v>
          </cell>
          <cell r="M235">
            <v>0</v>
          </cell>
          <cell r="N235">
            <v>0</v>
          </cell>
          <cell r="O235">
            <v>11.970178000000001</v>
          </cell>
          <cell r="P235">
            <v>14.521169</v>
          </cell>
          <cell r="Q235">
            <v>14.836291000000001</v>
          </cell>
          <cell r="R235">
            <v>15.133016000000001</v>
          </cell>
          <cell r="S235">
            <v>15.435675999999999</v>
          </cell>
          <cell r="T235">
            <v>15.744391</v>
          </cell>
          <cell r="U235">
            <v>16.059277999999999</v>
          </cell>
          <cell r="V235">
            <v>16.380464</v>
          </cell>
          <cell r="W235">
            <v>16.708074</v>
          </cell>
          <cell r="X235">
            <v>17.041951000000001</v>
          </cell>
          <cell r="Y235">
            <v>17.379919999999998</v>
          </cell>
          <cell r="Z235">
            <v>17.060955999999997</v>
          </cell>
          <cell r="AA235">
            <v>16.317678999999998</v>
          </cell>
          <cell r="AB235">
            <v>15.543952999999998</v>
          </cell>
          <cell r="AC235">
            <v>14.738982999999999</v>
          </cell>
          <cell r="AD235">
            <v>13.954913000000001</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cell r="BM235">
            <v>0</v>
          </cell>
          <cell r="BN235">
            <v>0</v>
          </cell>
          <cell r="BO235">
            <v>0</v>
          </cell>
          <cell r="BP235">
            <v>0</v>
          </cell>
          <cell r="BQ235">
            <v>0</v>
          </cell>
          <cell r="BR235">
            <v>0</v>
          </cell>
          <cell r="BS235">
            <v>0</v>
          </cell>
          <cell r="BT235">
            <v>0</v>
          </cell>
          <cell r="BU235">
            <v>0</v>
          </cell>
          <cell r="BV235">
            <v>0</v>
          </cell>
          <cell r="BW235">
            <v>0</v>
          </cell>
          <cell r="BX235">
            <v>0</v>
          </cell>
          <cell r="BY235">
            <v>0</v>
          </cell>
          <cell r="BZ235">
            <v>0</v>
          </cell>
          <cell r="CA235">
            <v>0</v>
          </cell>
          <cell r="CB235">
            <v>0</v>
          </cell>
          <cell r="CC235">
            <v>0</v>
          </cell>
          <cell r="CD235">
            <v>0</v>
          </cell>
          <cell r="CE235">
            <v>0</v>
          </cell>
          <cell r="CF235">
            <v>0</v>
          </cell>
          <cell r="CG235">
            <v>0</v>
          </cell>
          <cell r="CH235">
            <v>0</v>
          </cell>
          <cell r="CI235">
            <v>0</v>
          </cell>
          <cell r="CJ235">
            <v>0</v>
          </cell>
          <cell r="CK235">
            <v>0</v>
          </cell>
          <cell r="CL235">
            <v>0</v>
          </cell>
          <cell r="CM235">
            <v>0</v>
          </cell>
          <cell r="CN235">
            <v>0</v>
          </cell>
          <cell r="CO235">
            <v>0</v>
          </cell>
          <cell r="CP235">
            <v>0</v>
          </cell>
          <cell r="CQ235">
            <v>0</v>
          </cell>
          <cell r="CR235">
            <v>0</v>
          </cell>
          <cell r="CS235">
            <v>0</v>
          </cell>
          <cell r="CT235">
            <v>0</v>
          </cell>
          <cell r="CU235">
            <v>0</v>
          </cell>
          <cell r="CV235">
            <v>0</v>
          </cell>
          <cell r="CW235">
            <v>0</v>
          </cell>
          <cell r="CX235">
            <v>0</v>
          </cell>
          <cell r="CY235">
            <v>0</v>
          </cell>
          <cell r="CZ235">
            <v>0</v>
          </cell>
          <cell r="DA235">
            <v>0</v>
          </cell>
          <cell r="DB235">
            <v>0</v>
          </cell>
          <cell r="DC235">
            <v>0</v>
          </cell>
          <cell r="DD235">
            <v>0</v>
          </cell>
          <cell r="DE235">
            <v>0</v>
          </cell>
          <cell r="DF235">
            <v>0</v>
          </cell>
          <cell r="DG235">
            <v>0</v>
          </cell>
          <cell r="DH235">
            <v>0</v>
          </cell>
          <cell r="DI235">
            <v>0</v>
          </cell>
          <cell r="DJ235">
            <v>0</v>
          </cell>
          <cell r="DK235">
            <v>0</v>
          </cell>
          <cell r="DL235">
            <v>0</v>
          </cell>
          <cell r="DM235">
            <v>0</v>
          </cell>
          <cell r="DN235">
            <v>0</v>
          </cell>
          <cell r="DO235">
            <v>0</v>
          </cell>
          <cell r="DP235">
            <v>0</v>
          </cell>
          <cell r="DQ235">
            <v>0</v>
          </cell>
          <cell r="DR235">
            <v>0</v>
          </cell>
          <cell r="DS235">
            <v>0</v>
          </cell>
          <cell r="DT235">
            <v>0</v>
          </cell>
          <cell r="DU235">
            <v>0</v>
          </cell>
          <cell r="DV235">
            <v>0</v>
          </cell>
          <cell r="DW235">
            <v>0</v>
          </cell>
          <cell r="DX235">
            <v>0</v>
          </cell>
          <cell r="DY235">
            <v>0</v>
          </cell>
          <cell r="DZ235">
            <v>0</v>
          </cell>
          <cell r="EA235">
            <v>0</v>
          </cell>
          <cell r="EB235">
            <v>0</v>
          </cell>
          <cell r="EC235">
            <v>0</v>
          </cell>
          <cell r="ED235">
            <v>0</v>
          </cell>
          <cell r="EE235">
            <v>0</v>
          </cell>
          <cell r="EF235">
            <v>0</v>
          </cell>
          <cell r="EG235">
            <v>0</v>
          </cell>
          <cell r="EH235">
            <v>0</v>
          </cell>
          <cell r="EI235">
            <v>0</v>
          </cell>
          <cell r="EJ235">
            <v>0</v>
          </cell>
          <cell r="EK235">
            <v>0</v>
          </cell>
          <cell r="EL235">
            <v>0</v>
          </cell>
          <cell r="EM235">
            <v>0</v>
          </cell>
          <cell r="EN235">
            <v>0</v>
          </cell>
          <cell r="EO235">
            <v>0</v>
          </cell>
          <cell r="EP235">
            <v>0</v>
          </cell>
          <cell r="EQ235">
            <v>0</v>
          </cell>
          <cell r="ER235">
            <v>0</v>
          </cell>
          <cell r="ES235">
            <v>0</v>
          </cell>
          <cell r="ET235">
            <v>0</v>
          </cell>
          <cell r="EU235">
            <v>0</v>
          </cell>
          <cell r="EV235">
            <v>0</v>
          </cell>
          <cell r="EW235">
            <v>0</v>
          </cell>
          <cell r="EX235">
            <v>0</v>
          </cell>
          <cell r="EY235">
            <v>0</v>
          </cell>
          <cell r="EZ235">
            <v>0</v>
          </cell>
          <cell r="FA235">
            <v>0</v>
          </cell>
          <cell r="FB235">
            <v>0</v>
          </cell>
          <cell r="FC235">
            <v>0</v>
          </cell>
          <cell r="FD235">
            <v>0</v>
          </cell>
          <cell r="FE235">
            <v>0</v>
          </cell>
          <cell r="FF235">
            <v>0</v>
          </cell>
          <cell r="FG235">
            <v>0</v>
          </cell>
          <cell r="FH235">
            <v>0</v>
          </cell>
          <cell r="FI235">
            <v>0</v>
          </cell>
          <cell r="FJ235">
            <v>0</v>
          </cell>
          <cell r="FK235">
            <v>0</v>
          </cell>
          <cell r="FL235">
            <v>0</v>
          </cell>
          <cell r="FM235">
            <v>0</v>
          </cell>
          <cell r="FN235">
            <v>0</v>
          </cell>
          <cell r="FO235">
            <v>0</v>
          </cell>
          <cell r="FP235">
            <v>0</v>
          </cell>
          <cell r="FQ235">
            <v>0</v>
          </cell>
          <cell r="FR235">
            <v>0</v>
          </cell>
          <cell r="FS235">
            <v>0</v>
          </cell>
          <cell r="FT235">
            <v>0</v>
          </cell>
          <cell r="FU235">
            <v>0</v>
          </cell>
          <cell r="FV235">
            <v>0</v>
          </cell>
          <cell r="FW235">
            <v>0</v>
          </cell>
          <cell r="FX235">
            <v>0</v>
          </cell>
          <cell r="FY235">
            <v>0</v>
          </cell>
          <cell r="FZ235">
            <v>0</v>
          </cell>
          <cell r="GA235">
            <v>0</v>
          </cell>
          <cell r="GB235">
            <v>0</v>
          </cell>
          <cell r="GC235">
            <v>0</v>
          </cell>
          <cell r="GD235">
            <v>0</v>
          </cell>
          <cell r="GE235">
            <v>0</v>
          </cell>
          <cell r="GF235">
            <v>0</v>
          </cell>
          <cell r="GG235">
            <v>0</v>
          </cell>
          <cell r="GH235">
            <v>0</v>
          </cell>
          <cell r="GI235">
            <v>0</v>
          </cell>
          <cell r="GJ235">
            <v>0</v>
          </cell>
          <cell r="GK235">
            <v>0</v>
          </cell>
          <cell r="GL235">
            <v>0</v>
          </cell>
          <cell r="GM235">
            <v>0</v>
          </cell>
          <cell r="GN235">
            <v>0</v>
          </cell>
          <cell r="GO235">
            <v>0</v>
          </cell>
          <cell r="GP235">
            <v>0</v>
          </cell>
          <cell r="GQ235">
            <v>0</v>
          </cell>
          <cell r="GR235">
            <v>0</v>
          </cell>
          <cell r="GS235">
            <v>0</v>
          </cell>
          <cell r="GT235">
            <v>0</v>
          </cell>
          <cell r="GU235">
            <v>0</v>
          </cell>
          <cell r="GV235">
            <v>0</v>
          </cell>
          <cell r="GW235">
            <v>0</v>
          </cell>
          <cell r="GX235">
            <v>0</v>
          </cell>
          <cell r="GY235">
            <v>0</v>
          </cell>
          <cell r="GZ235">
            <v>0</v>
          </cell>
          <cell r="HA235">
            <v>0</v>
          </cell>
          <cell r="HB235">
            <v>0</v>
          </cell>
          <cell r="HC235">
            <v>0</v>
          </cell>
          <cell r="HD235">
            <v>0</v>
          </cell>
          <cell r="HE235">
            <v>0</v>
          </cell>
          <cell r="HF235">
            <v>0</v>
          </cell>
          <cell r="HG235">
            <v>0</v>
          </cell>
          <cell r="HH235">
            <v>0</v>
          </cell>
          <cell r="HI235">
            <v>0</v>
          </cell>
          <cell r="HJ235">
            <v>0</v>
          </cell>
          <cell r="HK235">
            <v>0</v>
          </cell>
          <cell r="HL235">
            <v>0</v>
          </cell>
          <cell r="HM235">
            <v>0</v>
          </cell>
          <cell r="HN235">
            <v>0</v>
          </cell>
          <cell r="HO235">
            <v>0</v>
          </cell>
          <cell r="HP235">
            <v>0</v>
          </cell>
          <cell r="HQ235">
            <v>0</v>
          </cell>
          <cell r="HR235">
            <v>0</v>
          </cell>
          <cell r="HS235">
            <v>0</v>
          </cell>
          <cell r="HT235">
            <v>0</v>
          </cell>
          <cell r="HU235">
            <v>0</v>
          </cell>
          <cell r="HV235">
            <v>0</v>
          </cell>
          <cell r="HW235">
            <v>0</v>
          </cell>
          <cell r="HX235">
            <v>0</v>
          </cell>
          <cell r="HY235">
            <v>0</v>
          </cell>
          <cell r="HZ235">
            <v>0</v>
          </cell>
          <cell r="IA235">
            <v>0</v>
          </cell>
          <cell r="IB235">
            <v>0</v>
          </cell>
          <cell r="IC235">
            <v>0</v>
          </cell>
          <cell r="ID235">
            <v>0</v>
          </cell>
          <cell r="IE235">
            <v>0</v>
          </cell>
          <cell r="IF235">
            <v>0</v>
          </cell>
          <cell r="IG235">
            <v>0</v>
          </cell>
          <cell r="IH235">
            <v>0</v>
          </cell>
          <cell r="II235">
            <v>0</v>
          </cell>
          <cell r="IJ235">
            <v>0</v>
          </cell>
          <cell r="IK235">
            <v>0</v>
          </cell>
          <cell r="IL235">
            <v>0</v>
          </cell>
          <cell r="IM235">
            <v>0</v>
          </cell>
          <cell r="IN235">
            <v>0</v>
          </cell>
          <cell r="IO235">
            <v>0</v>
          </cell>
          <cell r="IP235">
            <v>0</v>
          </cell>
          <cell r="IQ235">
            <v>0</v>
          </cell>
          <cell r="IR235">
            <v>0</v>
          </cell>
          <cell r="IS235">
            <v>0</v>
          </cell>
          <cell r="IT235">
            <v>0</v>
          </cell>
          <cell r="IU235">
            <v>0</v>
          </cell>
          <cell r="IV235">
            <v>0</v>
          </cell>
          <cell r="IW235">
            <v>0</v>
          </cell>
          <cell r="IX235">
            <v>0</v>
          </cell>
          <cell r="IY235">
            <v>0</v>
          </cell>
          <cell r="IZ235">
            <v>0</v>
          </cell>
          <cell r="JA235">
            <v>0</v>
          </cell>
        </row>
        <row r="236">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37">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cell r="BM237">
            <v>0</v>
          </cell>
          <cell r="BN237">
            <v>0</v>
          </cell>
          <cell r="BO237">
            <v>0</v>
          </cell>
          <cell r="BP237">
            <v>0</v>
          </cell>
          <cell r="BQ237">
            <v>0</v>
          </cell>
          <cell r="BR237">
            <v>0</v>
          </cell>
          <cell r="BS237">
            <v>0</v>
          </cell>
          <cell r="BT237">
            <v>0</v>
          </cell>
          <cell r="BU237">
            <v>0</v>
          </cell>
          <cell r="BV237">
            <v>0</v>
          </cell>
          <cell r="BW237">
            <v>0</v>
          </cell>
          <cell r="BX237">
            <v>0</v>
          </cell>
          <cell r="BY237">
            <v>0</v>
          </cell>
          <cell r="BZ237">
            <v>0</v>
          </cell>
          <cell r="CA237">
            <v>0</v>
          </cell>
          <cell r="CB237">
            <v>0</v>
          </cell>
          <cell r="CC237">
            <v>0</v>
          </cell>
          <cell r="CD237">
            <v>0</v>
          </cell>
          <cell r="CE237">
            <v>0</v>
          </cell>
          <cell r="CF237">
            <v>0</v>
          </cell>
          <cell r="CG237">
            <v>0</v>
          </cell>
          <cell r="CH237">
            <v>0</v>
          </cell>
          <cell r="CI237">
            <v>0</v>
          </cell>
          <cell r="CJ237">
            <v>0</v>
          </cell>
          <cell r="CK237">
            <v>0</v>
          </cell>
          <cell r="CL237">
            <v>0</v>
          </cell>
          <cell r="CM237">
            <v>0</v>
          </cell>
          <cell r="CN237">
            <v>0</v>
          </cell>
          <cell r="CO237">
            <v>0</v>
          </cell>
          <cell r="CP237">
            <v>0</v>
          </cell>
          <cell r="CQ237">
            <v>0</v>
          </cell>
          <cell r="CR237">
            <v>0</v>
          </cell>
          <cell r="CS237">
            <v>0</v>
          </cell>
          <cell r="CT237">
            <v>0</v>
          </cell>
          <cell r="CU237">
            <v>0</v>
          </cell>
          <cell r="CV237">
            <v>0</v>
          </cell>
          <cell r="CW237">
            <v>0</v>
          </cell>
          <cell r="CX237">
            <v>0</v>
          </cell>
          <cell r="CY237">
            <v>0</v>
          </cell>
          <cell r="CZ237">
            <v>0</v>
          </cell>
          <cell r="DA237">
            <v>0</v>
          </cell>
          <cell r="DB237">
            <v>0</v>
          </cell>
          <cell r="DC237">
            <v>0</v>
          </cell>
          <cell r="DD237">
            <v>0</v>
          </cell>
          <cell r="DE237">
            <v>0</v>
          </cell>
          <cell r="DF237">
            <v>0</v>
          </cell>
          <cell r="DG237">
            <v>0</v>
          </cell>
          <cell r="DH237">
            <v>0</v>
          </cell>
          <cell r="DI237">
            <v>0</v>
          </cell>
          <cell r="DJ237">
            <v>0</v>
          </cell>
          <cell r="DK237">
            <v>0</v>
          </cell>
          <cell r="DL237">
            <v>0</v>
          </cell>
          <cell r="DM237">
            <v>0</v>
          </cell>
          <cell r="DN237">
            <v>0</v>
          </cell>
          <cell r="DO237">
            <v>0</v>
          </cell>
          <cell r="DP237">
            <v>0</v>
          </cell>
          <cell r="DQ237">
            <v>0</v>
          </cell>
          <cell r="DR237">
            <v>0</v>
          </cell>
          <cell r="DS237">
            <v>0</v>
          </cell>
          <cell r="DT237">
            <v>0</v>
          </cell>
          <cell r="DU237">
            <v>0</v>
          </cell>
          <cell r="DV237">
            <v>0</v>
          </cell>
          <cell r="DW237">
            <v>0</v>
          </cell>
          <cell r="DX237">
            <v>0</v>
          </cell>
          <cell r="DY237">
            <v>0</v>
          </cell>
          <cell r="DZ237">
            <v>0</v>
          </cell>
          <cell r="EA237">
            <v>0</v>
          </cell>
          <cell r="EB237">
            <v>0</v>
          </cell>
          <cell r="EC237">
            <v>0</v>
          </cell>
          <cell r="ED237">
            <v>0</v>
          </cell>
          <cell r="EE237">
            <v>0</v>
          </cell>
          <cell r="EF237">
            <v>0</v>
          </cell>
          <cell r="EG237">
            <v>0</v>
          </cell>
          <cell r="EH237">
            <v>0</v>
          </cell>
          <cell r="EI237">
            <v>0</v>
          </cell>
          <cell r="EJ237">
            <v>0</v>
          </cell>
          <cell r="EK237">
            <v>0</v>
          </cell>
          <cell r="EL237">
            <v>0</v>
          </cell>
          <cell r="EM237">
            <v>0</v>
          </cell>
          <cell r="EN237">
            <v>0</v>
          </cell>
          <cell r="EO237">
            <v>0</v>
          </cell>
          <cell r="EP237">
            <v>0</v>
          </cell>
          <cell r="EQ237">
            <v>0</v>
          </cell>
          <cell r="ER237">
            <v>0</v>
          </cell>
          <cell r="ES237">
            <v>0</v>
          </cell>
          <cell r="ET237">
            <v>0</v>
          </cell>
          <cell r="EU237">
            <v>0</v>
          </cell>
          <cell r="EV237">
            <v>0</v>
          </cell>
          <cell r="EW237">
            <v>0</v>
          </cell>
          <cell r="EX237">
            <v>0</v>
          </cell>
          <cell r="EY237">
            <v>0</v>
          </cell>
          <cell r="EZ237">
            <v>0</v>
          </cell>
          <cell r="FA237">
            <v>0</v>
          </cell>
          <cell r="FB237">
            <v>0</v>
          </cell>
          <cell r="FC237">
            <v>0</v>
          </cell>
          <cell r="FD237">
            <v>0</v>
          </cell>
          <cell r="FE237">
            <v>0</v>
          </cell>
          <cell r="FF237">
            <v>0</v>
          </cell>
          <cell r="FG237">
            <v>0</v>
          </cell>
          <cell r="FH237">
            <v>0</v>
          </cell>
          <cell r="FI237">
            <v>0</v>
          </cell>
          <cell r="FJ237">
            <v>0</v>
          </cell>
          <cell r="FK237">
            <v>0</v>
          </cell>
          <cell r="FL237">
            <v>0</v>
          </cell>
          <cell r="FM237">
            <v>0</v>
          </cell>
          <cell r="FN237">
            <v>0</v>
          </cell>
          <cell r="FO237">
            <v>0</v>
          </cell>
          <cell r="FP237">
            <v>0</v>
          </cell>
          <cell r="FQ237">
            <v>0</v>
          </cell>
          <cell r="FR237">
            <v>0</v>
          </cell>
          <cell r="FS237">
            <v>0</v>
          </cell>
          <cell r="FT237">
            <v>0</v>
          </cell>
          <cell r="FU237">
            <v>0</v>
          </cell>
          <cell r="FV237">
            <v>0</v>
          </cell>
          <cell r="FW237">
            <v>0</v>
          </cell>
          <cell r="FX237">
            <v>0</v>
          </cell>
          <cell r="FY237">
            <v>0</v>
          </cell>
          <cell r="FZ237">
            <v>0</v>
          </cell>
          <cell r="GA237">
            <v>0</v>
          </cell>
          <cell r="GB237">
            <v>0</v>
          </cell>
          <cell r="GC237">
            <v>0</v>
          </cell>
          <cell r="GD237">
            <v>0</v>
          </cell>
          <cell r="GE237">
            <v>0</v>
          </cell>
          <cell r="GF237">
            <v>0</v>
          </cell>
          <cell r="GG237">
            <v>0</v>
          </cell>
          <cell r="GH237">
            <v>0</v>
          </cell>
          <cell r="GI237">
            <v>0</v>
          </cell>
          <cell r="GJ237">
            <v>0</v>
          </cell>
          <cell r="GK237">
            <v>0</v>
          </cell>
          <cell r="GL237">
            <v>0</v>
          </cell>
          <cell r="GM237">
            <v>0</v>
          </cell>
          <cell r="GN237">
            <v>0</v>
          </cell>
          <cell r="GO237">
            <v>0</v>
          </cell>
          <cell r="GP237">
            <v>0</v>
          </cell>
          <cell r="GQ237">
            <v>0</v>
          </cell>
          <cell r="GR237">
            <v>0</v>
          </cell>
          <cell r="GS237">
            <v>0</v>
          </cell>
          <cell r="GT237">
            <v>0</v>
          </cell>
          <cell r="GU237">
            <v>0</v>
          </cell>
          <cell r="GV237">
            <v>0</v>
          </cell>
          <cell r="GW237">
            <v>0</v>
          </cell>
          <cell r="GX237">
            <v>0</v>
          </cell>
          <cell r="GY237">
            <v>0</v>
          </cell>
          <cell r="GZ237">
            <v>0</v>
          </cell>
          <cell r="HA237">
            <v>0</v>
          </cell>
          <cell r="HB237">
            <v>0</v>
          </cell>
          <cell r="HC237">
            <v>0</v>
          </cell>
          <cell r="HD237">
            <v>0</v>
          </cell>
          <cell r="HE237">
            <v>0</v>
          </cell>
          <cell r="HF237">
            <v>0</v>
          </cell>
          <cell r="HG237">
            <v>0</v>
          </cell>
          <cell r="HH237">
            <v>0</v>
          </cell>
          <cell r="HI237">
            <v>0</v>
          </cell>
          <cell r="HJ237">
            <v>0</v>
          </cell>
          <cell r="HK237">
            <v>0</v>
          </cell>
          <cell r="HL237">
            <v>0</v>
          </cell>
          <cell r="HM237">
            <v>0</v>
          </cell>
          <cell r="HN237">
            <v>0</v>
          </cell>
          <cell r="HO237">
            <v>0</v>
          </cell>
          <cell r="HP237">
            <v>0</v>
          </cell>
          <cell r="HQ237">
            <v>0</v>
          </cell>
          <cell r="HR237">
            <v>0</v>
          </cell>
          <cell r="HS237">
            <v>0</v>
          </cell>
          <cell r="HT237">
            <v>0</v>
          </cell>
          <cell r="HU237">
            <v>0</v>
          </cell>
          <cell r="HV237">
            <v>0</v>
          </cell>
          <cell r="HW237">
            <v>0</v>
          </cell>
          <cell r="HX237">
            <v>0</v>
          </cell>
          <cell r="HY237">
            <v>0</v>
          </cell>
          <cell r="HZ237">
            <v>0</v>
          </cell>
          <cell r="IA237">
            <v>0</v>
          </cell>
          <cell r="IB237">
            <v>0</v>
          </cell>
          <cell r="IC237">
            <v>0</v>
          </cell>
          <cell r="ID237">
            <v>0</v>
          </cell>
          <cell r="IE237">
            <v>0</v>
          </cell>
          <cell r="IF237">
            <v>0</v>
          </cell>
          <cell r="IG237">
            <v>0</v>
          </cell>
          <cell r="IH237">
            <v>0</v>
          </cell>
          <cell r="II237">
            <v>0</v>
          </cell>
          <cell r="IJ237">
            <v>0</v>
          </cell>
          <cell r="IK237">
            <v>0</v>
          </cell>
          <cell r="IL237">
            <v>0</v>
          </cell>
          <cell r="IM237">
            <v>0</v>
          </cell>
          <cell r="IN237">
            <v>0</v>
          </cell>
          <cell r="IO237">
            <v>0</v>
          </cell>
          <cell r="IP237">
            <v>0</v>
          </cell>
          <cell r="IQ237">
            <v>0</v>
          </cell>
          <cell r="IR237">
            <v>0</v>
          </cell>
          <cell r="IS237">
            <v>0</v>
          </cell>
          <cell r="IT237">
            <v>0</v>
          </cell>
          <cell r="IU237">
            <v>0</v>
          </cell>
          <cell r="IV237">
            <v>0</v>
          </cell>
          <cell r="IW237">
            <v>0</v>
          </cell>
          <cell r="IX237">
            <v>0</v>
          </cell>
          <cell r="IY237">
            <v>0</v>
          </cell>
          <cell r="IZ237">
            <v>0</v>
          </cell>
          <cell r="JA237">
            <v>0</v>
          </cell>
        </row>
        <row r="238">
          <cell r="L238">
            <v>0</v>
          </cell>
          <cell r="M238">
            <v>0</v>
          </cell>
          <cell r="N238">
            <v>0</v>
          </cell>
          <cell r="O238">
            <v>14.99601975</v>
          </cell>
          <cell r="P238">
            <v>26.678651062500002</v>
          </cell>
          <cell r="Q238">
            <v>20.466386421875001</v>
          </cell>
          <cell r="R238">
            <v>15.38530719140625</v>
          </cell>
          <cell r="S238">
            <v>11.567569768554687</v>
          </cell>
          <cell r="T238">
            <v>33.61992391503906</v>
          </cell>
          <cell r="U238">
            <v>1.070852834472656</v>
          </cell>
          <cell r="V238">
            <v>0.16473031103515623</v>
          </cell>
          <cell r="W238">
            <v>0.16619971630859376</v>
          </cell>
          <cell r="X238">
            <v>0.19214585107421878</v>
          </cell>
          <cell r="Y238">
            <v>0.22305008203124999</v>
          </cell>
          <cell r="Z238">
            <v>0.25565271240234377</v>
          </cell>
          <cell r="AA238">
            <v>0.23816644140625001</v>
          </cell>
          <cell r="AB238">
            <v>0.18740973193359373</v>
          </cell>
          <cell r="AC238">
            <v>0.14775561035156248</v>
          </cell>
          <cell r="AD238">
            <v>0.21079959960938055</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cell r="BM238">
            <v>0</v>
          </cell>
          <cell r="BN238">
            <v>0</v>
          </cell>
          <cell r="BO238">
            <v>0</v>
          </cell>
          <cell r="BP238">
            <v>0</v>
          </cell>
          <cell r="BQ238">
            <v>0</v>
          </cell>
          <cell r="BR238">
            <v>0</v>
          </cell>
          <cell r="BS238">
            <v>0</v>
          </cell>
          <cell r="BT238">
            <v>0</v>
          </cell>
          <cell r="BU238">
            <v>0</v>
          </cell>
          <cell r="BV238">
            <v>0</v>
          </cell>
          <cell r="BW238">
            <v>0</v>
          </cell>
          <cell r="BX238">
            <v>0</v>
          </cell>
          <cell r="BY238">
            <v>0</v>
          </cell>
          <cell r="BZ238">
            <v>0</v>
          </cell>
          <cell r="CA238">
            <v>0</v>
          </cell>
          <cell r="CB238">
            <v>0</v>
          </cell>
          <cell r="CC238">
            <v>0</v>
          </cell>
          <cell r="CD238">
            <v>0</v>
          </cell>
          <cell r="CE238">
            <v>0</v>
          </cell>
          <cell r="CF238">
            <v>0</v>
          </cell>
          <cell r="CG238">
            <v>0</v>
          </cell>
          <cell r="CH238">
            <v>0</v>
          </cell>
          <cell r="CI238">
            <v>0</v>
          </cell>
          <cell r="CJ238">
            <v>0</v>
          </cell>
          <cell r="CK238">
            <v>0</v>
          </cell>
          <cell r="CL238">
            <v>0</v>
          </cell>
          <cell r="CM238">
            <v>0</v>
          </cell>
          <cell r="CN238">
            <v>0</v>
          </cell>
          <cell r="CO238">
            <v>0</v>
          </cell>
          <cell r="CP238">
            <v>0</v>
          </cell>
          <cell r="CQ238">
            <v>0</v>
          </cell>
          <cell r="CR238">
            <v>0</v>
          </cell>
          <cell r="CS238">
            <v>0</v>
          </cell>
          <cell r="CT238">
            <v>0</v>
          </cell>
          <cell r="CU238">
            <v>0</v>
          </cell>
          <cell r="CV238">
            <v>0</v>
          </cell>
          <cell r="CW238">
            <v>0</v>
          </cell>
          <cell r="CX238">
            <v>0</v>
          </cell>
          <cell r="CY238">
            <v>0</v>
          </cell>
          <cell r="CZ238">
            <v>0</v>
          </cell>
          <cell r="DA238">
            <v>0</v>
          </cell>
          <cell r="DB238">
            <v>0</v>
          </cell>
          <cell r="DC238">
            <v>0</v>
          </cell>
          <cell r="DD238">
            <v>0</v>
          </cell>
          <cell r="DE238">
            <v>0</v>
          </cell>
          <cell r="DF238">
            <v>0</v>
          </cell>
          <cell r="DG238">
            <v>0</v>
          </cell>
          <cell r="DH238">
            <v>0</v>
          </cell>
          <cell r="DI238">
            <v>0</v>
          </cell>
          <cell r="DJ238">
            <v>0</v>
          </cell>
          <cell r="DK238">
            <v>0</v>
          </cell>
          <cell r="DL238">
            <v>0</v>
          </cell>
          <cell r="DM238">
            <v>0</v>
          </cell>
          <cell r="DN238">
            <v>0</v>
          </cell>
          <cell r="DO238">
            <v>0</v>
          </cell>
          <cell r="DP238">
            <v>0</v>
          </cell>
          <cell r="DQ238">
            <v>0</v>
          </cell>
          <cell r="DR238">
            <v>0</v>
          </cell>
          <cell r="DS238">
            <v>0</v>
          </cell>
          <cell r="DT238">
            <v>0</v>
          </cell>
          <cell r="DU238">
            <v>0</v>
          </cell>
          <cell r="DV238">
            <v>0</v>
          </cell>
          <cell r="DW238">
            <v>0</v>
          </cell>
          <cell r="DX238">
            <v>0</v>
          </cell>
          <cell r="DY238">
            <v>0</v>
          </cell>
          <cell r="DZ238">
            <v>0</v>
          </cell>
          <cell r="EA238">
            <v>0</v>
          </cell>
          <cell r="EB238">
            <v>0</v>
          </cell>
          <cell r="EC238">
            <v>0</v>
          </cell>
          <cell r="ED238">
            <v>0</v>
          </cell>
          <cell r="EE238">
            <v>0</v>
          </cell>
          <cell r="EF238">
            <v>0</v>
          </cell>
          <cell r="EG238">
            <v>0</v>
          </cell>
          <cell r="EH238">
            <v>0</v>
          </cell>
          <cell r="EI238">
            <v>0</v>
          </cell>
          <cell r="EJ238">
            <v>0</v>
          </cell>
          <cell r="EK238">
            <v>0</v>
          </cell>
          <cell r="EL238">
            <v>0</v>
          </cell>
          <cell r="EM238">
            <v>0</v>
          </cell>
          <cell r="EN238">
            <v>0</v>
          </cell>
          <cell r="EO238">
            <v>0</v>
          </cell>
          <cell r="EP238">
            <v>0</v>
          </cell>
          <cell r="EQ238">
            <v>0</v>
          </cell>
          <cell r="ER238">
            <v>0</v>
          </cell>
          <cell r="ES238">
            <v>0</v>
          </cell>
          <cell r="ET238">
            <v>0</v>
          </cell>
          <cell r="EU238">
            <v>0</v>
          </cell>
          <cell r="EV238">
            <v>0</v>
          </cell>
          <cell r="EW238">
            <v>0</v>
          </cell>
          <cell r="EX238">
            <v>0</v>
          </cell>
          <cell r="EY238">
            <v>0</v>
          </cell>
          <cell r="EZ238">
            <v>0</v>
          </cell>
          <cell r="FA238">
            <v>0</v>
          </cell>
          <cell r="FB238">
            <v>0</v>
          </cell>
          <cell r="FC238">
            <v>0</v>
          </cell>
          <cell r="FD238">
            <v>0</v>
          </cell>
          <cell r="FE238">
            <v>0</v>
          </cell>
          <cell r="FF238">
            <v>0</v>
          </cell>
          <cell r="FG238">
            <v>0</v>
          </cell>
          <cell r="FH238">
            <v>0</v>
          </cell>
          <cell r="FI238">
            <v>0</v>
          </cell>
          <cell r="FJ238">
            <v>0</v>
          </cell>
          <cell r="FK238">
            <v>0</v>
          </cell>
          <cell r="FL238">
            <v>0</v>
          </cell>
          <cell r="FM238">
            <v>0</v>
          </cell>
          <cell r="FN238">
            <v>0</v>
          </cell>
          <cell r="FO238">
            <v>0</v>
          </cell>
          <cell r="FP238">
            <v>0</v>
          </cell>
          <cell r="FQ238">
            <v>0</v>
          </cell>
          <cell r="FR238">
            <v>0</v>
          </cell>
          <cell r="FS238">
            <v>0</v>
          </cell>
          <cell r="FT238">
            <v>0</v>
          </cell>
          <cell r="FU238">
            <v>0</v>
          </cell>
          <cell r="FV238">
            <v>0</v>
          </cell>
          <cell r="FW238">
            <v>0</v>
          </cell>
          <cell r="FX238">
            <v>0</v>
          </cell>
          <cell r="FY238">
            <v>0</v>
          </cell>
          <cell r="FZ238">
            <v>0</v>
          </cell>
          <cell r="GA238">
            <v>0</v>
          </cell>
          <cell r="GB238">
            <v>0</v>
          </cell>
          <cell r="GC238">
            <v>0</v>
          </cell>
          <cell r="GD238">
            <v>0</v>
          </cell>
          <cell r="GE238">
            <v>0</v>
          </cell>
          <cell r="GF238">
            <v>0</v>
          </cell>
          <cell r="GG238">
            <v>0</v>
          </cell>
          <cell r="GH238">
            <v>0</v>
          </cell>
          <cell r="GI238">
            <v>0</v>
          </cell>
          <cell r="GJ238">
            <v>0</v>
          </cell>
          <cell r="GK238">
            <v>0</v>
          </cell>
          <cell r="GL238">
            <v>0</v>
          </cell>
          <cell r="GM238">
            <v>0</v>
          </cell>
          <cell r="GN238">
            <v>0</v>
          </cell>
          <cell r="GO238">
            <v>0</v>
          </cell>
          <cell r="GP238">
            <v>0</v>
          </cell>
          <cell r="GQ238">
            <v>0</v>
          </cell>
          <cell r="GR238">
            <v>0</v>
          </cell>
          <cell r="GS238">
            <v>0</v>
          </cell>
          <cell r="GT238">
            <v>0</v>
          </cell>
          <cell r="GU238">
            <v>0</v>
          </cell>
          <cell r="GV238">
            <v>0</v>
          </cell>
          <cell r="GW238">
            <v>0</v>
          </cell>
          <cell r="GX238">
            <v>0</v>
          </cell>
          <cell r="GY238">
            <v>0</v>
          </cell>
          <cell r="GZ238">
            <v>0</v>
          </cell>
          <cell r="HA238">
            <v>0</v>
          </cell>
          <cell r="HB238">
            <v>0</v>
          </cell>
          <cell r="HC238">
            <v>0</v>
          </cell>
          <cell r="HD238">
            <v>0</v>
          </cell>
          <cell r="HE238">
            <v>0</v>
          </cell>
          <cell r="HF238">
            <v>0</v>
          </cell>
          <cell r="HG238">
            <v>0</v>
          </cell>
          <cell r="HH238">
            <v>0</v>
          </cell>
          <cell r="HI238">
            <v>0</v>
          </cell>
          <cell r="HJ238">
            <v>0</v>
          </cell>
          <cell r="HK238">
            <v>0</v>
          </cell>
          <cell r="HL238">
            <v>0</v>
          </cell>
          <cell r="HM238">
            <v>0</v>
          </cell>
          <cell r="HN238">
            <v>0</v>
          </cell>
          <cell r="HO238">
            <v>0</v>
          </cell>
          <cell r="HP238">
            <v>0</v>
          </cell>
          <cell r="HQ238">
            <v>0</v>
          </cell>
          <cell r="HR238">
            <v>0</v>
          </cell>
          <cell r="HS238">
            <v>0</v>
          </cell>
          <cell r="HT238">
            <v>0</v>
          </cell>
          <cell r="HU238">
            <v>0</v>
          </cell>
          <cell r="HV238">
            <v>0</v>
          </cell>
          <cell r="HW238">
            <v>0</v>
          </cell>
          <cell r="HX238">
            <v>0</v>
          </cell>
          <cell r="HY238">
            <v>0</v>
          </cell>
          <cell r="HZ238">
            <v>0</v>
          </cell>
          <cell r="IA238">
            <v>0</v>
          </cell>
          <cell r="IB238">
            <v>0</v>
          </cell>
          <cell r="IC238">
            <v>0</v>
          </cell>
          <cell r="ID238">
            <v>0</v>
          </cell>
          <cell r="IE238">
            <v>0</v>
          </cell>
          <cell r="IF238">
            <v>0</v>
          </cell>
          <cell r="IG238">
            <v>0</v>
          </cell>
          <cell r="IH238">
            <v>0</v>
          </cell>
          <cell r="II238">
            <v>0</v>
          </cell>
          <cell r="IJ238">
            <v>0</v>
          </cell>
          <cell r="IK238">
            <v>0</v>
          </cell>
          <cell r="IL238">
            <v>0</v>
          </cell>
          <cell r="IM238">
            <v>0</v>
          </cell>
          <cell r="IN238">
            <v>0</v>
          </cell>
          <cell r="IO238">
            <v>0</v>
          </cell>
          <cell r="IP238">
            <v>0</v>
          </cell>
          <cell r="IQ238">
            <v>0</v>
          </cell>
          <cell r="IR238">
            <v>0</v>
          </cell>
          <cell r="IS238">
            <v>0</v>
          </cell>
          <cell r="IT238">
            <v>0</v>
          </cell>
          <cell r="IU238">
            <v>0</v>
          </cell>
          <cell r="IV238">
            <v>0</v>
          </cell>
          <cell r="IW238">
            <v>0</v>
          </cell>
          <cell r="IX238">
            <v>0</v>
          </cell>
          <cell r="IY238">
            <v>0</v>
          </cell>
          <cell r="IZ238">
            <v>0</v>
          </cell>
          <cell r="JA238">
            <v>0</v>
          </cell>
        </row>
        <row r="239">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7.1227260000000001</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cell r="BM239">
            <v>0</v>
          </cell>
          <cell r="BN239">
            <v>0</v>
          </cell>
          <cell r="BO239">
            <v>0</v>
          </cell>
          <cell r="BP239">
            <v>0</v>
          </cell>
          <cell r="BQ239">
            <v>0</v>
          </cell>
          <cell r="BR239">
            <v>0</v>
          </cell>
          <cell r="BS239">
            <v>0</v>
          </cell>
          <cell r="BT239">
            <v>0</v>
          </cell>
          <cell r="BU239">
            <v>0</v>
          </cell>
          <cell r="BV239">
            <v>0</v>
          </cell>
          <cell r="BW239">
            <v>0</v>
          </cell>
          <cell r="BX239">
            <v>0</v>
          </cell>
          <cell r="BY239">
            <v>0</v>
          </cell>
          <cell r="BZ239">
            <v>0</v>
          </cell>
          <cell r="CA239">
            <v>0</v>
          </cell>
          <cell r="CB239">
            <v>0</v>
          </cell>
          <cell r="CC239">
            <v>0</v>
          </cell>
          <cell r="CD239">
            <v>0</v>
          </cell>
          <cell r="CE239">
            <v>0</v>
          </cell>
          <cell r="CF239">
            <v>0</v>
          </cell>
          <cell r="CG239">
            <v>0</v>
          </cell>
          <cell r="CH239">
            <v>0</v>
          </cell>
          <cell r="CI239">
            <v>0</v>
          </cell>
          <cell r="CJ239">
            <v>0</v>
          </cell>
          <cell r="CK239">
            <v>0</v>
          </cell>
          <cell r="CL239">
            <v>0</v>
          </cell>
          <cell r="CM239">
            <v>0</v>
          </cell>
          <cell r="CN239">
            <v>0</v>
          </cell>
          <cell r="CO239">
            <v>0</v>
          </cell>
          <cell r="CP239">
            <v>0</v>
          </cell>
          <cell r="CQ239">
            <v>0</v>
          </cell>
          <cell r="CR239">
            <v>0</v>
          </cell>
          <cell r="CS239">
            <v>0</v>
          </cell>
          <cell r="CT239">
            <v>0</v>
          </cell>
          <cell r="CU239">
            <v>0</v>
          </cell>
          <cell r="CV239">
            <v>0</v>
          </cell>
          <cell r="CW239">
            <v>0</v>
          </cell>
          <cell r="CX239">
            <v>0</v>
          </cell>
          <cell r="CY239">
            <v>0</v>
          </cell>
          <cell r="CZ239">
            <v>0</v>
          </cell>
          <cell r="DA239">
            <v>0</v>
          </cell>
          <cell r="DB239">
            <v>0</v>
          </cell>
          <cell r="DC239">
            <v>0</v>
          </cell>
          <cell r="DD239">
            <v>0</v>
          </cell>
          <cell r="DE239">
            <v>0</v>
          </cell>
          <cell r="DF239">
            <v>0</v>
          </cell>
          <cell r="DG239">
            <v>0</v>
          </cell>
          <cell r="DH239">
            <v>0</v>
          </cell>
          <cell r="DI239">
            <v>0</v>
          </cell>
          <cell r="DJ239">
            <v>0</v>
          </cell>
          <cell r="DK239">
            <v>0</v>
          </cell>
          <cell r="DL239">
            <v>0</v>
          </cell>
          <cell r="DM239">
            <v>0</v>
          </cell>
          <cell r="DN239">
            <v>0</v>
          </cell>
          <cell r="DO239">
            <v>0</v>
          </cell>
          <cell r="DP239">
            <v>0</v>
          </cell>
          <cell r="DQ239">
            <v>0</v>
          </cell>
          <cell r="DR239">
            <v>0</v>
          </cell>
          <cell r="DS239">
            <v>0</v>
          </cell>
          <cell r="DT239">
            <v>0</v>
          </cell>
          <cell r="DU239">
            <v>0</v>
          </cell>
          <cell r="DV239">
            <v>0</v>
          </cell>
          <cell r="DW239">
            <v>0</v>
          </cell>
          <cell r="DX239">
            <v>0</v>
          </cell>
          <cell r="DY239">
            <v>0</v>
          </cell>
          <cell r="DZ239">
            <v>0</v>
          </cell>
          <cell r="EA239">
            <v>0</v>
          </cell>
          <cell r="EB239">
            <v>0</v>
          </cell>
          <cell r="EC239">
            <v>0</v>
          </cell>
          <cell r="ED239">
            <v>0</v>
          </cell>
          <cell r="EE239">
            <v>0</v>
          </cell>
          <cell r="EF239">
            <v>0</v>
          </cell>
          <cell r="EG239">
            <v>0</v>
          </cell>
          <cell r="EH239">
            <v>0</v>
          </cell>
          <cell r="EI239">
            <v>0</v>
          </cell>
          <cell r="EJ239">
            <v>0</v>
          </cell>
          <cell r="EK239">
            <v>0</v>
          </cell>
          <cell r="EL239">
            <v>0</v>
          </cell>
          <cell r="EM239">
            <v>0</v>
          </cell>
          <cell r="EN239">
            <v>0</v>
          </cell>
          <cell r="EO239">
            <v>0</v>
          </cell>
          <cell r="EP239">
            <v>0</v>
          </cell>
          <cell r="EQ239">
            <v>0</v>
          </cell>
          <cell r="ER239">
            <v>0</v>
          </cell>
          <cell r="ES239">
            <v>0</v>
          </cell>
          <cell r="ET239">
            <v>0</v>
          </cell>
          <cell r="EU239">
            <v>0</v>
          </cell>
          <cell r="EV239">
            <v>0</v>
          </cell>
          <cell r="EW239">
            <v>0</v>
          </cell>
          <cell r="EX239">
            <v>0</v>
          </cell>
          <cell r="EY239">
            <v>0</v>
          </cell>
          <cell r="EZ239">
            <v>0</v>
          </cell>
          <cell r="FA239">
            <v>0</v>
          </cell>
          <cell r="FB239">
            <v>0</v>
          </cell>
          <cell r="FC239">
            <v>0</v>
          </cell>
          <cell r="FD239">
            <v>0</v>
          </cell>
          <cell r="FE239">
            <v>0</v>
          </cell>
          <cell r="FF239">
            <v>0</v>
          </cell>
          <cell r="FG239">
            <v>0</v>
          </cell>
          <cell r="FH239">
            <v>0</v>
          </cell>
          <cell r="FI239">
            <v>0</v>
          </cell>
          <cell r="FJ239">
            <v>0</v>
          </cell>
          <cell r="FK239">
            <v>0</v>
          </cell>
          <cell r="FL239">
            <v>0</v>
          </cell>
          <cell r="FM239">
            <v>0</v>
          </cell>
          <cell r="FN239">
            <v>0</v>
          </cell>
          <cell r="FO239">
            <v>0</v>
          </cell>
          <cell r="FP239">
            <v>0</v>
          </cell>
          <cell r="FQ239">
            <v>0</v>
          </cell>
          <cell r="FR239">
            <v>0</v>
          </cell>
          <cell r="FS239">
            <v>0</v>
          </cell>
          <cell r="FT239">
            <v>0</v>
          </cell>
          <cell r="FU239">
            <v>0</v>
          </cell>
          <cell r="FV239">
            <v>0</v>
          </cell>
          <cell r="FW239">
            <v>0</v>
          </cell>
          <cell r="FX239">
            <v>0</v>
          </cell>
          <cell r="FY239">
            <v>0</v>
          </cell>
          <cell r="FZ239">
            <v>0</v>
          </cell>
          <cell r="GA239">
            <v>0</v>
          </cell>
          <cell r="GB239">
            <v>0</v>
          </cell>
          <cell r="GC239">
            <v>0</v>
          </cell>
          <cell r="GD239">
            <v>0</v>
          </cell>
          <cell r="GE239">
            <v>0</v>
          </cell>
          <cell r="GF239">
            <v>0</v>
          </cell>
          <cell r="GG239">
            <v>0</v>
          </cell>
          <cell r="GH239">
            <v>0</v>
          </cell>
          <cell r="GI239">
            <v>0</v>
          </cell>
          <cell r="GJ239">
            <v>0</v>
          </cell>
          <cell r="GK239">
            <v>0</v>
          </cell>
          <cell r="GL239">
            <v>0</v>
          </cell>
          <cell r="GM239">
            <v>0</v>
          </cell>
          <cell r="GN239">
            <v>0</v>
          </cell>
          <cell r="GO239">
            <v>0</v>
          </cell>
          <cell r="GP239">
            <v>0</v>
          </cell>
          <cell r="GQ239">
            <v>0</v>
          </cell>
          <cell r="GR239">
            <v>0</v>
          </cell>
          <cell r="GS239">
            <v>0</v>
          </cell>
          <cell r="GT239">
            <v>0</v>
          </cell>
          <cell r="GU239">
            <v>0</v>
          </cell>
          <cell r="GV239">
            <v>0</v>
          </cell>
          <cell r="GW239">
            <v>0</v>
          </cell>
          <cell r="GX239">
            <v>0</v>
          </cell>
          <cell r="GY239">
            <v>0</v>
          </cell>
          <cell r="GZ239">
            <v>0</v>
          </cell>
          <cell r="HA239">
            <v>0</v>
          </cell>
          <cell r="HB239">
            <v>0</v>
          </cell>
          <cell r="HC239">
            <v>0</v>
          </cell>
          <cell r="HD239">
            <v>0</v>
          </cell>
          <cell r="HE239">
            <v>0</v>
          </cell>
          <cell r="HF239">
            <v>0</v>
          </cell>
          <cell r="HG239">
            <v>0</v>
          </cell>
          <cell r="HH239">
            <v>0</v>
          </cell>
          <cell r="HI239">
            <v>0</v>
          </cell>
          <cell r="HJ239">
            <v>0</v>
          </cell>
          <cell r="HK239">
            <v>0</v>
          </cell>
          <cell r="HL239">
            <v>0</v>
          </cell>
          <cell r="HM239">
            <v>0</v>
          </cell>
          <cell r="HN239">
            <v>0</v>
          </cell>
          <cell r="HO239">
            <v>0</v>
          </cell>
          <cell r="HP239">
            <v>0</v>
          </cell>
          <cell r="HQ239">
            <v>0</v>
          </cell>
          <cell r="HR239">
            <v>0</v>
          </cell>
          <cell r="HS239">
            <v>0</v>
          </cell>
          <cell r="HT239">
            <v>0</v>
          </cell>
          <cell r="HU239">
            <v>0</v>
          </cell>
          <cell r="HV239">
            <v>0</v>
          </cell>
          <cell r="HW239">
            <v>0</v>
          </cell>
          <cell r="HX239">
            <v>0</v>
          </cell>
          <cell r="HY239">
            <v>0</v>
          </cell>
          <cell r="HZ239">
            <v>0</v>
          </cell>
          <cell r="IA239">
            <v>0</v>
          </cell>
          <cell r="IB239">
            <v>0</v>
          </cell>
          <cell r="IC239">
            <v>0</v>
          </cell>
          <cell r="ID239">
            <v>0</v>
          </cell>
          <cell r="IE239">
            <v>0</v>
          </cell>
          <cell r="IF239">
            <v>0</v>
          </cell>
          <cell r="IG239">
            <v>0</v>
          </cell>
          <cell r="IH239">
            <v>0</v>
          </cell>
          <cell r="II239">
            <v>0</v>
          </cell>
          <cell r="IJ239">
            <v>0</v>
          </cell>
          <cell r="IK239">
            <v>0</v>
          </cell>
          <cell r="IL239">
            <v>0</v>
          </cell>
          <cell r="IM239">
            <v>0</v>
          </cell>
          <cell r="IN239">
            <v>0</v>
          </cell>
          <cell r="IO239">
            <v>0</v>
          </cell>
          <cell r="IP239">
            <v>0</v>
          </cell>
          <cell r="IQ239">
            <v>0</v>
          </cell>
          <cell r="IR239">
            <v>0</v>
          </cell>
          <cell r="IS239">
            <v>0</v>
          </cell>
          <cell r="IT239">
            <v>0</v>
          </cell>
          <cell r="IU239">
            <v>0</v>
          </cell>
          <cell r="IV239">
            <v>0</v>
          </cell>
          <cell r="IW239">
            <v>0</v>
          </cell>
          <cell r="IX239">
            <v>0</v>
          </cell>
          <cell r="IY239">
            <v>0</v>
          </cell>
          <cell r="IZ239">
            <v>0</v>
          </cell>
          <cell r="JA239">
            <v>0</v>
          </cell>
        </row>
        <row r="240">
          <cell r="L240">
            <v>0.08</v>
          </cell>
          <cell r="M240">
            <v>0.08</v>
          </cell>
          <cell r="N240">
            <v>0.08</v>
          </cell>
          <cell r="O240">
            <v>0.08</v>
          </cell>
          <cell r="P240">
            <v>0.08</v>
          </cell>
          <cell r="Q240">
            <v>0.08</v>
          </cell>
          <cell r="R240">
            <v>0.08</v>
          </cell>
          <cell r="S240">
            <v>0.08</v>
          </cell>
          <cell r="T240">
            <v>0.08</v>
          </cell>
          <cell r="U240">
            <v>0.08</v>
          </cell>
          <cell r="V240">
            <v>0.08</v>
          </cell>
          <cell r="W240">
            <v>0.08</v>
          </cell>
          <cell r="X240">
            <v>0.08</v>
          </cell>
          <cell r="Y240">
            <v>0.08</v>
          </cell>
          <cell r="Z240">
            <v>0.08</v>
          </cell>
          <cell r="AA240">
            <v>0.08</v>
          </cell>
          <cell r="AB240">
            <v>0.08</v>
          </cell>
          <cell r="AC240">
            <v>0.08</v>
          </cell>
          <cell r="AD240">
            <v>0.08</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cell r="BM240">
            <v>0</v>
          </cell>
          <cell r="BN240">
            <v>0</v>
          </cell>
          <cell r="BO240">
            <v>0</v>
          </cell>
          <cell r="BP240">
            <v>0</v>
          </cell>
          <cell r="BQ240">
            <v>0</v>
          </cell>
          <cell r="BR240">
            <v>0</v>
          </cell>
          <cell r="BS240">
            <v>0</v>
          </cell>
          <cell r="BT240">
            <v>0</v>
          </cell>
          <cell r="BU240">
            <v>0</v>
          </cell>
          <cell r="BV240">
            <v>0</v>
          </cell>
          <cell r="BW240">
            <v>0</v>
          </cell>
          <cell r="BX240">
            <v>0</v>
          </cell>
          <cell r="BY240">
            <v>0</v>
          </cell>
          <cell r="BZ240">
            <v>0</v>
          </cell>
          <cell r="CA240">
            <v>0</v>
          </cell>
          <cell r="CB240">
            <v>0</v>
          </cell>
          <cell r="CC240">
            <v>0</v>
          </cell>
          <cell r="CD240">
            <v>0</v>
          </cell>
          <cell r="CE240">
            <v>0</v>
          </cell>
          <cell r="CF240">
            <v>0</v>
          </cell>
          <cell r="CG240">
            <v>0</v>
          </cell>
          <cell r="CH240">
            <v>0</v>
          </cell>
          <cell r="CI240">
            <v>0</v>
          </cell>
          <cell r="CJ240">
            <v>0</v>
          </cell>
          <cell r="CK240">
            <v>0</v>
          </cell>
          <cell r="CL240">
            <v>0</v>
          </cell>
          <cell r="CM240">
            <v>0</v>
          </cell>
          <cell r="CN240">
            <v>0</v>
          </cell>
          <cell r="CO240">
            <v>0</v>
          </cell>
          <cell r="CP240">
            <v>0</v>
          </cell>
          <cell r="CQ240">
            <v>0</v>
          </cell>
          <cell r="CR240">
            <v>0</v>
          </cell>
          <cell r="CS240">
            <v>0</v>
          </cell>
          <cell r="CT240">
            <v>0</v>
          </cell>
          <cell r="CU240">
            <v>0</v>
          </cell>
          <cell r="CV240">
            <v>0</v>
          </cell>
          <cell r="CW240">
            <v>0</v>
          </cell>
          <cell r="CX240">
            <v>0</v>
          </cell>
          <cell r="CY240">
            <v>0</v>
          </cell>
          <cell r="CZ240">
            <v>0</v>
          </cell>
          <cell r="DA240">
            <v>0</v>
          </cell>
          <cell r="DB240">
            <v>0</v>
          </cell>
          <cell r="DC240">
            <v>0</v>
          </cell>
          <cell r="DD240">
            <v>0</v>
          </cell>
          <cell r="DE240">
            <v>0</v>
          </cell>
          <cell r="DF240">
            <v>0</v>
          </cell>
          <cell r="DG240">
            <v>0</v>
          </cell>
          <cell r="DH240">
            <v>0</v>
          </cell>
          <cell r="DI240">
            <v>0</v>
          </cell>
          <cell r="DJ240">
            <v>0</v>
          </cell>
          <cell r="DK240">
            <v>0</v>
          </cell>
          <cell r="DL240">
            <v>0</v>
          </cell>
          <cell r="DM240">
            <v>0</v>
          </cell>
          <cell r="DN240">
            <v>0</v>
          </cell>
          <cell r="DO240">
            <v>0</v>
          </cell>
          <cell r="DP240">
            <v>0</v>
          </cell>
          <cell r="DQ240">
            <v>0</v>
          </cell>
          <cell r="DR240">
            <v>0</v>
          </cell>
          <cell r="DS240">
            <v>0</v>
          </cell>
          <cell r="DT240">
            <v>0</v>
          </cell>
          <cell r="DU240">
            <v>0</v>
          </cell>
          <cell r="DV240">
            <v>0</v>
          </cell>
          <cell r="DW240">
            <v>0</v>
          </cell>
          <cell r="DX240">
            <v>0</v>
          </cell>
          <cell r="DY240">
            <v>0</v>
          </cell>
          <cell r="DZ240">
            <v>0</v>
          </cell>
          <cell r="EA240">
            <v>0</v>
          </cell>
          <cell r="EB240">
            <v>0</v>
          </cell>
          <cell r="EC240">
            <v>0</v>
          </cell>
          <cell r="ED240">
            <v>0</v>
          </cell>
          <cell r="EE240">
            <v>0</v>
          </cell>
          <cell r="EF240">
            <v>0</v>
          </cell>
          <cell r="EG240">
            <v>0</v>
          </cell>
          <cell r="EH240">
            <v>0</v>
          </cell>
          <cell r="EI240">
            <v>0</v>
          </cell>
          <cell r="EJ240">
            <v>0</v>
          </cell>
          <cell r="EK240">
            <v>0</v>
          </cell>
          <cell r="EL240">
            <v>0</v>
          </cell>
          <cell r="EM240">
            <v>0</v>
          </cell>
          <cell r="EN240">
            <v>0</v>
          </cell>
          <cell r="EO240">
            <v>0</v>
          </cell>
          <cell r="EP240">
            <v>0</v>
          </cell>
          <cell r="EQ240">
            <v>0</v>
          </cell>
          <cell r="ER240">
            <v>0</v>
          </cell>
          <cell r="ES240">
            <v>0</v>
          </cell>
          <cell r="ET240">
            <v>0</v>
          </cell>
          <cell r="EU240">
            <v>0</v>
          </cell>
          <cell r="EV240">
            <v>0</v>
          </cell>
          <cell r="EW240">
            <v>0</v>
          </cell>
          <cell r="EX240">
            <v>0</v>
          </cell>
          <cell r="EY240">
            <v>0</v>
          </cell>
          <cell r="EZ240">
            <v>0</v>
          </cell>
          <cell r="FA240">
            <v>0</v>
          </cell>
          <cell r="FB240">
            <v>0</v>
          </cell>
          <cell r="FC240">
            <v>0</v>
          </cell>
          <cell r="FD240">
            <v>0</v>
          </cell>
          <cell r="FE240">
            <v>0</v>
          </cell>
          <cell r="FF240">
            <v>0</v>
          </cell>
          <cell r="FG240">
            <v>0</v>
          </cell>
          <cell r="FH240">
            <v>0</v>
          </cell>
          <cell r="FI240">
            <v>0</v>
          </cell>
          <cell r="FJ240">
            <v>0</v>
          </cell>
          <cell r="FK240">
            <v>0</v>
          </cell>
          <cell r="FL240">
            <v>0</v>
          </cell>
          <cell r="FM240">
            <v>0</v>
          </cell>
          <cell r="FN240">
            <v>0</v>
          </cell>
          <cell r="FO240">
            <v>0</v>
          </cell>
          <cell r="FP240">
            <v>0</v>
          </cell>
          <cell r="FQ240">
            <v>0</v>
          </cell>
          <cell r="FR240">
            <v>0</v>
          </cell>
          <cell r="FS240">
            <v>0</v>
          </cell>
          <cell r="FT240">
            <v>0</v>
          </cell>
          <cell r="FU240">
            <v>0</v>
          </cell>
          <cell r="FV240">
            <v>0</v>
          </cell>
          <cell r="FW240">
            <v>0</v>
          </cell>
          <cell r="FX240">
            <v>0</v>
          </cell>
          <cell r="FY240">
            <v>0</v>
          </cell>
          <cell r="FZ240">
            <v>0</v>
          </cell>
          <cell r="GA240">
            <v>0</v>
          </cell>
          <cell r="GB240">
            <v>0</v>
          </cell>
          <cell r="GC240">
            <v>0</v>
          </cell>
          <cell r="GD240">
            <v>0</v>
          </cell>
          <cell r="GE240">
            <v>0</v>
          </cell>
          <cell r="GF240">
            <v>0</v>
          </cell>
          <cell r="GG240">
            <v>0</v>
          </cell>
          <cell r="GH240">
            <v>0</v>
          </cell>
          <cell r="GI240">
            <v>0</v>
          </cell>
          <cell r="GJ240">
            <v>0</v>
          </cell>
          <cell r="GK240">
            <v>0</v>
          </cell>
          <cell r="GL240">
            <v>0</v>
          </cell>
          <cell r="GM240">
            <v>0</v>
          </cell>
          <cell r="GN240">
            <v>0</v>
          </cell>
          <cell r="GO240">
            <v>0</v>
          </cell>
          <cell r="GP240">
            <v>0</v>
          </cell>
          <cell r="GQ240">
            <v>0</v>
          </cell>
          <cell r="GR240">
            <v>0</v>
          </cell>
          <cell r="GS240">
            <v>0</v>
          </cell>
          <cell r="GT240">
            <v>0</v>
          </cell>
          <cell r="GU240">
            <v>0</v>
          </cell>
          <cell r="GV240">
            <v>0</v>
          </cell>
          <cell r="GW240">
            <v>0</v>
          </cell>
          <cell r="GX240">
            <v>0</v>
          </cell>
          <cell r="GY240">
            <v>0</v>
          </cell>
          <cell r="GZ240">
            <v>0</v>
          </cell>
          <cell r="HA240">
            <v>0</v>
          </cell>
          <cell r="HB240">
            <v>0</v>
          </cell>
          <cell r="HC240">
            <v>0</v>
          </cell>
          <cell r="HD240">
            <v>0</v>
          </cell>
          <cell r="HE240">
            <v>0</v>
          </cell>
          <cell r="HF240">
            <v>0</v>
          </cell>
          <cell r="HG240">
            <v>0</v>
          </cell>
          <cell r="HH240">
            <v>0</v>
          </cell>
          <cell r="HI240">
            <v>0</v>
          </cell>
          <cell r="HJ240">
            <v>0</v>
          </cell>
          <cell r="HK240">
            <v>0</v>
          </cell>
          <cell r="HL240">
            <v>0</v>
          </cell>
          <cell r="HM240">
            <v>0</v>
          </cell>
          <cell r="HN240">
            <v>0</v>
          </cell>
          <cell r="HO240">
            <v>0</v>
          </cell>
          <cell r="HP240">
            <v>0</v>
          </cell>
          <cell r="HQ240">
            <v>0</v>
          </cell>
          <cell r="HR240">
            <v>0</v>
          </cell>
          <cell r="HS240">
            <v>0</v>
          </cell>
          <cell r="HT240">
            <v>0</v>
          </cell>
          <cell r="HU240">
            <v>0</v>
          </cell>
          <cell r="HV240">
            <v>0</v>
          </cell>
          <cell r="HW240">
            <v>0</v>
          </cell>
          <cell r="HX240">
            <v>0</v>
          </cell>
          <cell r="HY240">
            <v>0</v>
          </cell>
          <cell r="HZ240">
            <v>0</v>
          </cell>
          <cell r="IA240">
            <v>0</v>
          </cell>
          <cell r="IB240">
            <v>0</v>
          </cell>
          <cell r="IC240">
            <v>0</v>
          </cell>
          <cell r="ID240">
            <v>0</v>
          </cell>
          <cell r="IE240">
            <v>0</v>
          </cell>
          <cell r="IF240">
            <v>0</v>
          </cell>
          <cell r="IG240">
            <v>0</v>
          </cell>
          <cell r="IH240">
            <v>0</v>
          </cell>
          <cell r="II240">
            <v>0</v>
          </cell>
          <cell r="IJ240">
            <v>0</v>
          </cell>
          <cell r="IK240">
            <v>0</v>
          </cell>
          <cell r="IL240">
            <v>0</v>
          </cell>
          <cell r="IM240">
            <v>0</v>
          </cell>
          <cell r="IN240">
            <v>0</v>
          </cell>
          <cell r="IO240">
            <v>0</v>
          </cell>
          <cell r="IP240">
            <v>0</v>
          </cell>
          <cell r="IQ240">
            <v>0</v>
          </cell>
          <cell r="IR240">
            <v>0</v>
          </cell>
          <cell r="IS240">
            <v>0</v>
          </cell>
          <cell r="IT240">
            <v>0</v>
          </cell>
          <cell r="IU240">
            <v>0</v>
          </cell>
          <cell r="IV240">
            <v>0</v>
          </cell>
          <cell r="IW240">
            <v>0</v>
          </cell>
          <cell r="IX240">
            <v>0</v>
          </cell>
          <cell r="IY240">
            <v>0</v>
          </cell>
          <cell r="IZ240">
            <v>0</v>
          </cell>
          <cell r="JA240">
            <v>0</v>
          </cell>
        </row>
        <row r="247">
          <cell r="L247">
            <v>0</v>
          </cell>
          <cell r="M247">
            <v>0</v>
          </cell>
          <cell r="N247">
            <v>0</v>
          </cell>
          <cell r="O247">
            <v>10.356752743255665</v>
          </cell>
          <cell r="P247">
            <v>13.091616852051901</v>
          </cell>
          <cell r="Q247">
            <v>12.901924709551317</v>
          </cell>
          <cell r="R247">
            <v>13.159962403269482</v>
          </cell>
          <cell r="S247">
            <v>13.423161310130734</v>
          </cell>
          <cell r="T247">
            <v>13.691626005489935</v>
          </cell>
          <cell r="U247">
            <v>13.965457830953662</v>
          </cell>
          <cell r="V247">
            <v>14.244767414170383</v>
          </cell>
          <cell r="W247">
            <v>14.529663280814685</v>
          </cell>
          <cell r="X247">
            <v>14.820007523852482</v>
          </cell>
          <cell r="Y247">
            <v>15.113911551270849</v>
          </cell>
          <cell r="Z247">
            <v>14.836534755836412</v>
          </cell>
          <cell r="AA247">
            <v>14.190167440442881</v>
          </cell>
          <cell r="AB247">
            <v>13.517320056460662</v>
          </cell>
          <cell r="AC247">
            <v>12.817303527909129</v>
          </cell>
          <cell r="AD247">
            <v>12.135458503792123</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cell r="BM247">
            <v>0</v>
          </cell>
          <cell r="BN247">
            <v>0</v>
          </cell>
          <cell r="BO247">
            <v>0</v>
          </cell>
          <cell r="BP247">
            <v>0</v>
          </cell>
          <cell r="BQ247">
            <v>0</v>
          </cell>
          <cell r="BR247">
            <v>0</v>
          </cell>
          <cell r="BS247">
            <v>0</v>
          </cell>
          <cell r="BT247">
            <v>0</v>
          </cell>
          <cell r="BU247">
            <v>0</v>
          </cell>
          <cell r="BV247">
            <v>0</v>
          </cell>
          <cell r="BW247">
            <v>0</v>
          </cell>
          <cell r="BX247">
            <v>0</v>
          </cell>
          <cell r="BY247">
            <v>0</v>
          </cell>
          <cell r="BZ247">
            <v>0</v>
          </cell>
          <cell r="CA247">
            <v>0</v>
          </cell>
          <cell r="CB247">
            <v>0</v>
          </cell>
          <cell r="CC247">
            <v>0</v>
          </cell>
          <cell r="CD247">
            <v>0</v>
          </cell>
          <cell r="CE247">
            <v>0</v>
          </cell>
          <cell r="CF247">
            <v>0</v>
          </cell>
          <cell r="CG247">
            <v>0</v>
          </cell>
          <cell r="CH247">
            <v>0</v>
          </cell>
          <cell r="CI247">
            <v>0</v>
          </cell>
          <cell r="CJ247">
            <v>0</v>
          </cell>
          <cell r="CK247">
            <v>0</v>
          </cell>
          <cell r="CL247">
            <v>0</v>
          </cell>
          <cell r="CM247">
            <v>0</v>
          </cell>
          <cell r="CN247">
            <v>0</v>
          </cell>
          <cell r="CO247">
            <v>0</v>
          </cell>
          <cell r="CP247">
            <v>0</v>
          </cell>
          <cell r="CQ247">
            <v>0</v>
          </cell>
          <cell r="CR247">
            <v>0</v>
          </cell>
          <cell r="CS247">
            <v>0</v>
          </cell>
          <cell r="CT247">
            <v>0</v>
          </cell>
          <cell r="CU247">
            <v>0</v>
          </cell>
          <cell r="CV247">
            <v>0</v>
          </cell>
          <cell r="CW247">
            <v>0</v>
          </cell>
          <cell r="CX247">
            <v>0</v>
          </cell>
          <cell r="CY247">
            <v>0</v>
          </cell>
          <cell r="CZ247">
            <v>0</v>
          </cell>
          <cell r="DA247">
            <v>0</v>
          </cell>
          <cell r="DB247">
            <v>0</v>
          </cell>
          <cell r="DC247">
            <v>0</v>
          </cell>
          <cell r="DD247">
            <v>0</v>
          </cell>
          <cell r="DE247">
            <v>0</v>
          </cell>
          <cell r="DF247">
            <v>0</v>
          </cell>
          <cell r="DG247">
            <v>0</v>
          </cell>
          <cell r="DH247">
            <v>0</v>
          </cell>
          <cell r="DI247">
            <v>0</v>
          </cell>
          <cell r="DJ247">
            <v>0</v>
          </cell>
          <cell r="DK247">
            <v>0</v>
          </cell>
          <cell r="DL247">
            <v>0</v>
          </cell>
          <cell r="DM247">
            <v>0</v>
          </cell>
          <cell r="DN247">
            <v>0</v>
          </cell>
          <cell r="DO247">
            <v>0</v>
          </cell>
          <cell r="DP247">
            <v>0</v>
          </cell>
          <cell r="DQ247">
            <v>0</v>
          </cell>
          <cell r="DR247">
            <v>0</v>
          </cell>
          <cell r="DS247">
            <v>0</v>
          </cell>
          <cell r="DT247">
            <v>0</v>
          </cell>
          <cell r="DU247">
            <v>0</v>
          </cell>
          <cell r="DV247">
            <v>0</v>
          </cell>
          <cell r="DW247">
            <v>0</v>
          </cell>
          <cell r="DX247">
            <v>0</v>
          </cell>
          <cell r="DY247">
            <v>0</v>
          </cell>
          <cell r="DZ247">
            <v>0</v>
          </cell>
          <cell r="EA247">
            <v>0</v>
          </cell>
          <cell r="EB247">
            <v>0</v>
          </cell>
          <cell r="EC247">
            <v>0</v>
          </cell>
          <cell r="ED247">
            <v>0</v>
          </cell>
          <cell r="EE247">
            <v>0</v>
          </cell>
          <cell r="EF247">
            <v>0</v>
          </cell>
          <cell r="EG247">
            <v>0</v>
          </cell>
          <cell r="EH247">
            <v>0</v>
          </cell>
          <cell r="EI247">
            <v>0</v>
          </cell>
          <cell r="EJ247">
            <v>0</v>
          </cell>
          <cell r="EK247">
            <v>0</v>
          </cell>
          <cell r="EL247">
            <v>0</v>
          </cell>
          <cell r="EM247">
            <v>0</v>
          </cell>
          <cell r="EN247">
            <v>0</v>
          </cell>
          <cell r="EO247">
            <v>0</v>
          </cell>
          <cell r="EP247">
            <v>0</v>
          </cell>
          <cell r="EQ247">
            <v>0</v>
          </cell>
          <cell r="ER247">
            <v>0</v>
          </cell>
          <cell r="ES247">
            <v>0</v>
          </cell>
          <cell r="ET247">
            <v>0</v>
          </cell>
          <cell r="EU247">
            <v>0</v>
          </cell>
          <cell r="EV247">
            <v>0</v>
          </cell>
          <cell r="EW247">
            <v>0</v>
          </cell>
          <cell r="EX247">
            <v>0</v>
          </cell>
          <cell r="EY247">
            <v>0</v>
          </cell>
          <cell r="EZ247">
            <v>0</v>
          </cell>
          <cell r="FA247">
            <v>0</v>
          </cell>
          <cell r="FB247">
            <v>0</v>
          </cell>
          <cell r="FC247">
            <v>0</v>
          </cell>
          <cell r="FD247">
            <v>0</v>
          </cell>
          <cell r="FE247">
            <v>0</v>
          </cell>
          <cell r="FF247">
            <v>0</v>
          </cell>
          <cell r="FG247">
            <v>0</v>
          </cell>
          <cell r="FH247">
            <v>0</v>
          </cell>
          <cell r="FI247">
            <v>0</v>
          </cell>
          <cell r="FJ247">
            <v>0</v>
          </cell>
          <cell r="FK247">
            <v>0</v>
          </cell>
          <cell r="FL247">
            <v>0</v>
          </cell>
          <cell r="FM247">
            <v>0</v>
          </cell>
          <cell r="FN247">
            <v>0</v>
          </cell>
          <cell r="FO247">
            <v>0</v>
          </cell>
          <cell r="FP247">
            <v>0</v>
          </cell>
          <cell r="FQ247">
            <v>0</v>
          </cell>
          <cell r="FR247">
            <v>0</v>
          </cell>
          <cell r="FS247">
            <v>0</v>
          </cell>
          <cell r="FT247">
            <v>0</v>
          </cell>
          <cell r="FU247">
            <v>0</v>
          </cell>
          <cell r="FV247">
            <v>0</v>
          </cell>
          <cell r="FW247">
            <v>0</v>
          </cell>
          <cell r="FX247">
            <v>0</v>
          </cell>
          <cell r="FY247">
            <v>0</v>
          </cell>
          <cell r="FZ247">
            <v>0</v>
          </cell>
          <cell r="GA247">
            <v>0</v>
          </cell>
          <cell r="GB247">
            <v>0</v>
          </cell>
          <cell r="GC247">
            <v>0</v>
          </cell>
          <cell r="GD247">
            <v>0</v>
          </cell>
          <cell r="GE247">
            <v>0</v>
          </cell>
          <cell r="GF247">
            <v>0</v>
          </cell>
          <cell r="GG247">
            <v>0</v>
          </cell>
          <cell r="GH247">
            <v>0</v>
          </cell>
          <cell r="GI247">
            <v>0</v>
          </cell>
          <cell r="GJ247">
            <v>0</v>
          </cell>
          <cell r="GK247">
            <v>0</v>
          </cell>
          <cell r="GL247">
            <v>0</v>
          </cell>
          <cell r="GM247">
            <v>0</v>
          </cell>
          <cell r="GN247">
            <v>0</v>
          </cell>
          <cell r="GO247">
            <v>0</v>
          </cell>
          <cell r="GP247">
            <v>0</v>
          </cell>
          <cell r="GQ247">
            <v>0</v>
          </cell>
          <cell r="GR247">
            <v>0</v>
          </cell>
          <cell r="GS247">
            <v>0</v>
          </cell>
          <cell r="GT247">
            <v>0</v>
          </cell>
          <cell r="GU247">
            <v>0</v>
          </cell>
          <cell r="GV247">
            <v>0</v>
          </cell>
          <cell r="GW247">
            <v>0</v>
          </cell>
          <cell r="GX247">
            <v>0</v>
          </cell>
          <cell r="GY247">
            <v>0</v>
          </cell>
          <cell r="GZ247">
            <v>0</v>
          </cell>
          <cell r="HA247">
            <v>0</v>
          </cell>
          <cell r="HB247">
            <v>0</v>
          </cell>
          <cell r="HC247">
            <v>0</v>
          </cell>
          <cell r="HD247">
            <v>0</v>
          </cell>
          <cell r="HE247">
            <v>0</v>
          </cell>
          <cell r="HF247">
            <v>0</v>
          </cell>
          <cell r="HG247">
            <v>0</v>
          </cell>
          <cell r="HH247">
            <v>0</v>
          </cell>
          <cell r="HI247">
            <v>0</v>
          </cell>
          <cell r="HJ247">
            <v>0</v>
          </cell>
          <cell r="HK247">
            <v>0</v>
          </cell>
          <cell r="HL247">
            <v>0</v>
          </cell>
          <cell r="HM247">
            <v>0</v>
          </cell>
          <cell r="HN247">
            <v>0</v>
          </cell>
          <cell r="HO247">
            <v>0</v>
          </cell>
          <cell r="HP247">
            <v>0</v>
          </cell>
          <cell r="HQ247">
            <v>0</v>
          </cell>
          <cell r="HR247">
            <v>0</v>
          </cell>
          <cell r="HS247">
            <v>0</v>
          </cell>
          <cell r="HT247">
            <v>0</v>
          </cell>
          <cell r="HU247">
            <v>0</v>
          </cell>
          <cell r="HV247">
            <v>0</v>
          </cell>
          <cell r="HW247">
            <v>0</v>
          </cell>
          <cell r="HX247">
            <v>0</v>
          </cell>
          <cell r="HY247">
            <v>0</v>
          </cell>
          <cell r="HZ247">
            <v>0</v>
          </cell>
          <cell r="IA247">
            <v>0</v>
          </cell>
          <cell r="IB247">
            <v>0</v>
          </cell>
          <cell r="IC247">
            <v>0</v>
          </cell>
          <cell r="ID247">
            <v>0</v>
          </cell>
          <cell r="IE247">
            <v>0</v>
          </cell>
          <cell r="IF247">
            <v>0</v>
          </cell>
          <cell r="IG247">
            <v>0</v>
          </cell>
          <cell r="IH247">
            <v>0</v>
          </cell>
          <cell r="II247">
            <v>0</v>
          </cell>
          <cell r="IJ247">
            <v>0</v>
          </cell>
          <cell r="IK247">
            <v>0</v>
          </cell>
          <cell r="IL247">
            <v>0</v>
          </cell>
          <cell r="IM247">
            <v>0</v>
          </cell>
          <cell r="IN247">
            <v>0</v>
          </cell>
          <cell r="IO247">
            <v>0</v>
          </cell>
          <cell r="IP247">
            <v>0</v>
          </cell>
          <cell r="IQ247">
            <v>0</v>
          </cell>
          <cell r="IR247">
            <v>0</v>
          </cell>
          <cell r="IS247">
            <v>0</v>
          </cell>
          <cell r="IT247">
            <v>0</v>
          </cell>
          <cell r="IU247">
            <v>0</v>
          </cell>
          <cell r="IV247">
            <v>0</v>
          </cell>
          <cell r="IW247">
            <v>0</v>
          </cell>
          <cell r="IX247">
            <v>0</v>
          </cell>
          <cell r="IY247">
            <v>0</v>
          </cell>
          <cell r="IZ247">
            <v>0</v>
          </cell>
          <cell r="JA247">
            <v>0</v>
          </cell>
        </row>
        <row r="248">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cell r="BM248">
            <v>0</v>
          </cell>
          <cell r="BN248">
            <v>0</v>
          </cell>
          <cell r="BO248">
            <v>0</v>
          </cell>
          <cell r="BP248">
            <v>0</v>
          </cell>
          <cell r="BQ248">
            <v>0</v>
          </cell>
          <cell r="BR248">
            <v>0</v>
          </cell>
          <cell r="BS248">
            <v>0</v>
          </cell>
          <cell r="BT248">
            <v>0</v>
          </cell>
          <cell r="BU248">
            <v>0</v>
          </cell>
          <cell r="BV248">
            <v>0</v>
          </cell>
          <cell r="BW248">
            <v>0</v>
          </cell>
          <cell r="BX248">
            <v>0</v>
          </cell>
          <cell r="BY248">
            <v>0</v>
          </cell>
          <cell r="BZ248">
            <v>0</v>
          </cell>
          <cell r="CA248">
            <v>0</v>
          </cell>
          <cell r="CB248">
            <v>0</v>
          </cell>
          <cell r="CC248">
            <v>0</v>
          </cell>
          <cell r="CD248">
            <v>0</v>
          </cell>
          <cell r="CE248">
            <v>0</v>
          </cell>
          <cell r="CF248">
            <v>0</v>
          </cell>
          <cell r="CG248">
            <v>0</v>
          </cell>
          <cell r="CH248">
            <v>0</v>
          </cell>
          <cell r="CI248">
            <v>0</v>
          </cell>
          <cell r="CJ248">
            <v>0</v>
          </cell>
          <cell r="CK248">
            <v>0</v>
          </cell>
          <cell r="CL248">
            <v>0</v>
          </cell>
          <cell r="CM248">
            <v>0</v>
          </cell>
          <cell r="CN248">
            <v>0</v>
          </cell>
          <cell r="CO248">
            <v>0</v>
          </cell>
          <cell r="CP248">
            <v>0</v>
          </cell>
          <cell r="CQ248">
            <v>0</v>
          </cell>
          <cell r="CR248">
            <v>0</v>
          </cell>
          <cell r="CS248">
            <v>0</v>
          </cell>
          <cell r="CT248">
            <v>0</v>
          </cell>
          <cell r="CU248">
            <v>0</v>
          </cell>
          <cell r="CV248">
            <v>0</v>
          </cell>
          <cell r="CW248">
            <v>0</v>
          </cell>
          <cell r="CX248">
            <v>0</v>
          </cell>
          <cell r="CY248">
            <v>0</v>
          </cell>
          <cell r="CZ248">
            <v>0</v>
          </cell>
          <cell r="DA248">
            <v>0</v>
          </cell>
          <cell r="DB248">
            <v>0</v>
          </cell>
          <cell r="DC248">
            <v>0</v>
          </cell>
          <cell r="DD248">
            <v>0</v>
          </cell>
          <cell r="DE248">
            <v>0</v>
          </cell>
          <cell r="DF248">
            <v>0</v>
          </cell>
          <cell r="DG248">
            <v>0</v>
          </cell>
          <cell r="DH248">
            <v>0</v>
          </cell>
          <cell r="DI248">
            <v>0</v>
          </cell>
          <cell r="DJ248">
            <v>0</v>
          </cell>
          <cell r="DK248">
            <v>0</v>
          </cell>
          <cell r="DL248">
            <v>0</v>
          </cell>
          <cell r="DM248">
            <v>0</v>
          </cell>
          <cell r="DN248">
            <v>0</v>
          </cell>
          <cell r="DO248">
            <v>0</v>
          </cell>
          <cell r="DP248">
            <v>0</v>
          </cell>
          <cell r="DQ248">
            <v>0</v>
          </cell>
          <cell r="DR248">
            <v>0</v>
          </cell>
          <cell r="DS248">
            <v>0</v>
          </cell>
          <cell r="DT248">
            <v>0</v>
          </cell>
          <cell r="DU248">
            <v>0</v>
          </cell>
          <cell r="DV248">
            <v>0</v>
          </cell>
          <cell r="DW248">
            <v>0</v>
          </cell>
          <cell r="DX248">
            <v>0</v>
          </cell>
          <cell r="DY248">
            <v>0</v>
          </cell>
          <cell r="DZ248">
            <v>0</v>
          </cell>
          <cell r="EA248">
            <v>0</v>
          </cell>
          <cell r="EB248">
            <v>0</v>
          </cell>
          <cell r="EC248">
            <v>0</v>
          </cell>
          <cell r="ED248">
            <v>0</v>
          </cell>
          <cell r="EE248">
            <v>0</v>
          </cell>
          <cell r="EF248">
            <v>0</v>
          </cell>
          <cell r="EG248">
            <v>0</v>
          </cell>
          <cell r="EH248">
            <v>0</v>
          </cell>
          <cell r="EI248">
            <v>0</v>
          </cell>
          <cell r="EJ248">
            <v>0</v>
          </cell>
          <cell r="EK248">
            <v>0</v>
          </cell>
          <cell r="EL248">
            <v>0</v>
          </cell>
          <cell r="EM248">
            <v>0</v>
          </cell>
          <cell r="EN248">
            <v>0</v>
          </cell>
          <cell r="EO248">
            <v>0</v>
          </cell>
          <cell r="EP248">
            <v>0</v>
          </cell>
          <cell r="EQ248">
            <v>0</v>
          </cell>
          <cell r="ER248">
            <v>0</v>
          </cell>
          <cell r="ES248">
            <v>0</v>
          </cell>
          <cell r="ET248">
            <v>0</v>
          </cell>
          <cell r="EU248">
            <v>0</v>
          </cell>
          <cell r="EV248">
            <v>0</v>
          </cell>
          <cell r="EW248">
            <v>0</v>
          </cell>
          <cell r="EX248">
            <v>0</v>
          </cell>
          <cell r="EY248">
            <v>0</v>
          </cell>
          <cell r="EZ248">
            <v>0</v>
          </cell>
          <cell r="FA248">
            <v>0</v>
          </cell>
          <cell r="FB248">
            <v>0</v>
          </cell>
          <cell r="FC248">
            <v>0</v>
          </cell>
          <cell r="FD248">
            <v>0</v>
          </cell>
          <cell r="FE248">
            <v>0</v>
          </cell>
          <cell r="FF248">
            <v>0</v>
          </cell>
          <cell r="FG248">
            <v>0</v>
          </cell>
          <cell r="FH248">
            <v>0</v>
          </cell>
          <cell r="FI248">
            <v>0</v>
          </cell>
          <cell r="FJ248">
            <v>0</v>
          </cell>
          <cell r="FK248">
            <v>0</v>
          </cell>
          <cell r="FL248">
            <v>0</v>
          </cell>
          <cell r="FM248">
            <v>0</v>
          </cell>
          <cell r="FN248">
            <v>0</v>
          </cell>
          <cell r="FO248">
            <v>0</v>
          </cell>
          <cell r="FP248">
            <v>0</v>
          </cell>
          <cell r="FQ248">
            <v>0</v>
          </cell>
          <cell r="FR248">
            <v>0</v>
          </cell>
          <cell r="FS248">
            <v>0</v>
          </cell>
          <cell r="FT248">
            <v>0</v>
          </cell>
          <cell r="FU248">
            <v>0</v>
          </cell>
          <cell r="FV248">
            <v>0</v>
          </cell>
          <cell r="FW248">
            <v>0</v>
          </cell>
          <cell r="FX248">
            <v>0</v>
          </cell>
          <cell r="FY248">
            <v>0</v>
          </cell>
          <cell r="FZ248">
            <v>0</v>
          </cell>
          <cell r="GA248">
            <v>0</v>
          </cell>
          <cell r="GB248">
            <v>0</v>
          </cell>
          <cell r="GC248">
            <v>0</v>
          </cell>
          <cell r="GD248">
            <v>0</v>
          </cell>
          <cell r="GE248">
            <v>0</v>
          </cell>
          <cell r="GF248">
            <v>0</v>
          </cell>
          <cell r="GG248">
            <v>0</v>
          </cell>
          <cell r="GH248">
            <v>0</v>
          </cell>
          <cell r="GI248">
            <v>0</v>
          </cell>
          <cell r="GJ248">
            <v>0</v>
          </cell>
          <cell r="GK248">
            <v>0</v>
          </cell>
          <cell r="GL248">
            <v>0</v>
          </cell>
          <cell r="GM248">
            <v>0</v>
          </cell>
          <cell r="GN248">
            <v>0</v>
          </cell>
          <cell r="GO248">
            <v>0</v>
          </cell>
          <cell r="GP248">
            <v>0</v>
          </cell>
          <cell r="GQ248">
            <v>0</v>
          </cell>
          <cell r="GR248">
            <v>0</v>
          </cell>
          <cell r="GS248">
            <v>0</v>
          </cell>
          <cell r="GT248">
            <v>0</v>
          </cell>
          <cell r="GU248">
            <v>0</v>
          </cell>
          <cell r="GV248">
            <v>0</v>
          </cell>
          <cell r="GW248">
            <v>0</v>
          </cell>
          <cell r="GX248">
            <v>0</v>
          </cell>
          <cell r="GY248">
            <v>0</v>
          </cell>
          <cell r="GZ248">
            <v>0</v>
          </cell>
          <cell r="HA248">
            <v>0</v>
          </cell>
          <cell r="HB248">
            <v>0</v>
          </cell>
          <cell r="HC248">
            <v>0</v>
          </cell>
          <cell r="HD248">
            <v>0</v>
          </cell>
          <cell r="HE248">
            <v>0</v>
          </cell>
          <cell r="HF248">
            <v>0</v>
          </cell>
          <cell r="HG248">
            <v>0</v>
          </cell>
          <cell r="HH248">
            <v>0</v>
          </cell>
          <cell r="HI248">
            <v>0</v>
          </cell>
          <cell r="HJ248">
            <v>0</v>
          </cell>
          <cell r="HK248">
            <v>0</v>
          </cell>
          <cell r="HL248">
            <v>0</v>
          </cell>
          <cell r="HM248">
            <v>0</v>
          </cell>
          <cell r="HN248">
            <v>0</v>
          </cell>
          <cell r="HO248">
            <v>0</v>
          </cell>
          <cell r="HP248">
            <v>0</v>
          </cell>
          <cell r="HQ248">
            <v>0</v>
          </cell>
          <cell r="HR248">
            <v>0</v>
          </cell>
          <cell r="HS248">
            <v>0</v>
          </cell>
          <cell r="HT248">
            <v>0</v>
          </cell>
          <cell r="HU248">
            <v>0</v>
          </cell>
          <cell r="HV248">
            <v>0</v>
          </cell>
          <cell r="HW248">
            <v>0</v>
          </cell>
          <cell r="HX248">
            <v>0</v>
          </cell>
          <cell r="HY248">
            <v>0</v>
          </cell>
          <cell r="HZ248">
            <v>0</v>
          </cell>
          <cell r="IA248">
            <v>0</v>
          </cell>
          <cell r="IB248">
            <v>0</v>
          </cell>
          <cell r="IC248">
            <v>0</v>
          </cell>
          <cell r="ID248">
            <v>0</v>
          </cell>
          <cell r="IE248">
            <v>0</v>
          </cell>
          <cell r="IF248">
            <v>0</v>
          </cell>
          <cell r="IG248">
            <v>0</v>
          </cell>
          <cell r="IH248">
            <v>0</v>
          </cell>
          <cell r="II248">
            <v>0</v>
          </cell>
          <cell r="IJ248">
            <v>0</v>
          </cell>
          <cell r="IK248">
            <v>0</v>
          </cell>
          <cell r="IL248">
            <v>0</v>
          </cell>
          <cell r="IM248">
            <v>0</v>
          </cell>
          <cell r="IN248">
            <v>0</v>
          </cell>
          <cell r="IO248">
            <v>0</v>
          </cell>
          <cell r="IP248">
            <v>0</v>
          </cell>
          <cell r="IQ248">
            <v>0</v>
          </cell>
          <cell r="IR248">
            <v>0</v>
          </cell>
          <cell r="IS248">
            <v>0</v>
          </cell>
          <cell r="IT248">
            <v>0</v>
          </cell>
          <cell r="IU248">
            <v>0</v>
          </cell>
          <cell r="IV248">
            <v>0</v>
          </cell>
          <cell r="IW248">
            <v>0</v>
          </cell>
          <cell r="IX248">
            <v>0</v>
          </cell>
          <cell r="IY248">
            <v>0</v>
          </cell>
          <cell r="IZ248">
            <v>0</v>
          </cell>
          <cell r="JA248">
            <v>0</v>
          </cell>
        </row>
        <row r="249">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cell r="BM249">
            <v>0</v>
          </cell>
          <cell r="BN249">
            <v>0</v>
          </cell>
          <cell r="BO249">
            <v>0</v>
          </cell>
          <cell r="BP249">
            <v>0</v>
          </cell>
          <cell r="BQ249">
            <v>0</v>
          </cell>
          <cell r="BR249">
            <v>0</v>
          </cell>
          <cell r="BS249">
            <v>0</v>
          </cell>
          <cell r="BT249">
            <v>0</v>
          </cell>
          <cell r="BU249">
            <v>0</v>
          </cell>
          <cell r="BV249">
            <v>0</v>
          </cell>
          <cell r="BW249">
            <v>0</v>
          </cell>
          <cell r="BX249">
            <v>0</v>
          </cell>
          <cell r="BY249">
            <v>0</v>
          </cell>
          <cell r="BZ249">
            <v>0</v>
          </cell>
          <cell r="CA249">
            <v>0</v>
          </cell>
          <cell r="CB249">
            <v>0</v>
          </cell>
          <cell r="CC249">
            <v>0</v>
          </cell>
          <cell r="CD249">
            <v>0</v>
          </cell>
          <cell r="CE249">
            <v>0</v>
          </cell>
          <cell r="CF249">
            <v>0</v>
          </cell>
          <cell r="CG249">
            <v>0</v>
          </cell>
          <cell r="CH249">
            <v>0</v>
          </cell>
          <cell r="CI249">
            <v>0</v>
          </cell>
          <cell r="CJ249">
            <v>0</v>
          </cell>
          <cell r="CK249">
            <v>0</v>
          </cell>
          <cell r="CL249">
            <v>0</v>
          </cell>
          <cell r="CM249">
            <v>0</v>
          </cell>
          <cell r="CN249">
            <v>0</v>
          </cell>
          <cell r="CO249">
            <v>0</v>
          </cell>
          <cell r="CP249">
            <v>0</v>
          </cell>
          <cell r="CQ249">
            <v>0</v>
          </cell>
          <cell r="CR249">
            <v>0</v>
          </cell>
          <cell r="CS249">
            <v>0</v>
          </cell>
          <cell r="CT249">
            <v>0</v>
          </cell>
          <cell r="CU249">
            <v>0</v>
          </cell>
          <cell r="CV249">
            <v>0</v>
          </cell>
          <cell r="CW249">
            <v>0</v>
          </cell>
          <cell r="CX249">
            <v>0</v>
          </cell>
          <cell r="CY249">
            <v>0</v>
          </cell>
          <cell r="CZ249">
            <v>0</v>
          </cell>
          <cell r="DA249">
            <v>0</v>
          </cell>
          <cell r="DB249">
            <v>0</v>
          </cell>
          <cell r="DC249">
            <v>0</v>
          </cell>
          <cell r="DD249">
            <v>0</v>
          </cell>
          <cell r="DE249">
            <v>0</v>
          </cell>
          <cell r="DF249">
            <v>0</v>
          </cell>
          <cell r="DG249">
            <v>0</v>
          </cell>
          <cell r="DH249">
            <v>0</v>
          </cell>
          <cell r="DI249">
            <v>0</v>
          </cell>
          <cell r="DJ249">
            <v>0</v>
          </cell>
          <cell r="DK249">
            <v>0</v>
          </cell>
          <cell r="DL249">
            <v>0</v>
          </cell>
          <cell r="DM249">
            <v>0</v>
          </cell>
          <cell r="DN249">
            <v>0</v>
          </cell>
          <cell r="DO249">
            <v>0</v>
          </cell>
          <cell r="DP249">
            <v>0</v>
          </cell>
          <cell r="DQ249">
            <v>0</v>
          </cell>
          <cell r="DR249">
            <v>0</v>
          </cell>
          <cell r="DS249">
            <v>0</v>
          </cell>
          <cell r="DT249">
            <v>0</v>
          </cell>
          <cell r="DU249">
            <v>0</v>
          </cell>
          <cell r="DV249">
            <v>0</v>
          </cell>
          <cell r="DW249">
            <v>0</v>
          </cell>
          <cell r="DX249">
            <v>0</v>
          </cell>
          <cell r="DY249">
            <v>0</v>
          </cell>
          <cell r="DZ249">
            <v>0</v>
          </cell>
          <cell r="EA249">
            <v>0</v>
          </cell>
          <cell r="EB249">
            <v>0</v>
          </cell>
          <cell r="EC249">
            <v>0</v>
          </cell>
          <cell r="ED249">
            <v>0</v>
          </cell>
          <cell r="EE249">
            <v>0</v>
          </cell>
          <cell r="EF249">
            <v>0</v>
          </cell>
          <cell r="EG249">
            <v>0</v>
          </cell>
          <cell r="EH249">
            <v>0</v>
          </cell>
          <cell r="EI249">
            <v>0</v>
          </cell>
          <cell r="EJ249">
            <v>0</v>
          </cell>
          <cell r="EK249">
            <v>0</v>
          </cell>
          <cell r="EL249">
            <v>0</v>
          </cell>
          <cell r="EM249">
            <v>0</v>
          </cell>
          <cell r="EN249">
            <v>0</v>
          </cell>
          <cell r="EO249">
            <v>0</v>
          </cell>
          <cell r="EP249">
            <v>0</v>
          </cell>
          <cell r="EQ249">
            <v>0</v>
          </cell>
          <cell r="ER249">
            <v>0</v>
          </cell>
          <cell r="ES249">
            <v>0</v>
          </cell>
          <cell r="ET249">
            <v>0</v>
          </cell>
          <cell r="EU249">
            <v>0</v>
          </cell>
          <cell r="EV249">
            <v>0</v>
          </cell>
          <cell r="EW249">
            <v>0</v>
          </cell>
          <cell r="EX249">
            <v>0</v>
          </cell>
          <cell r="EY249">
            <v>0</v>
          </cell>
          <cell r="EZ249">
            <v>0</v>
          </cell>
          <cell r="FA249">
            <v>0</v>
          </cell>
          <cell r="FB249">
            <v>0</v>
          </cell>
          <cell r="FC249">
            <v>0</v>
          </cell>
          <cell r="FD249">
            <v>0</v>
          </cell>
          <cell r="FE249">
            <v>0</v>
          </cell>
          <cell r="FF249">
            <v>0</v>
          </cell>
          <cell r="FG249">
            <v>0</v>
          </cell>
          <cell r="FH249">
            <v>0</v>
          </cell>
          <cell r="FI249">
            <v>0</v>
          </cell>
          <cell r="FJ249">
            <v>0</v>
          </cell>
          <cell r="FK249">
            <v>0</v>
          </cell>
          <cell r="FL249">
            <v>0</v>
          </cell>
          <cell r="FM249">
            <v>0</v>
          </cell>
          <cell r="FN249">
            <v>0</v>
          </cell>
          <cell r="FO249">
            <v>0</v>
          </cell>
          <cell r="FP249">
            <v>0</v>
          </cell>
          <cell r="FQ249">
            <v>0</v>
          </cell>
          <cell r="FR249">
            <v>0</v>
          </cell>
          <cell r="FS249">
            <v>0</v>
          </cell>
          <cell r="FT249">
            <v>0</v>
          </cell>
          <cell r="FU249">
            <v>0</v>
          </cell>
          <cell r="FV249">
            <v>0</v>
          </cell>
          <cell r="FW249">
            <v>0</v>
          </cell>
          <cell r="FX249">
            <v>0</v>
          </cell>
          <cell r="FY249">
            <v>0</v>
          </cell>
          <cell r="FZ249">
            <v>0</v>
          </cell>
          <cell r="GA249">
            <v>0</v>
          </cell>
          <cell r="GB249">
            <v>0</v>
          </cell>
          <cell r="GC249">
            <v>0</v>
          </cell>
          <cell r="GD249">
            <v>0</v>
          </cell>
          <cell r="GE249">
            <v>0</v>
          </cell>
          <cell r="GF249">
            <v>0</v>
          </cell>
          <cell r="GG249">
            <v>0</v>
          </cell>
          <cell r="GH249">
            <v>0</v>
          </cell>
          <cell r="GI249">
            <v>0</v>
          </cell>
          <cell r="GJ249">
            <v>0</v>
          </cell>
          <cell r="GK249">
            <v>0</v>
          </cell>
          <cell r="GL249">
            <v>0</v>
          </cell>
          <cell r="GM249">
            <v>0</v>
          </cell>
          <cell r="GN249">
            <v>0</v>
          </cell>
          <cell r="GO249">
            <v>0</v>
          </cell>
          <cell r="GP249">
            <v>0</v>
          </cell>
          <cell r="GQ249">
            <v>0</v>
          </cell>
          <cell r="GR249">
            <v>0</v>
          </cell>
          <cell r="GS249">
            <v>0</v>
          </cell>
          <cell r="GT249">
            <v>0</v>
          </cell>
          <cell r="GU249">
            <v>0</v>
          </cell>
          <cell r="GV249">
            <v>0</v>
          </cell>
          <cell r="GW249">
            <v>0</v>
          </cell>
          <cell r="GX249">
            <v>0</v>
          </cell>
          <cell r="GY249">
            <v>0</v>
          </cell>
          <cell r="GZ249">
            <v>0</v>
          </cell>
          <cell r="HA249">
            <v>0</v>
          </cell>
          <cell r="HB249">
            <v>0</v>
          </cell>
          <cell r="HC249">
            <v>0</v>
          </cell>
          <cell r="HD249">
            <v>0</v>
          </cell>
          <cell r="HE249">
            <v>0</v>
          </cell>
          <cell r="HF249">
            <v>0</v>
          </cell>
          <cell r="HG249">
            <v>0</v>
          </cell>
          <cell r="HH249">
            <v>0</v>
          </cell>
          <cell r="HI249">
            <v>0</v>
          </cell>
          <cell r="HJ249">
            <v>0</v>
          </cell>
          <cell r="HK249">
            <v>0</v>
          </cell>
          <cell r="HL249">
            <v>0</v>
          </cell>
          <cell r="HM249">
            <v>0</v>
          </cell>
          <cell r="HN249">
            <v>0</v>
          </cell>
          <cell r="HO249">
            <v>0</v>
          </cell>
          <cell r="HP249">
            <v>0</v>
          </cell>
          <cell r="HQ249">
            <v>0</v>
          </cell>
          <cell r="HR249">
            <v>0</v>
          </cell>
          <cell r="HS249">
            <v>0</v>
          </cell>
          <cell r="HT249">
            <v>0</v>
          </cell>
          <cell r="HU249">
            <v>0</v>
          </cell>
          <cell r="HV249">
            <v>0</v>
          </cell>
          <cell r="HW249">
            <v>0</v>
          </cell>
          <cell r="HX249">
            <v>0</v>
          </cell>
          <cell r="HY249">
            <v>0</v>
          </cell>
          <cell r="HZ249">
            <v>0</v>
          </cell>
          <cell r="IA249">
            <v>0</v>
          </cell>
          <cell r="IB249">
            <v>0</v>
          </cell>
          <cell r="IC249">
            <v>0</v>
          </cell>
          <cell r="ID249">
            <v>0</v>
          </cell>
          <cell r="IE249">
            <v>0</v>
          </cell>
          <cell r="IF249">
            <v>0</v>
          </cell>
          <cell r="IG249">
            <v>0</v>
          </cell>
          <cell r="IH249">
            <v>0</v>
          </cell>
          <cell r="II249">
            <v>0</v>
          </cell>
          <cell r="IJ249">
            <v>0</v>
          </cell>
          <cell r="IK249">
            <v>0</v>
          </cell>
          <cell r="IL249">
            <v>0</v>
          </cell>
          <cell r="IM249">
            <v>0</v>
          </cell>
          <cell r="IN249">
            <v>0</v>
          </cell>
          <cell r="IO249">
            <v>0</v>
          </cell>
          <cell r="IP249">
            <v>0</v>
          </cell>
          <cell r="IQ249">
            <v>0</v>
          </cell>
          <cell r="IR249">
            <v>0</v>
          </cell>
          <cell r="IS249">
            <v>0</v>
          </cell>
          <cell r="IT249">
            <v>0</v>
          </cell>
          <cell r="IU249">
            <v>0</v>
          </cell>
          <cell r="IV249">
            <v>0</v>
          </cell>
          <cell r="IW249">
            <v>0</v>
          </cell>
          <cell r="IX249">
            <v>0</v>
          </cell>
          <cell r="IY249">
            <v>0</v>
          </cell>
          <cell r="IZ249">
            <v>0</v>
          </cell>
          <cell r="JA249">
            <v>0</v>
          </cell>
        </row>
        <row r="250">
          <cell r="L250">
            <v>0</v>
          </cell>
          <cell r="M250">
            <v>0</v>
          </cell>
          <cell r="N250">
            <v>0</v>
          </cell>
          <cell r="O250">
            <v>12.974750140200808</v>
          </cell>
          <cell r="P250">
            <v>24.052242477161265</v>
          </cell>
          <cell r="Q250">
            <v>17.797964241306307</v>
          </cell>
          <cell r="R250">
            <v>13.379359686242177</v>
          </cell>
          <cell r="S250">
            <v>10.059381589086296</v>
          </cell>
          <cell r="T250">
            <v>29.236534114132567</v>
          </cell>
          <cell r="U250">
            <v>0.9312342748525233</v>
          </cell>
          <cell r="V250">
            <v>0.14325265552671435</v>
          </cell>
          <cell r="W250">
            <v>0.14453047762002924</v>
          </cell>
          <cell r="X250">
            <v>0.16709371823665969</v>
          </cell>
          <cell r="Y250">
            <v>0.19396862651404723</v>
          </cell>
          <cell r="Z250">
            <v>0.22232050495770722</v>
          </cell>
          <cell r="AA250">
            <v>0.20711411728647905</v>
          </cell>
          <cell r="AB250">
            <v>0.16297510216621749</v>
          </cell>
          <cell r="AC250">
            <v>0.12849112491869</v>
          </cell>
          <cell r="AD250">
            <v>0.18331535235480376</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cell r="BM250">
            <v>0</v>
          </cell>
          <cell r="BN250">
            <v>0</v>
          </cell>
          <cell r="BO250">
            <v>0</v>
          </cell>
          <cell r="BP250">
            <v>0</v>
          </cell>
          <cell r="BQ250">
            <v>0</v>
          </cell>
          <cell r="BR250">
            <v>0</v>
          </cell>
          <cell r="BS250">
            <v>0</v>
          </cell>
          <cell r="BT250">
            <v>0</v>
          </cell>
          <cell r="BU250">
            <v>0</v>
          </cell>
          <cell r="BV250">
            <v>0</v>
          </cell>
          <cell r="BW250">
            <v>0</v>
          </cell>
          <cell r="BX250">
            <v>0</v>
          </cell>
          <cell r="BY250">
            <v>0</v>
          </cell>
          <cell r="BZ250">
            <v>0</v>
          </cell>
          <cell r="CA250">
            <v>0</v>
          </cell>
          <cell r="CB250">
            <v>0</v>
          </cell>
          <cell r="CC250">
            <v>0</v>
          </cell>
          <cell r="CD250">
            <v>0</v>
          </cell>
          <cell r="CE250">
            <v>0</v>
          </cell>
          <cell r="CF250">
            <v>0</v>
          </cell>
          <cell r="CG250">
            <v>0</v>
          </cell>
          <cell r="CH250">
            <v>0</v>
          </cell>
          <cell r="CI250">
            <v>0</v>
          </cell>
          <cell r="CJ250">
            <v>0</v>
          </cell>
          <cell r="CK250">
            <v>0</v>
          </cell>
          <cell r="CL250">
            <v>0</v>
          </cell>
          <cell r="CM250">
            <v>0</v>
          </cell>
          <cell r="CN250">
            <v>0</v>
          </cell>
          <cell r="CO250">
            <v>0</v>
          </cell>
          <cell r="CP250">
            <v>0</v>
          </cell>
          <cell r="CQ250">
            <v>0</v>
          </cell>
          <cell r="CR250">
            <v>0</v>
          </cell>
          <cell r="CS250">
            <v>0</v>
          </cell>
          <cell r="CT250">
            <v>0</v>
          </cell>
          <cell r="CU250">
            <v>0</v>
          </cell>
          <cell r="CV250">
            <v>0</v>
          </cell>
          <cell r="CW250">
            <v>0</v>
          </cell>
          <cell r="CX250">
            <v>0</v>
          </cell>
          <cell r="CY250">
            <v>0</v>
          </cell>
          <cell r="CZ250">
            <v>0</v>
          </cell>
          <cell r="DA250">
            <v>0</v>
          </cell>
          <cell r="DB250">
            <v>0</v>
          </cell>
          <cell r="DC250">
            <v>0</v>
          </cell>
          <cell r="DD250">
            <v>0</v>
          </cell>
          <cell r="DE250">
            <v>0</v>
          </cell>
          <cell r="DF250">
            <v>0</v>
          </cell>
          <cell r="DG250">
            <v>0</v>
          </cell>
          <cell r="DH250">
            <v>0</v>
          </cell>
          <cell r="DI250">
            <v>0</v>
          </cell>
          <cell r="DJ250">
            <v>0</v>
          </cell>
          <cell r="DK250">
            <v>0</v>
          </cell>
          <cell r="DL250">
            <v>0</v>
          </cell>
          <cell r="DM250">
            <v>0</v>
          </cell>
          <cell r="DN250">
            <v>0</v>
          </cell>
          <cell r="DO250">
            <v>0</v>
          </cell>
          <cell r="DP250">
            <v>0</v>
          </cell>
          <cell r="DQ250">
            <v>0</v>
          </cell>
          <cell r="DR250">
            <v>0</v>
          </cell>
          <cell r="DS250">
            <v>0</v>
          </cell>
          <cell r="DT250">
            <v>0</v>
          </cell>
          <cell r="DU250">
            <v>0</v>
          </cell>
          <cell r="DV250">
            <v>0</v>
          </cell>
          <cell r="DW250">
            <v>0</v>
          </cell>
          <cell r="DX250">
            <v>0</v>
          </cell>
          <cell r="DY250">
            <v>0</v>
          </cell>
          <cell r="DZ250">
            <v>0</v>
          </cell>
          <cell r="EA250">
            <v>0</v>
          </cell>
          <cell r="EB250">
            <v>0</v>
          </cell>
          <cell r="EC250">
            <v>0</v>
          </cell>
          <cell r="ED250">
            <v>0</v>
          </cell>
          <cell r="EE250">
            <v>0</v>
          </cell>
          <cell r="EF250">
            <v>0</v>
          </cell>
          <cell r="EG250">
            <v>0</v>
          </cell>
          <cell r="EH250">
            <v>0</v>
          </cell>
          <cell r="EI250">
            <v>0</v>
          </cell>
          <cell r="EJ250">
            <v>0</v>
          </cell>
          <cell r="EK250">
            <v>0</v>
          </cell>
          <cell r="EL250">
            <v>0</v>
          </cell>
          <cell r="EM250">
            <v>0</v>
          </cell>
          <cell r="EN250">
            <v>0</v>
          </cell>
          <cell r="EO250">
            <v>0</v>
          </cell>
          <cell r="EP250">
            <v>0</v>
          </cell>
          <cell r="EQ250">
            <v>0</v>
          </cell>
          <cell r="ER250">
            <v>0</v>
          </cell>
          <cell r="ES250">
            <v>0</v>
          </cell>
          <cell r="ET250">
            <v>0</v>
          </cell>
          <cell r="EU250">
            <v>0</v>
          </cell>
          <cell r="EV250">
            <v>0</v>
          </cell>
          <cell r="EW250">
            <v>0</v>
          </cell>
          <cell r="EX250">
            <v>0</v>
          </cell>
          <cell r="EY250">
            <v>0</v>
          </cell>
          <cell r="EZ250">
            <v>0</v>
          </cell>
          <cell r="FA250">
            <v>0</v>
          </cell>
          <cell r="FB250">
            <v>0</v>
          </cell>
          <cell r="FC250">
            <v>0</v>
          </cell>
          <cell r="FD250">
            <v>0</v>
          </cell>
          <cell r="FE250">
            <v>0</v>
          </cell>
          <cell r="FF250">
            <v>0</v>
          </cell>
          <cell r="FG250">
            <v>0</v>
          </cell>
          <cell r="FH250">
            <v>0</v>
          </cell>
          <cell r="FI250">
            <v>0</v>
          </cell>
          <cell r="FJ250">
            <v>0</v>
          </cell>
          <cell r="FK250">
            <v>0</v>
          </cell>
          <cell r="FL250">
            <v>0</v>
          </cell>
          <cell r="FM250">
            <v>0</v>
          </cell>
          <cell r="FN250">
            <v>0</v>
          </cell>
          <cell r="FO250">
            <v>0</v>
          </cell>
          <cell r="FP250">
            <v>0</v>
          </cell>
          <cell r="FQ250">
            <v>0</v>
          </cell>
          <cell r="FR250">
            <v>0</v>
          </cell>
          <cell r="FS250">
            <v>0</v>
          </cell>
          <cell r="FT250">
            <v>0</v>
          </cell>
          <cell r="FU250">
            <v>0</v>
          </cell>
          <cell r="FV250">
            <v>0</v>
          </cell>
          <cell r="FW250">
            <v>0</v>
          </cell>
          <cell r="FX250">
            <v>0</v>
          </cell>
          <cell r="FY250">
            <v>0</v>
          </cell>
          <cell r="FZ250">
            <v>0</v>
          </cell>
          <cell r="GA250">
            <v>0</v>
          </cell>
          <cell r="GB250">
            <v>0</v>
          </cell>
          <cell r="GC250">
            <v>0</v>
          </cell>
          <cell r="GD250">
            <v>0</v>
          </cell>
          <cell r="GE250">
            <v>0</v>
          </cell>
          <cell r="GF250">
            <v>0</v>
          </cell>
          <cell r="GG250">
            <v>0</v>
          </cell>
          <cell r="GH250">
            <v>0</v>
          </cell>
          <cell r="GI250">
            <v>0</v>
          </cell>
          <cell r="GJ250">
            <v>0</v>
          </cell>
          <cell r="GK250">
            <v>0</v>
          </cell>
          <cell r="GL250">
            <v>0</v>
          </cell>
          <cell r="GM250">
            <v>0</v>
          </cell>
          <cell r="GN250">
            <v>0</v>
          </cell>
          <cell r="GO250">
            <v>0</v>
          </cell>
          <cell r="GP250">
            <v>0</v>
          </cell>
          <cell r="GQ250">
            <v>0</v>
          </cell>
          <cell r="GR250">
            <v>0</v>
          </cell>
          <cell r="GS250">
            <v>0</v>
          </cell>
          <cell r="GT250">
            <v>0</v>
          </cell>
          <cell r="GU250">
            <v>0</v>
          </cell>
          <cell r="GV250">
            <v>0</v>
          </cell>
          <cell r="GW250">
            <v>0</v>
          </cell>
          <cell r="GX250">
            <v>0</v>
          </cell>
          <cell r="GY250">
            <v>0</v>
          </cell>
          <cell r="GZ250">
            <v>0</v>
          </cell>
          <cell r="HA250">
            <v>0</v>
          </cell>
          <cell r="HB250">
            <v>0</v>
          </cell>
          <cell r="HC250">
            <v>0</v>
          </cell>
          <cell r="HD250">
            <v>0</v>
          </cell>
          <cell r="HE250">
            <v>0</v>
          </cell>
          <cell r="HF250">
            <v>0</v>
          </cell>
          <cell r="HG250">
            <v>0</v>
          </cell>
          <cell r="HH250">
            <v>0</v>
          </cell>
          <cell r="HI250">
            <v>0</v>
          </cell>
          <cell r="HJ250">
            <v>0</v>
          </cell>
          <cell r="HK250">
            <v>0</v>
          </cell>
          <cell r="HL250">
            <v>0</v>
          </cell>
          <cell r="HM250">
            <v>0</v>
          </cell>
          <cell r="HN250">
            <v>0</v>
          </cell>
          <cell r="HO250">
            <v>0</v>
          </cell>
          <cell r="HP250">
            <v>0</v>
          </cell>
          <cell r="HQ250">
            <v>0</v>
          </cell>
          <cell r="HR250">
            <v>0</v>
          </cell>
          <cell r="HS250">
            <v>0</v>
          </cell>
          <cell r="HT250">
            <v>0</v>
          </cell>
          <cell r="HU250">
            <v>0</v>
          </cell>
          <cell r="HV250">
            <v>0</v>
          </cell>
          <cell r="HW250">
            <v>0</v>
          </cell>
          <cell r="HX250">
            <v>0</v>
          </cell>
          <cell r="HY250">
            <v>0</v>
          </cell>
          <cell r="HZ250">
            <v>0</v>
          </cell>
          <cell r="IA250">
            <v>0</v>
          </cell>
          <cell r="IB250">
            <v>0</v>
          </cell>
          <cell r="IC250">
            <v>0</v>
          </cell>
          <cell r="ID250">
            <v>0</v>
          </cell>
          <cell r="IE250">
            <v>0</v>
          </cell>
          <cell r="IF250">
            <v>0</v>
          </cell>
          <cell r="IG250">
            <v>0</v>
          </cell>
          <cell r="IH250">
            <v>0</v>
          </cell>
          <cell r="II250">
            <v>0</v>
          </cell>
          <cell r="IJ250">
            <v>0</v>
          </cell>
          <cell r="IK250">
            <v>0</v>
          </cell>
          <cell r="IL250">
            <v>0</v>
          </cell>
          <cell r="IM250">
            <v>0</v>
          </cell>
          <cell r="IN250">
            <v>0</v>
          </cell>
          <cell r="IO250">
            <v>0</v>
          </cell>
          <cell r="IP250">
            <v>0</v>
          </cell>
          <cell r="IQ250">
            <v>0</v>
          </cell>
          <cell r="IR250">
            <v>0</v>
          </cell>
          <cell r="IS250">
            <v>0</v>
          </cell>
          <cell r="IT250">
            <v>0</v>
          </cell>
          <cell r="IU250">
            <v>0</v>
          </cell>
          <cell r="IV250">
            <v>0</v>
          </cell>
          <cell r="IW250">
            <v>0</v>
          </cell>
          <cell r="IX250">
            <v>0</v>
          </cell>
          <cell r="IY250">
            <v>0</v>
          </cell>
          <cell r="IZ250">
            <v>0</v>
          </cell>
          <cell r="JA250">
            <v>0</v>
          </cell>
        </row>
        <row r="251">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cell r="BM251">
            <v>0</v>
          </cell>
          <cell r="BN251">
            <v>0</v>
          </cell>
          <cell r="BO251">
            <v>0</v>
          </cell>
          <cell r="BP251">
            <v>0</v>
          </cell>
          <cell r="BQ251">
            <v>0</v>
          </cell>
          <cell r="BR251">
            <v>0</v>
          </cell>
          <cell r="BS251">
            <v>0</v>
          </cell>
          <cell r="BT251">
            <v>0</v>
          </cell>
          <cell r="BU251">
            <v>0</v>
          </cell>
          <cell r="BV251">
            <v>0</v>
          </cell>
          <cell r="BW251">
            <v>0</v>
          </cell>
          <cell r="BX251">
            <v>0</v>
          </cell>
          <cell r="BY251">
            <v>0</v>
          </cell>
          <cell r="BZ251">
            <v>0</v>
          </cell>
          <cell r="CA251">
            <v>0</v>
          </cell>
          <cell r="CB251">
            <v>0</v>
          </cell>
          <cell r="CC251">
            <v>0</v>
          </cell>
          <cell r="CD251">
            <v>0</v>
          </cell>
          <cell r="CE251">
            <v>0</v>
          </cell>
          <cell r="CF251">
            <v>0</v>
          </cell>
          <cell r="CG251">
            <v>0</v>
          </cell>
          <cell r="CH251">
            <v>0</v>
          </cell>
          <cell r="CI251">
            <v>0</v>
          </cell>
          <cell r="CJ251">
            <v>0</v>
          </cell>
          <cell r="CK251">
            <v>0</v>
          </cell>
          <cell r="CL251">
            <v>0</v>
          </cell>
          <cell r="CM251">
            <v>0</v>
          </cell>
          <cell r="CN251">
            <v>0</v>
          </cell>
          <cell r="CO251">
            <v>0</v>
          </cell>
          <cell r="CP251">
            <v>0</v>
          </cell>
          <cell r="CQ251">
            <v>0</v>
          </cell>
          <cell r="CR251">
            <v>0</v>
          </cell>
          <cell r="CS251">
            <v>0</v>
          </cell>
          <cell r="CT251">
            <v>0</v>
          </cell>
          <cell r="CU251">
            <v>0</v>
          </cell>
          <cell r="CV251">
            <v>0</v>
          </cell>
          <cell r="CW251">
            <v>0</v>
          </cell>
          <cell r="CX251">
            <v>0</v>
          </cell>
          <cell r="CY251">
            <v>0</v>
          </cell>
          <cell r="CZ251">
            <v>0</v>
          </cell>
          <cell r="DA251">
            <v>0</v>
          </cell>
          <cell r="DB251">
            <v>0</v>
          </cell>
          <cell r="DC251">
            <v>0</v>
          </cell>
          <cell r="DD251">
            <v>0</v>
          </cell>
          <cell r="DE251">
            <v>0</v>
          </cell>
          <cell r="DF251">
            <v>0</v>
          </cell>
          <cell r="DG251">
            <v>0</v>
          </cell>
          <cell r="DH251">
            <v>0</v>
          </cell>
          <cell r="DI251">
            <v>0</v>
          </cell>
          <cell r="DJ251">
            <v>0</v>
          </cell>
          <cell r="DK251">
            <v>0</v>
          </cell>
          <cell r="DL251">
            <v>0</v>
          </cell>
          <cell r="DM251">
            <v>0</v>
          </cell>
          <cell r="DN251">
            <v>0</v>
          </cell>
          <cell r="DO251">
            <v>0</v>
          </cell>
          <cell r="DP251">
            <v>0</v>
          </cell>
          <cell r="DQ251">
            <v>0</v>
          </cell>
          <cell r="DR251">
            <v>0</v>
          </cell>
          <cell r="DS251">
            <v>0</v>
          </cell>
          <cell r="DT251">
            <v>0</v>
          </cell>
          <cell r="DU251">
            <v>0</v>
          </cell>
          <cell r="DV251">
            <v>0</v>
          </cell>
          <cell r="DW251">
            <v>0</v>
          </cell>
          <cell r="DX251">
            <v>0</v>
          </cell>
          <cell r="DY251">
            <v>0</v>
          </cell>
          <cell r="DZ251">
            <v>0</v>
          </cell>
          <cell r="EA251">
            <v>0</v>
          </cell>
          <cell r="EB251">
            <v>0</v>
          </cell>
          <cell r="EC251">
            <v>0</v>
          </cell>
          <cell r="ED251">
            <v>0</v>
          </cell>
          <cell r="EE251">
            <v>0</v>
          </cell>
          <cell r="EF251">
            <v>0</v>
          </cell>
          <cell r="EG251">
            <v>0</v>
          </cell>
          <cell r="EH251">
            <v>0</v>
          </cell>
          <cell r="EI251">
            <v>0</v>
          </cell>
          <cell r="EJ251">
            <v>0</v>
          </cell>
          <cell r="EK251">
            <v>0</v>
          </cell>
          <cell r="EL251">
            <v>0</v>
          </cell>
          <cell r="EM251">
            <v>0</v>
          </cell>
          <cell r="EN251">
            <v>0</v>
          </cell>
          <cell r="EO251">
            <v>0</v>
          </cell>
          <cell r="EP251">
            <v>0</v>
          </cell>
          <cell r="EQ251">
            <v>0</v>
          </cell>
          <cell r="ER251">
            <v>0</v>
          </cell>
          <cell r="ES251">
            <v>0</v>
          </cell>
          <cell r="ET251">
            <v>0</v>
          </cell>
          <cell r="EU251">
            <v>0</v>
          </cell>
          <cell r="EV251">
            <v>0</v>
          </cell>
          <cell r="EW251">
            <v>0</v>
          </cell>
          <cell r="EX251">
            <v>0</v>
          </cell>
          <cell r="EY251">
            <v>0</v>
          </cell>
          <cell r="EZ251">
            <v>0</v>
          </cell>
          <cell r="FA251">
            <v>0</v>
          </cell>
          <cell r="FB251">
            <v>0</v>
          </cell>
          <cell r="FC251">
            <v>0</v>
          </cell>
          <cell r="FD251">
            <v>0</v>
          </cell>
          <cell r="FE251">
            <v>0</v>
          </cell>
          <cell r="FF251">
            <v>0</v>
          </cell>
          <cell r="FG251">
            <v>0</v>
          </cell>
          <cell r="FH251">
            <v>0</v>
          </cell>
          <cell r="FI251">
            <v>0</v>
          </cell>
          <cell r="FJ251">
            <v>0</v>
          </cell>
          <cell r="FK251">
            <v>0</v>
          </cell>
          <cell r="FL251">
            <v>0</v>
          </cell>
          <cell r="FM251">
            <v>0</v>
          </cell>
          <cell r="FN251">
            <v>0</v>
          </cell>
          <cell r="FO251">
            <v>0</v>
          </cell>
          <cell r="FP251">
            <v>0</v>
          </cell>
          <cell r="FQ251">
            <v>0</v>
          </cell>
          <cell r="FR251">
            <v>0</v>
          </cell>
          <cell r="FS251">
            <v>0</v>
          </cell>
          <cell r="FT251">
            <v>0</v>
          </cell>
          <cell r="FU251">
            <v>0</v>
          </cell>
          <cell r="FV251">
            <v>0</v>
          </cell>
          <cell r="FW251">
            <v>0</v>
          </cell>
          <cell r="FX251">
            <v>0</v>
          </cell>
          <cell r="FY251">
            <v>0</v>
          </cell>
          <cell r="FZ251">
            <v>0</v>
          </cell>
          <cell r="GA251">
            <v>0</v>
          </cell>
          <cell r="GB251">
            <v>0</v>
          </cell>
          <cell r="GC251">
            <v>0</v>
          </cell>
          <cell r="GD251">
            <v>0</v>
          </cell>
          <cell r="GE251">
            <v>0</v>
          </cell>
          <cell r="GF251">
            <v>0</v>
          </cell>
          <cell r="GG251">
            <v>0</v>
          </cell>
          <cell r="GH251">
            <v>0</v>
          </cell>
          <cell r="GI251">
            <v>0</v>
          </cell>
          <cell r="GJ251">
            <v>0</v>
          </cell>
          <cell r="GK251">
            <v>0</v>
          </cell>
          <cell r="GL251">
            <v>0</v>
          </cell>
          <cell r="GM251">
            <v>0</v>
          </cell>
          <cell r="GN251">
            <v>0</v>
          </cell>
          <cell r="GO251">
            <v>0</v>
          </cell>
          <cell r="GP251">
            <v>0</v>
          </cell>
          <cell r="GQ251">
            <v>0</v>
          </cell>
          <cell r="GR251">
            <v>0</v>
          </cell>
          <cell r="GS251">
            <v>0</v>
          </cell>
          <cell r="GT251">
            <v>0</v>
          </cell>
          <cell r="GU251">
            <v>0</v>
          </cell>
          <cell r="GV251">
            <v>0</v>
          </cell>
          <cell r="GW251">
            <v>0</v>
          </cell>
          <cell r="GX251">
            <v>0</v>
          </cell>
          <cell r="GY251">
            <v>0</v>
          </cell>
          <cell r="GZ251">
            <v>0</v>
          </cell>
          <cell r="HA251">
            <v>0</v>
          </cell>
          <cell r="HB251">
            <v>0</v>
          </cell>
          <cell r="HC251">
            <v>0</v>
          </cell>
          <cell r="HD251">
            <v>0</v>
          </cell>
          <cell r="HE251">
            <v>0</v>
          </cell>
          <cell r="HF251">
            <v>0</v>
          </cell>
          <cell r="HG251">
            <v>0</v>
          </cell>
          <cell r="HH251">
            <v>0</v>
          </cell>
          <cell r="HI251">
            <v>0</v>
          </cell>
          <cell r="HJ251">
            <v>0</v>
          </cell>
          <cell r="HK251">
            <v>0</v>
          </cell>
          <cell r="HL251">
            <v>0</v>
          </cell>
          <cell r="HM251">
            <v>0</v>
          </cell>
          <cell r="HN251">
            <v>0</v>
          </cell>
          <cell r="HO251">
            <v>0</v>
          </cell>
          <cell r="HP251">
            <v>0</v>
          </cell>
          <cell r="HQ251">
            <v>0</v>
          </cell>
          <cell r="HR251">
            <v>0</v>
          </cell>
          <cell r="HS251">
            <v>0</v>
          </cell>
          <cell r="HT251">
            <v>0</v>
          </cell>
          <cell r="HU251">
            <v>0</v>
          </cell>
          <cell r="HV251">
            <v>0</v>
          </cell>
          <cell r="HW251">
            <v>0</v>
          </cell>
          <cell r="HX251">
            <v>0</v>
          </cell>
          <cell r="HY251">
            <v>0</v>
          </cell>
          <cell r="HZ251">
            <v>0</v>
          </cell>
          <cell r="IA251">
            <v>0</v>
          </cell>
          <cell r="IB251">
            <v>0</v>
          </cell>
          <cell r="IC251">
            <v>0</v>
          </cell>
          <cell r="ID251">
            <v>0</v>
          </cell>
          <cell r="IE251">
            <v>0</v>
          </cell>
          <cell r="IF251">
            <v>0</v>
          </cell>
          <cell r="IG251">
            <v>0</v>
          </cell>
          <cell r="IH251">
            <v>0</v>
          </cell>
          <cell r="II251">
            <v>0</v>
          </cell>
          <cell r="IJ251">
            <v>0</v>
          </cell>
          <cell r="IK251">
            <v>0</v>
          </cell>
          <cell r="IL251">
            <v>0</v>
          </cell>
          <cell r="IM251">
            <v>0</v>
          </cell>
          <cell r="IN251">
            <v>0</v>
          </cell>
          <cell r="IO251">
            <v>0</v>
          </cell>
          <cell r="IP251">
            <v>0</v>
          </cell>
          <cell r="IQ251">
            <v>0</v>
          </cell>
          <cell r="IR251">
            <v>0</v>
          </cell>
          <cell r="IS251">
            <v>0</v>
          </cell>
          <cell r="IT251">
            <v>0</v>
          </cell>
          <cell r="IU251">
            <v>0</v>
          </cell>
          <cell r="IV251">
            <v>0</v>
          </cell>
          <cell r="IW251">
            <v>0</v>
          </cell>
          <cell r="IX251">
            <v>0</v>
          </cell>
          <cell r="IY251">
            <v>0</v>
          </cell>
          <cell r="IZ251">
            <v>0</v>
          </cell>
          <cell r="JA251">
            <v>0</v>
          </cell>
        </row>
        <row r="252">
          <cell r="L252">
            <v>6.9753909411858162E-2</v>
          </cell>
          <cell r="M252">
            <v>6.9753909411858162E-2</v>
          </cell>
          <cell r="N252">
            <v>6.9753909411858162E-2</v>
          </cell>
          <cell r="O252">
            <v>6.9217034154417184E-2</v>
          </cell>
          <cell r="P252">
            <v>7.2124313694314282E-2</v>
          </cell>
          <cell r="Q252">
            <v>6.9569542466112674E-2</v>
          </cell>
          <cell r="R252">
            <v>6.9569542004155591E-2</v>
          </cell>
          <cell r="S252">
            <v>6.956954167802297E-2</v>
          </cell>
          <cell r="T252">
            <v>6.9569542603406809E-2</v>
          </cell>
          <cell r="U252">
            <v>6.9569542695275155E-2</v>
          </cell>
          <cell r="V252">
            <v>6.9569542909995147E-2</v>
          </cell>
          <cell r="W252">
            <v>6.9569542394005132E-2</v>
          </cell>
          <cell r="X252">
            <v>6.9569534726874785E-2</v>
          </cell>
          <cell r="Y252">
            <v>6.9569533352378379E-2</v>
          </cell>
          <cell r="Z252">
            <v>6.9569535286704523E-2</v>
          </cell>
          <cell r="AA252">
            <v>6.9569538366052591E-2</v>
          </cell>
          <cell r="AB252">
            <v>6.9569536431103016E-2</v>
          </cell>
          <cell r="AC252">
            <v>6.956954100786536E-2</v>
          </cell>
          <cell r="AD252">
            <v>6.956952582243757E-2</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cell r="BM252">
            <v>0</v>
          </cell>
          <cell r="BN252">
            <v>0</v>
          </cell>
          <cell r="BO252">
            <v>0</v>
          </cell>
          <cell r="BP252">
            <v>0</v>
          </cell>
          <cell r="BQ252">
            <v>0</v>
          </cell>
          <cell r="BR252">
            <v>0</v>
          </cell>
          <cell r="BS252">
            <v>0</v>
          </cell>
          <cell r="BT252">
            <v>0</v>
          </cell>
          <cell r="BU252">
            <v>0</v>
          </cell>
          <cell r="BV252">
            <v>0</v>
          </cell>
          <cell r="BW252">
            <v>0</v>
          </cell>
          <cell r="BX252">
            <v>0</v>
          </cell>
          <cell r="BY252">
            <v>0</v>
          </cell>
          <cell r="BZ252">
            <v>0</v>
          </cell>
          <cell r="CA252">
            <v>0</v>
          </cell>
          <cell r="CB252">
            <v>0</v>
          </cell>
          <cell r="CC252">
            <v>0</v>
          </cell>
          <cell r="CD252">
            <v>0</v>
          </cell>
          <cell r="CE252">
            <v>0</v>
          </cell>
          <cell r="CF252">
            <v>0</v>
          </cell>
          <cell r="CG252">
            <v>0</v>
          </cell>
          <cell r="CH252">
            <v>0</v>
          </cell>
          <cell r="CI252">
            <v>0</v>
          </cell>
          <cell r="CJ252">
            <v>0</v>
          </cell>
          <cell r="CK252">
            <v>0</v>
          </cell>
          <cell r="CL252">
            <v>0</v>
          </cell>
          <cell r="CM252">
            <v>0</v>
          </cell>
          <cell r="CN252">
            <v>0</v>
          </cell>
          <cell r="CO252">
            <v>0</v>
          </cell>
          <cell r="CP252">
            <v>0</v>
          </cell>
          <cell r="CQ252">
            <v>0</v>
          </cell>
          <cell r="CR252">
            <v>0</v>
          </cell>
          <cell r="CS252">
            <v>0</v>
          </cell>
          <cell r="CT252">
            <v>0</v>
          </cell>
          <cell r="CU252">
            <v>0</v>
          </cell>
          <cell r="CV252">
            <v>0</v>
          </cell>
          <cell r="CW252">
            <v>0</v>
          </cell>
          <cell r="CX252">
            <v>0</v>
          </cell>
          <cell r="CY252">
            <v>0</v>
          </cell>
          <cell r="CZ252">
            <v>0</v>
          </cell>
          <cell r="DA252">
            <v>0</v>
          </cell>
          <cell r="DB252">
            <v>0</v>
          </cell>
          <cell r="DC252">
            <v>0</v>
          </cell>
          <cell r="DD252">
            <v>0</v>
          </cell>
          <cell r="DE252">
            <v>0</v>
          </cell>
          <cell r="DF252">
            <v>0</v>
          </cell>
          <cell r="DG252">
            <v>0</v>
          </cell>
          <cell r="DH252">
            <v>0</v>
          </cell>
          <cell r="DI252">
            <v>0</v>
          </cell>
          <cell r="DJ252">
            <v>0</v>
          </cell>
          <cell r="DK252">
            <v>0</v>
          </cell>
          <cell r="DL252">
            <v>0</v>
          </cell>
          <cell r="DM252">
            <v>0</v>
          </cell>
          <cell r="DN252">
            <v>0</v>
          </cell>
          <cell r="DO252">
            <v>0</v>
          </cell>
          <cell r="DP252">
            <v>0</v>
          </cell>
          <cell r="DQ252">
            <v>0</v>
          </cell>
          <cell r="DR252">
            <v>0</v>
          </cell>
          <cell r="DS252">
            <v>0</v>
          </cell>
          <cell r="DT252">
            <v>0</v>
          </cell>
          <cell r="DU252">
            <v>0</v>
          </cell>
          <cell r="DV252">
            <v>0</v>
          </cell>
          <cell r="DW252">
            <v>0</v>
          </cell>
          <cell r="DX252">
            <v>0</v>
          </cell>
          <cell r="DY252">
            <v>0</v>
          </cell>
          <cell r="DZ252">
            <v>0</v>
          </cell>
          <cell r="EA252">
            <v>0</v>
          </cell>
          <cell r="EB252">
            <v>0</v>
          </cell>
          <cell r="EC252">
            <v>0</v>
          </cell>
          <cell r="ED252">
            <v>0</v>
          </cell>
          <cell r="EE252">
            <v>0</v>
          </cell>
          <cell r="EF252">
            <v>0</v>
          </cell>
          <cell r="EG252">
            <v>0</v>
          </cell>
          <cell r="EH252">
            <v>0</v>
          </cell>
          <cell r="EI252">
            <v>0</v>
          </cell>
          <cell r="EJ252">
            <v>0</v>
          </cell>
          <cell r="EK252">
            <v>0</v>
          </cell>
          <cell r="EL252">
            <v>0</v>
          </cell>
          <cell r="EM252">
            <v>0</v>
          </cell>
          <cell r="EN252">
            <v>0</v>
          </cell>
          <cell r="EO252">
            <v>0</v>
          </cell>
          <cell r="EP252">
            <v>0</v>
          </cell>
          <cell r="EQ252">
            <v>0</v>
          </cell>
          <cell r="ER252">
            <v>0</v>
          </cell>
          <cell r="ES252">
            <v>0</v>
          </cell>
          <cell r="ET252">
            <v>0</v>
          </cell>
          <cell r="EU252">
            <v>0</v>
          </cell>
          <cell r="EV252">
            <v>0</v>
          </cell>
          <cell r="EW252">
            <v>0</v>
          </cell>
          <cell r="EX252">
            <v>0</v>
          </cell>
          <cell r="EY252">
            <v>0</v>
          </cell>
          <cell r="EZ252">
            <v>0</v>
          </cell>
          <cell r="FA252">
            <v>0</v>
          </cell>
          <cell r="FB252">
            <v>0</v>
          </cell>
          <cell r="FC252">
            <v>0</v>
          </cell>
          <cell r="FD252">
            <v>0</v>
          </cell>
          <cell r="FE252">
            <v>0</v>
          </cell>
          <cell r="FF252">
            <v>0</v>
          </cell>
          <cell r="FG252">
            <v>0</v>
          </cell>
          <cell r="FH252">
            <v>0</v>
          </cell>
          <cell r="FI252">
            <v>0</v>
          </cell>
          <cell r="FJ252">
            <v>0</v>
          </cell>
          <cell r="FK252">
            <v>0</v>
          </cell>
          <cell r="FL252">
            <v>0</v>
          </cell>
          <cell r="FM252">
            <v>0</v>
          </cell>
          <cell r="FN252">
            <v>0</v>
          </cell>
          <cell r="FO252">
            <v>0</v>
          </cell>
          <cell r="FP252">
            <v>0</v>
          </cell>
          <cell r="FQ252">
            <v>0</v>
          </cell>
          <cell r="FR252">
            <v>0</v>
          </cell>
          <cell r="FS252">
            <v>0</v>
          </cell>
          <cell r="FT252">
            <v>0</v>
          </cell>
          <cell r="FU252">
            <v>0</v>
          </cell>
          <cell r="FV252">
            <v>0</v>
          </cell>
          <cell r="FW252">
            <v>0</v>
          </cell>
          <cell r="FX252">
            <v>0</v>
          </cell>
          <cell r="FY252">
            <v>0</v>
          </cell>
          <cell r="FZ252">
            <v>0</v>
          </cell>
          <cell r="GA252">
            <v>0</v>
          </cell>
          <cell r="GB252">
            <v>0</v>
          </cell>
          <cell r="GC252">
            <v>0</v>
          </cell>
          <cell r="GD252">
            <v>0</v>
          </cell>
          <cell r="GE252">
            <v>0</v>
          </cell>
          <cell r="GF252">
            <v>0</v>
          </cell>
          <cell r="GG252">
            <v>0</v>
          </cell>
          <cell r="GH252">
            <v>0</v>
          </cell>
          <cell r="GI252">
            <v>0</v>
          </cell>
          <cell r="GJ252">
            <v>0</v>
          </cell>
          <cell r="GK252">
            <v>0</v>
          </cell>
          <cell r="GL252">
            <v>0</v>
          </cell>
          <cell r="GM252">
            <v>0</v>
          </cell>
          <cell r="GN252">
            <v>0</v>
          </cell>
          <cell r="GO252">
            <v>0</v>
          </cell>
          <cell r="GP252">
            <v>0</v>
          </cell>
          <cell r="GQ252">
            <v>0</v>
          </cell>
          <cell r="GR252">
            <v>0</v>
          </cell>
          <cell r="GS252">
            <v>0</v>
          </cell>
          <cell r="GT252">
            <v>0</v>
          </cell>
          <cell r="GU252">
            <v>0</v>
          </cell>
          <cell r="GV252">
            <v>0</v>
          </cell>
          <cell r="GW252">
            <v>0</v>
          </cell>
          <cell r="GX252">
            <v>0</v>
          </cell>
          <cell r="GY252">
            <v>0</v>
          </cell>
          <cell r="GZ252">
            <v>0</v>
          </cell>
          <cell r="HA252">
            <v>0</v>
          </cell>
          <cell r="HB252">
            <v>0</v>
          </cell>
          <cell r="HC252">
            <v>0</v>
          </cell>
          <cell r="HD252">
            <v>0</v>
          </cell>
          <cell r="HE252">
            <v>0</v>
          </cell>
          <cell r="HF252">
            <v>0</v>
          </cell>
          <cell r="HG252">
            <v>0</v>
          </cell>
          <cell r="HH252">
            <v>0</v>
          </cell>
          <cell r="HI252">
            <v>0</v>
          </cell>
          <cell r="HJ252">
            <v>0</v>
          </cell>
          <cell r="HK252">
            <v>0</v>
          </cell>
          <cell r="HL252">
            <v>0</v>
          </cell>
          <cell r="HM252">
            <v>0</v>
          </cell>
          <cell r="HN252">
            <v>0</v>
          </cell>
          <cell r="HO252">
            <v>0</v>
          </cell>
          <cell r="HP252">
            <v>0</v>
          </cell>
          <cell r="HQ252">
            <v>0</v>
          </cell>
          <cell r="HR252">
            <v>0</v>
          </cell>
          <cell r="HS252">
            <v>0</v>
          </cell>
          <cell r="HT252">
            <v>0</v>
          </cell>
          <cell r="HU252">
            <v>0</v>
          </cell>
          <cell r="HV252">
            <v>0</v>
          </cell>
          <cell r="HW252">
            <v>0</v>
          </cell>
          <cell r="HX252">
            <v>0</v>
          </cell>
          <cell r="HY252">
            <v>0</v>
          </cell>
          <cell r="HZ252">
            <v>0</v>
          </cell>
          <cell r="IA252">
            <v>0</v>
          </cell>
          <cell r="IB252">
            <v>0</v>
          </cell>
          <cell r="IC252">
            <v>0</v>
          </cell>
          <cell r="ID252">
            <v>0</v>
          </cell>
          <cell r="IE252">
            <v>0</v>
          </cell>
          <cell r="IF252">
            <v>0</v>
          </cell>
          <cell r="IG252">
            <v>0</v>
          </cell>
          <cell r="IH252">
            <v>0</v>
          </cell>
          <cell r="II252">
            <v>0</v>
          </cell>
          <cell r="IJ252">
            <v>0</v>
          </cell>
          <cell r="IK252">
            <v>0</v>
          </cell>
          <cell r="IL252">
            <v>0</v>
          </cell>
          <cell r="IM252">
            <v>0</v>
          </cell>
          <cell r="IN252">
            <v>0</v>
          </cell>
          <cell r="IO252">
            <v>0</v>
          </cell>
          <cell r="IP252">
            <v>0</v>
          </cell>
          <cell r="IQ252">
            <v>0</v>
          </cell>
          <cell r="IR252">
            <v>0</v>
          </cell>
          <cell r="IS252">
            <v>0</v>
          </cell>
          <cell r="IT252">
            <v>0</v>
          </cell>
          <cell r="IU252">
            <v>0</v>
          </cell>
          <cell r="IV252">
            <v>0</v>
          </cell>
          <cell r="IW252">
            <v>0</v>
          </cell>
          <cell r="IX252">
            <v>0</v>
          </cell>
          <cell r="IY252">
            <v>0</v>
          </cell>
          <cell r="IZ252">
            <v>0</v>
          </cell>
          <cell r="JA252">
            <v>0</v>
          </cell>
        </row>
        <row r="284">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cell r="BM284">
            <v>0</v>
          </cell>
          <cell r="BN284">
            <v>0</v>
          </cell>
          <cell r="BO284">
            <v>0</v>
          </cell>
          <cell r="BP284">
            <v>0</v>
          </cell>
          <cell r="BQ284">
            <v>0</v>
          </cell>
          <cell r="BR284">
            <v>0</v>
          </cell>
          <cell r="BS284">
            <v>0</v>
          </cell>
          <cell r="BT284">
            <v>0</v>
          </cell>
          <cell r="BU284">
            <v>0</v>
          </cell>
          <cell r="BV284">
            <v>0</v>
          </cell>
          <cell r="BW284">
            <v>0</v>
          </cell>
          <cell r="BX284">
            <v>0</v>
          </cell>
          <cell r="BY284">
            <v>0</v>
          </cell>
          <cell r="BZ284">
            <v>0</v>
          </cell>
          <cell r="CA284">
            <v>0</v>
          </cell>
          <cell r="CB284">
            <v>0</v>
          </cell>
          <cell r="CC284">
            <v>0</v>
          </cell>
          <cell r="CD284">
            <v>0</v>
          </cell>
          <cell r="CE284">
            <v>0</v>
          </cell>
          <cell r="CF284">
            <v>0</v>
          </cell>
          <cell r="CG284">
            <v>0</v>
          </cell>
          <cell r="CH284">
            <v>0</v>
          </cell>
          <cell r="CI284">
            <v>0</v>
          </cell>
          <cell r="CJ284">
            <v>0</v>
          </cell>
          <cell r="CK284">
            <v>0</v>
          </cell>
          <cell r="CL284">
            <v>0</v>
          </cell>
          <cell r="CM284">
            <v>0</v>
          </cell>
          <cell r="CN284">
            <v>0</v>
          </cell>
          <cell r="CO284">
            <v>0</v>
          </cell>
          <cell r="CP284">
            <v>0</v>
          </cell>
          <cell r="CQ284">
            <v>0</v>
          </cell>
          <cell r="CR284">
            <v>0</v>
          </cell>
          <cell r="CS284">
            <v>0</v>
          </cell>
          <cell r="CT284">
            <v>0</v>
          </cell>
          <cell r="CU284">
            <v>0</v>
          </cell>
          <cell r="CV284">
            <v>0</v>
          </cell>
          <cell r="CW284">
            <v>0</v>
          </cell>
          <cell r="CX284">
            <v>0</v>
          </cell>
          <cell r="CY284">
            <v>0</v>
          </cell>
          <cell r="CZ284">
            <v>0</v>
          </cell>
          <cell r="DA284">
            <v>0</v>
          </cell>
          <cell r="DB284">
            <v>0</v>
          </cell>
          <cell r="DC284">
            <v>0</v>
          </cell>
          <cell r="DD284">
            <v>0</v>
          </cell>
          <cell r="DE284">
            <v>0</v>
          </cell>
          <cell r="DF284">
            <v>0</v>
          </cell>
          <cell r="DG284">
            <v>0</v>
          </cell>
          <cell r="DH284">
            <v>0</v>
          </cell>
          <cell r="DI284">
            <v>0</v>
          </cell>
          <cell r="DJ284">
            <v>0</v>
          </cell>
          <cell r="DK284">
            <v>0</v>
          </cell>
          <cell r="DL284">
            <v>0</v>
          </cell>
          <cell r="DM284">
            <v>0</v>
          </cell>
          <cell r="DN284">
            <v>0</v>
          </cell>
          <cell r="DO284">
            <v>0</v>
          </cell>
          <cell r="DP284">
            <v>0</v>
          </cell>
          <cell r="DQ284">
            <v>0</v>
          </cell>
          <cell r="DR284">
            <v>0</v>
          </cell>
          <cell r="DS284">
            <v>0</v>
          </cell>
          <cell r="DT284">
            <v>0</v>
          </cell>
          <cell r="DU284">
            <v>0</v>
          </cell>
          <cell r="DV284">
            <v>0</v>
          </cell>
          <cell r="DW284">
            <v>0</v>
          </cell>
          <cell r="DX284">
            <v>0</v>
          </cell>
          <cell r="DY284">
            <v>0</v>
          </cell>
          <cell r="DZ284">
            <v>0</v>
          </cell>
          <cell r="EA284">
            <v>0</v>
          </cell>
          <cell r="EB284">
            <v>0</v>
          </cell>
          <cell r="EC284">
            <v>0</v>
          </cell>
          <cell r="ED284">
            <v>0</v>
          </cell>
          <cell r="EE284">
            <v>0</v>
          </cell>
          <cell r="EF284">
            <v>0</v>
          </cell>
          <cell r="EG284">
            <v>0</v>
          </cell>
          <cell r="EH284">
            <v>0</v>
          </cell>
          <cell r="EI284">
            <v>0</v>
          </cell>
          <cell r="EJ284">
            <v>0</v>
          </cell>
          <cell r="EK284">
            <v>0</v>
          </cell>
          <cell r="EL284">
            <v>0</v>
          </cell>
          <cell r="EM284">
            <v>0</v>
          </cell>
          <cell r="EN284">
            <v>0</v>
          </cell>
          <cell r="EO284">
            <v>0</v>
          </cell>
          <cell r="EP284">
            <v>0</v>
          </cell>
          <cell r="EQ284">
            <v>0</v>
          </cell>
          <cell r="ER284">
            <v>0</v>
          </cell>
          <cell r="ES284">
            <v>0</v>
          </cell>
          <cell r="ET284">
            <v>0</v>
          </cell>
          <cell r="EU284">
            <v>0</v>
          </cell>
          <cell r="EV284">
            <v>0</v>
          </cell>
          <cell r="EW284">
            <v>0</v>
          </cell>
          <cell r="EX284">
            <v>0</v>
          </cell>
          <cell r="EY284">
            <v>0</v>
          </cell>
          <cell r="EZ284">
            <v>0</v>
          </cell>
          <cell r="FA284">
            <v>0</v>
          </cell>
          <cell r="FB284">
            <v>0</v>
          </cell>
          <cell r="FC284">
            <v>0</v>
          </cell>
          <cell r="FD284">
            <v>0</v>
          </cell>
          <cell r="FE284">
            <v>0</v>
          </cell>
          <cell r="FF284">
            <v>0</v>
          </cell>
          <cell r="FG284">
            <v>0</v>
          </cell>
          <cell r="FH284">
            <v>0</v>
          </cell>
          <cell r="FI284">
            <v>0</v>
          </cell>
          <cell r="FJ284">
            <v>0</v>
          </cell>
          <cell r="FK284">
            <v>0</v>
          </cell>
          <cell r="FL284">
            <v>0</v>
          </cell>
          <cell r="FM284">
            <v>0</v>
          </cell>
          <cell r="FN284">
            <v>0</v>
          </cell>
          <cell r="FO284">
            <v>0</v>
          </cell>
          <cell r="FP284">
            <v>0</v>
          </cell>
          <cell r="FQ284">
            <v>0</v>
          </cell>
          <cell r="FR284">
            <v>0</v>
          </cell>
          <cell r="FS284">
            <v>0</v>
          </cell>
          <cell r="FT284">
            <v>0</v>
          </cell>
          <cell r="FU284">
            <v>0</v>
          </cell>
          <cell r="FV284">
            <v>0</v>
          </cell>
          <cell r="FW284">
            <v>0</v>
          </cell>
          <cell r="FX284">
            <v>0</v>
          </cell>
          <cell r="FY284">
            <v>0</v>
          </cell>
          <cell r="FZ284">
            <v>0</v>
          </cell>
          <cell r="GA284">
            <v>0</v>
          </cell>
          <cell r="GB284">
            <v>0</v>
          </cell>
          <cell r="GC284">
            <v>0</v>
          </cell>
          <cell r="GD284">
            <v>0</v>
          </cell>
          <cell r="GE284">
            <v>0</v>
          </cell>
          <cell r="GF284">
            <v>0</v>
          </cell>
          <cell r="GG284">
            <v>0</v>
          </cell>
          <cell r="GH284">
            <v>0</v>
          </cell>
          <cell r="GI284">
            <v>0</v>
          </cell>
          <cell r="GJ284">
            <v>0</v>
          </cell>
          <cell r="GK284">
            <v>0</v>
          </cell>
          <cell r="GL284">
            <v>0</v>
          </cell>
          <cell r="GM284">
            <v>0</v>
          </cell>
          <cell r="GN284">
            <v>0</v>
          </cell>
          <cell r="GO284">
            <v>0</v>
          </cell>
          <cell r="GP284">
            <v>0</v>
          </cell>
          <cell r="GQ284">
            <v>0</v>
          </cell>
          <cell r="GR284">
            <v>0</v>
          </cell>
          <cell r="GS284">
            <v>0</v>
          </cell>
          <cell r="GT284">
            <v>0</v>
          </cell>
          <cell r="GU284">
            <v>0</v>
          </cell>
          <cell r="GV284">
            <v>0</v>
          </cell>
          <cell r="GW284">
            <v>0</v>
          </cell>
          <cell r="GX284">
            <v>0</v>
          </cell>
          <cell r="GY284">
            <v>0</v>
          </cell>
          <cell r="GZ284">
            <v>0</v>
          </cell>
          <cell r="HA284">
            <v>0</v>
          </cell>
          <cell r="HB284">
            <v>0</v>
          </cell>
          <cell r="HC284">
            <v>0</v>
          </cell>
          <cell r="HD284">
            <v>0</v>
          </cell>
          <cell r="HE284">
            <v>0</v>
          </cell>
          <cell r="HF284">
            <v>0</v>
          </cell>
          <cell r="HG284">
            <v>0</v>
          </cell>
          <cell r="HH284">
            <v>0</v>
          </cell>
          <cell r="HI284">
            <v>0</v>
          </cell>
          <cell r="HJ284">
            <v>0</v>
          </cell>
          <cell r="HK284">
            <v>0</v>
          </cell>
          <cell r="HL284">
            <v>0</v>
          </cell>
          <cell r="HM284">
            <v>0</v>
          </cell>
          <cell r="HN284">
            <v>0</v>
          </cell>
          <cell r="HO284">
            <v>0</v>
          </cell>
          <cell r="HP284">
            <v>0</v>
          </cell>
          <cell r="HQ284">
            <v>0</v>
          </cell>
          <cell r="HR284">
            <v>0</v>
          </cell>
          <cell r="HS284">
            <v>0</v>
          </cell>
          <cell r="HT284">
            <v>0</v>
          </cell>
          <cell r="HU284">
            <v>0</v>
          </cell>
          <cell r="HV284">
            <v>0</v>
          </cell>
          <cell r="HW284">
            <v>0</v>
          </cell>
          <cell r="HX284">
            <v>0</v>
          </cell>
          <cell r="HY284">
            <v>0</v>
          </cell>
          <cell r="HZ284">
            <v>0</v>
          </cell>
          <cell r="IA284">
            <v>0</v>
          </cell>
          <cell r="IB284">
            <v>0</v>
          </cell>
          <cell r="IC284">
            <v>0</v>
          </cell>
          <cell r="ID284">
            <v>0</v>
          </cell>
          <cell r="IE284">
            <v>0</v>
          </cell>
          <cell r="IF284">
            <v>0</v>
          </cell>
          <cell r="IG284">
            <v>0</v>
          </cell>
          <cell r="IH284">
            <v>0</v>
          </cell>
          <cell r="II284">
            <v>0</v>
          </cell>
          <cell r="IJ284">
            <v>0</v>
          </cell>
          <cell r="IK284">
            <v>0</v>
          </cell>
          <cell r="IL284">
            <v>0</v>
          </cell>
          <cell r="IM284">
            <v>0</v>
          </cell>
          <cell r="IN284">
            <v>0</v>
          </cell>
          <cell r="IO284">
            <v>0</v>
          </cell>
          <cell r="IP284">
            <v>0</v>
          </cell>
          <cell r="IQ284">
            <v>0</v>
          </cell>
          <cell r="IR284">
            <v>0</v>
          </cell>
          <cell r="IS284">
            <v>0</v>
          </cell>
          <cell r="IT284">
            <v>0</v>
          </cell>
          <cell r="IU284">
            <v>0</v>
          </cell>
          <cell r="IV284">
            <v>0</v>
          </cell>
          <cell r="IW284">
            <v>0</v>
          </cell>
          <cell r="IX284">
            <v>0</v>
          </cell>
          <cell r="IY284">
            <v>0</v>
          </cell>
          <cell r="IZ284">
            <v>0</v>
          </cell>
          <cell r="JA284">
            <v>0</v>
          </cell>
        </row>
        <row r="288">
          <cell r="L288">
            <v>0</v>
          </cell>
          <cell r="M288">
            <v>0</v>
          </cell>
          <cell r="N288">
            <v>0</v>
          </cell>
          <cell r="O288">
            <v>1.6134252567443359</v>
          </cell>
          <cell r="P288">
            <v>1.4295521479480979</v>
          </cell>
          <cell r="Q288">
            <v>1.934366290448684</v>
          </cell>
          <cell r="R288">
            <v>1.9730535967305178</v>
          </cell>
          <cell r="S288">
            <v>2.0125146898692647</v>
          </cell>
          <cell r="T288">
            <v>2.0527649945100661</v>
          </cell>
          <cell r="U288">
            <v>2.0938201690463392</v>
          </cell>
          <cell r="V288">
            <v>2.1356965858296175</v>
          </cell>
          <cell r="W288">
            <v>2.1784107191853135</v>
          </cell>
          <cell r="X288">
            <v>2.2219434761475174</v>
          </cell>
          <cell r="Y288">
            <v>2.266008448729147</v>
          </cell>
          <cell r="Z288">
            <v>2.2244212441635849</v>
          </cell>
          <cell r="AA288">
            <v>2.127511559557119</v>
          </cell>
          <cell r="AB288">
            <v>2.0266329435393384</v>
          </cell>
          <cell r="AC288">
            <v>1.921679472090871</v>
          </cell>
          <cell r="AD288">
            <v>1.819454496207878</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cell r="BM288">
            <v>0</v>
          </cell>
          <cell r="BN288">
            <v>0</v>
          </cell>
          <cell r="BO288">
            <v>0</v>
          </cell>
          <cell r="BP288">
            <v>0</v>
          </cell>
          <cell r="BQ288">
            <v>0</v>
          </cell>
          <cell r="BR288">
            <v>0</v>
          </cell>
          <cell r="BS288">
            <v>0</v>
          </cell>
          <cell r="BT288">
            <v>0</v>
          </cell>
          <cell r="BU288">
            <v>0</v>
          </cell>
          <cell r="BV288">
            <v>0</v>
          </cell>
          <cell r="BW288">
            <v>0</v>
          </cell>
          <cell r="BX288">
            <v>0</v>
          </cell>
          <cell r="BY288">
            <v>0</v>
          </cell>
          <cell r="BZ288">
            <v>0</v>
          </cell>
          <cell r="CA288">
            <v>0</v>
          </cell>
          <cell r="CB288">
            <v>0</v>
          </cell>
          <cell r="CC288">
            <v>0</v>
          </cell>
          <cell r="CD288">
            <v>0</v>
          </cell>
          <cell r="CE288">
            <v>0</v>
          </cell>
          <cell r="CF288">
            <v>0</v>
          </cell>
          <cell r="CG288">
            <v>0</v>
          </cell>
          <cell r="CH288">
            <v>0</v>
          </cell>
          <cell r="CI288">
            <v>0</v>
          </cell>
          <cell r="CJ288">
            <v>0</v>
          </cell>
          <cell r="CK288">
            <v>0</v>
          </cell>
          <cell r="CL288">
            <v>0</v>
          </cell>
          <cell r="CM288">
            <v>0</v>
          </cell>
          <cell r="CN288">
            <v>0</v>
          </cell>
          <cell r="CO288">
            <v>0</v>
          </cell>
          <cell r="CP288">
            <v>0</v>
          </cell>
          <cell r="CQ288">
            <v>0</v>
          </cell>
          <cell r="CR288">
            <v>0</v>
          </cell>
          <cell r="CS288">
            <v>0</v>
          </cell>
          <cell r="CT288">
            <v>0</v>
          </cell>
          <cell r="CU288">
            <v>0</v>
          </cell>
          <cell r="CV288">
            <v>0</v>
          </cell>
          <cell r="CW288">
            <v>0</v>
          </cell>
          <cell r="CX288">
            <v>0</v>
          </cell>
          <cell r="CY288">
            <v>0</v>
          </cell>
          <cell r="CZ288">
            <v>0</v>
          </cell>
          <cell r="DA288">
            <v>0</v>
          </cell>
          <cell r="DB288">
            <v>0</v>
          </cell>
          <cell r="DC288">
            <v>0</v>
          </cell>
          <cell r="DD288">
            <v>0</v>
          </cell>
          <cell r="DE288">
            <v>0</v>
          </cell>
          <cell r="DF288">
            <v>0</v>
          </cell>
          <cell r="DG288">
            <v>0</v>
          </cell>
          <cell r="DH288">
            <v>0</v>
          </cell>
          <cell r="DI288">
            <v>0</v>
          </cell>
          <cell r="DJ288">
            <v>0</v>
          </cell>
          <cell r="DK288">
            <v>0</v>
          </cell>
          <cell r="DL288">
            <v>0</v>
          </cell>
          <cell r="DM288">
            <v>0</v>
          </cell>
          <cell r="DN288">
            <v>0</v>
          </cell>
          <cell r="DO288">
            <v>0</v>
          </cell>
          <cell r="DP288">
            <v>0</v>
          </cell>
          <cell r="DQ288">
            <v>0</v>
          </cell>
          <cell r="DR288">
            <v>0</v>
          </cell>
          <cell r="DS288">
            <v>0</v>
          </cell>
          <cell r="DT288">
            <v>0</v>
          </cell>
          <cell r="DU288">
            <v>0</v>
          </cell>
          <cell r="DV288">
            <v>0</v>
          </cell>
          <cell r="DW288">
            <v>0</v>
          </cell>
          <cell r="DX288">
            <v>0</v>
          </cell>
          <cell r="DY288">
            <v>0</v>
          </cell>
          <cell r="DZ288">
            <v>0</v>
          </cell>
          <cell r="EA288">
            <v>0</v>
          </cell>
          <cell r="EB288">
            <v>0</v>
          </cell>
          <cell r="EC288">
            <v>0</v>
          </cell>
          <cell r="ED288">
            <v>0</v>
          </cell>
          <cell r="EE288">
            <v>0</v>
          </cell>
          <cell r="EF288">
            <v>0</v>
          </cell>
          <cell r="EG288">
            <v>0</v>
          </cell>
          <cell r="EH288">
            <v>0</v>
          </cell>
          <cell r="EI288">
            <v>0</v>
          </cell>
          <cell r="EJ288">
            <v>0</v>
          </cell>
          <cell r="EK288">
            <v>0</v>
          </cell>
          <cell r="EL288">
            <v>0</v>
          </cell>
          <cell r="EM288">
            <v>0</v>
          </cell>
          <cell r="EN288">
            <v>0</v>
          </cell>
          <cell r="EO288">
            <v>0</v>
          </cell>
          <cell r="EP288">
            <v>0</v>
          </cell>
          <cell r="EQ288">
            <v>0</v>
          </cell>
          <cell r="ER288">
            <v>0</v>
          </cell>
          <cell r="ES288">
            <v>0</v>
          </cell>
          <cell r="ET288">
            <v>0</v>
          </cell>
          <cell r="EU288">
            <v>0</v>
          </cell>
          <cell r="EV288">
            <v>0</v>
          </cell>
          <cell r="EW288">
            <v>0</v>
          </cell>
          <cell r="EX288">
            <v>0</v>
          </cell>
          <cell r="EY288">
            <v>0</v>
          </cell>
          <cell r="EZ288">
            <v>0</v>
          </cell>
          <cell r="FA288">
            <v>0</v>
          </cell>
          <cell r="FB288">
            <v>0</v>
          </cell>
          <cell r="FC288">
            <v>0</v>
          </cell>
          <cell r="FD288">
            <v>0</v>
          </cell>
          <cell r="FE288">
            <v>0</v>
          </cell>
          <cell r="FF288">
            <v>0</v>
          </cell>
          <cell r="FG288">
            <v>0</v>
          </cell>
          <cell r="FH288">
            <v>0</v>
          </cell>
          <cell r="FI288">
            <v>0</v>
          </cell>
          <cell r="FJ288">
            <v>0</v>
          </cell>
          <cell r="FK288">
            <v>0</v>
          </cell>
          <cell r="FL288">
            <v>0</v>
          </cell>
          <cell r="FM288">
            <v>0</v>
          </cell>
          <cell r="FN288">
            <v>0</v>
          </cell>
          <cell r="FO288">
            <v>0</v>
          </cell>
          <cell r="FP288">
            <v>0</v>
          </cell>
          <cell r="FQ288">
            <v>0</v>
          </cell>
          <cell r="FR288">
            <v>0</v>
          </cell>
          <cell r="FS288">
            <v>0</v>
          </cell>
          <cell r="FT288">
            <v>0</v>
          </cell>
          <cell r="FU288">
            <v>0</v>
          </cell>
          <cell r="FV288">
            <v>0</v>
          </cell>
          <cell r="FW288">
            <v>0</v>
          </cell>
          <cell r="FX288">
            <v>0</v>
          </cell>
          <cell r="FY288">
            <v>0</v>
          </cell>
          <cell r="FZ288">
            <v>0</v>
          </cell>
          <cell r="GA288">
            <v>0</v>
          </cell>
          <cell r="GB288">
            <v>0</v>
          </cell>
          <cell r="GC288">
            <v>0</v>
          </cell>
          <cell r="GD288">
            <v>0</v>
          </cell>
          <cell r="GE288">
            <v>0</v>
          </cell>
          <cell r="GF288">
            <v>0</v>
          </cell>
          <cell r="GG288">
            <v>0</v>
          </cell>
          <cell r="GH288">
            <v>0</v>
          </cell>
          <cell r="GI288">
            <v>0</v>
          </cell>
          <cell r="GJ288">
            <v>0</v>
          </cell>
          <cell r="GK288">
            <v>0</v>
          </cell>
          <cell r="GL288">
            <v>0</v>
          </cell>
          <cell r="GM288">
            <v>0</v>
          </cell>
          <cell r="GN288">
            <v>0</v>
          </cell>
          <cell r="GO288">
            <v>0</v>
          </cell>
          <cell r="GP288">
            <v>0</v>
          </cell>
          <cell r="GQ288">
            <v>0</v>
          </cell>
          <cell r="GR288">
            <v>0</v>
          </cell>
          <cell r="GS288">
            <v>0</v>
          </cell>
          <cell r="GT288">
            <v>0</v>
          </cell>
          <cell r="GU288">
            <v>0</v>
          </cell>
          <cell r="GV288">
            <v>0</v>
          </cell>
          <cell r="GW288">
            <v>0</v>
          </cell>
          <cell r="GX288">
            <v>0</v>
          </cell>
          <cell r="GY288">
            <v>0</v>
          </cell>
          <cell r="GZ288">
            <v>0</v>
          </cell>
          <cell r="HA288">
            <v>0</v>
          </cell>
          <cell r="HB288">
            <v>0</v>
          </cell>
          <cell r="HC288">
            <v>0</v>
          </cell>
          <cell r="HD288">
            <v>0</v>
          </cell>
          <cell r="HE288">
            <v>0</v>
          </cell>
          <cell r="HF288">
            <v>0</v>
          </cell>
          <cell r="HG288">
            <v>0</v>
          </cell>
          <cell r="HH288">
            <v>0</v>
          </cell>
          <cell r="HI288">
            <v>0</v>
          </cell>
          <cell r="HJ288">
            <v>0</v>
          </cell>
          <cell r="HK288">
            <v>0</v>
          </cell>
          <cell r="HL288">
            <v>0</v>
          </cell>
          <cell r="HM288">
            <v>0</v>
          </cell>
          <cell r="HN288">
            <v>0</v>
          </cell>
          <cell r="HO288">
            <v>0</v>
          </cell>
          <cell r="HP288">
            <v>0</v>
          </cell>
          <cell r="HQ288">
            <v>0</v>
          </cell>
          <cell r="HR288">
            <v>0</v>
          </cell>
          <cell r="HS288">
            <v>0</v>
          </cell>
          <cell r="HT288">
            <v>0</v>
          </cell>
          <cell r="HU288">
            <v>0</v>
          </cell>
          <cell r="HV288">
            <v>0</v>
          </cell>
          <cell r="HW288">
            <v>0</v>
          </cell>
          <cell r="HX288">
            <v>0</v>
          </cell>
          <cell r="HY288">
            <v>0</v>
          </cell>
          <cell r="HZ288">
            <v>0</v>
          </cell>
          <cell r="IA288">
            <v>0</v>
          </cell>
          <cell r="IB288">
            <v>0</v>
          </cell>
          <cell r="IC288">
            <v>0</v>
          </cell>
          <cell r="ID288">
            <v>0</v>
          </cell>
          <cell r="IE288">
            <v>0</v>
          </cell>
          <cell r="IF288">
            <v>0</v>
          </cell>
          <cell r="IG288">
            <v>0</v>
          </cell>
          <cell r="IH288">
            <v>0</v>
          </cell>
          <cell r="II288">
            <v>0</v>
          </cell>
          <cell r="IJ288">
            <v>0</v>
          </cell>
          <cell r="IK288">
            <v>0</v>
          </cell>
          <cell r="IL288">
            <v>0</v>
          </cell>
          <cell r="IM288">
            <v>0</v>
          </cell>
          <cell r="IN288">
            <v>0</v>
          </cell>
          <cell r="IO288">
            <v>0</v>
          </cell>
          <cell r="IP288">
            <v>0</v>
          </cell>
          <cell r="IQ288">
            <v>0</v>
          </cell>
          <cell r="IR288">
            <v>0</v>
          </cell>
          <cell r="IS288">
            <v>0</v>
          </cell>
          <cell r="IT288">
            <v>0</v>
          </cell>
          <cell r="IU288">
            <v>0</v>
          </cell>
          <cell r="IV288">
            <v>0</v>
          </cell>
          <cell r="IW288">
            <v>0</v>
          </cell>
          <cell r="IX288">
            <v>0</v>
          </cell>
          <cell r="IY288">
            <v>0</v>
          </cell>
          <cell r="IZ288">
            <v>0</v>
          </cell>
          <cell r="JA288">
            <v>0</v>
          </cell>
        </row>
        <row r="289">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cell r="BM289">
            <v>0</v>
          </cell>
          <cell r="BN289">
            <v>0</v>
          </cell>
          <cell r="BO289">
            <v>0</v>
          </cell>
          <cell r="BP289">
            <v>0</v>
          </cell>
          <cell r="BQ289">
            <v>0</v>
          </cell>
          <cell r="BR289">
            <v>0</v>
          </cell>
          <cell r="BS289">
            <v>0</v>
          </cell>
          <cell r="BT289">
            <v>0</v>
          </cell>
          <cell r="BU289">
            <v>0</v>
          </cell>
          <cell r="BV289">
            <v>0</v>
          </cell>
          <cell r="BW289">
            <v>0</v>
          </cell>
          <cell r="BX289">
            <v>0</v>
          </cell>
          <cell r="BY289">
            <v>0</v>
          </cell>
          <cell r="BZ289">
            <v>0</v>
          </cell>
          <cell r="CA289">
            <v>0</v>
          </cell>
          <cell r="CB289">
            <v>0</v>
          </cell>
          <cell r="CC289">
            <v>0</v>
          </cell>
          <cell r="CD289">
            <v>0</v>
          </cell>
          <cell r="CE289">
            <v>0</v>
          </cell>
          <cell r="CF289">
            <v>0</v>
          </cell>
          <cell r="CG289">
            <v>0</v>
          </cell>
          <cell r="CH289">
            <v>0</v>
          </cell>
          <cell r="CI289">
            <v>0</v>
          </cell>
          <cell r="CJ289">
            <v>0</v>
          </cell>
          <cell r="CK289">
            <v>0</v>
          </cell>
          <cell r="CL289">
            <v>0</v>
          </cell>
          <cell r="CM289">
            <v>0</v>
          </cell>
          <cell r="CN289">
            <v>0</v>
          </cell>
          <cell r="CO289">
            <v>0</v>
          </cell>
          <cell r="CP289">
            <v>0</v>
          </cell>
          <cell r="CQ289">
            <v>0</v>
          </cell>
          <cell r="CR289">
            <v>0</v>
          </cell>
          <cell r="CS289">
            <v>0</v>
          </cell>
          <cell r="CT289">
            <v>0</v>
          </cell>
          <cell r="CU289">
            <v>0</v>
          </cell>
          <cell r="CV289">
            <v>0</v>
          </cell>
          <cell r="CW289">
            <v>0</v>
          </cell>
          <cell r="CX289">
            <v>0</v>
          </cell>
          <cell r="CY289">
            <v>0</v>
          </cell>
          <cell r="CZ289">
            <v>0</v>
          </cell>
          <cell r="DA289">
            <v>0</v>
          </cell>
          <cell r="DB289">
            <v>0</v>
          </cell>
          <cell r="DC289">
            <v>0</v>
          </cell>
          <cell r="DD289">
            <v>0</v>
          </cell>
          <cell r="DE289">
            <v>0</v>
          </cell>
          <cell r="DF289">
            <v>0</v>
          </cell>
          <cell r="DG289">
            <v>0</v>
          </cell>
          <cell r="DH289">
            <v>0</v>
          </cell>
          <cell r="DI289">
            <v>0</v>
          </cell>
          <cell r="DJ289">
            <v>0</v>
          </cell>
          <cell r="DK289">
            <v>0</v>
          </cell>
          <cell r="DL289">
            <v>0</v>
          </cell>
          <cell r="DM289">
            <v>0</v>
          </cell>
          <cell r="DN289">
            <v>0</v>
          </cell>
          <cell r="DO289">
            <v>0</v>
          </cell>
          <cell r="DP289">
            <v>0</v>
          </cell>
          <cell r="DQ289">
            <v>0</v>
          </cell>
          <cell r="DR289">
            <v>0</v>
          </cell>
          <cell r="DS289">
            <v>0</v>
          </cell>
          <cell r="DT289">
            <v>0</v>
          </cell>
          <cell r="DU289">
            <v>0</v>
          </cell>
          <cell r="DV289">
            <v>0</v>
          </cell>
          <cell r="DW289">
            <v>0</v>
          </cell>
          <cell r="DX289">
            <v>0</v>
          </cell>
          <cell r="DY289">
            <v>0</v>
          </cell>
          <cell r="DZ289">
            <v>0</v>
          </cell>
          <cell r="EA289">
            <v>0</v>
          </cell>
          <cell r="EB289">
            <v>0</v>
          </cell>
          <cell r="EC289">
            <v>0</v>
          </cell>
          <cell r="ED289">
            <v>0</v>
          </cell>
          <cell r="EE289">
            <v>0</v>
          </cell>
          <cell r="EF289">
            <v>0</v>
          </cell>
          <cell r="EG289">
            <v>0</v>
          </cell>
          <cell r="EH289">
            <v>0</v>
          </cell>
          <cell r="EI289">
            <v>0</v>
          </cell>
          <cell r="EJ289">
            <v>0</v>
          </cell>
          <cell r="EK289">
            <v>0</v>
          </cell>
          <cell r="EL289">
            <v>0</v>
          </cell>
          <cell r="EM289">
            <v>0</v>
          </cell>
          <cell r="EN289">
            <v>0</v>
          </cell>
          <cell r="EO289">
            <v>0</v>
          </cell>
          <cell r="EP289">
            <v>0</v>
          </cell>
          <cell r="EQ289">
            <v>0</v>
          </cell>
          <cell r="ER289">
            <v>0</v>
          </cell>
          <cell r="ES289">
            <v>0</v>
          </cell>
          <cell r="ET289">
            <v>0</v>
          </cell>
          <cell r="EU289">
            <v>0</v>
          </cell>
          <cell r="EV289">
            <v>0</v>
          </cell>
          <cell r="EW289">
            <v>0</v>
          </cell>
          <cell r="EX289">
            <v>0</v>
          </cell>
          <cell r="EY289">
            <v>0</v>
          </cell>
          <cell r="EZ289">
            <v>0</v>
          </cell>
          <cell r="FA289">
            <v>0</v>
          </cell>
          <cell r="FB289">
            <v>0</v>
          </cell>
          <cell r="FC289">
            <v>0</v>
          </cell>
          <cell r="FD289">
            <v>0</v>
          </cell>
          <cell r="FE289">
            <v>0</v>
          </cell>
          <cell r="FF289">
            <v>0</v>
          </cell>
          <cell r="FG289">
            <v>0</v>
          </cell>
          <cell r="FH289">
            <v>0</v>
          </cell>
          <cell r="FI289">
            <v>0</v>
          </cell>
          <cell r="FJ289">
            <v>0</v>
          </cell>
          <cell r="FK289">
            <v>0</v>
          </cell>
          <cell r="FL289">
            <v>0</v>
          </cell>
          <cell r="FM289">
            <v>0</v>
          </cell>
          <cell r="FN289">
            <v>0</v>
          </cell>
          <cell r="FO289">
            <v>0</v>
          </cell>
          <cell r="FP289">
            <v>0</v>
          </cell>
          <cell r="FQ289">
            <v>0</v>
          </cell>
          <cell r="FR289">
            <v>0</v>
          </cell>
          <cell r="FS289">
            <v>0</v>
          </cell>
          <cell r="FT289">
            <v>0</v>
          </cell>
          <cell r="FU289">
            <v>0</v>
          </cell>
          <cell r="FV289">
            <v>0</v>
          </cell>
          <cell r="FW289">
            <v>0</v>
          </cell>
          <cell r="FX289">
            <v>0</v>
          </cell>
          <cell r="FY289">
            <v>0</v>
          </cell>
          <cell r="FZ289">
            <v>0</v>
          </cell>
          <cell r="GA289">
            <v>0</v>
          </cell>
          <cell r="GB289">
            <v>0</v>
          </cell>
          <cell r="GC289">
            <v>0</v>
          </cell>
          <cell r="GD289">
            <v>0</v>
          </cell>
          <cell r="GE289">
            <v>0</v>
          </cell>
          <cell r="GF289">
            <v>0</v>
          </cell>
          <cell r="GG289">
            <v>0</v>
          </cell>
          <cell r="GH289">
            <v>0</v>
          </cell>
          <cell r="GI289">
            <v>0</v>
          </cell>
          <cell r="GJ289">
            <v>0</v>
          </cell>
          <cell r="GK289">
            <v>0</v>
          </cell>
          <cell r="GL289">
            <v>0</v>
          </cell>
          <cell r="GM289">
            <v>0</v>
          </cell>
          <cell r="GN289">
            <v>0</v>
          </cell>
          <cell r="GO289">
            <v>0</v>
          </cell>
          <cell r="GP289">
            <v>0</v>
          </cell>
          <cell r="GQ289">
            <v>0</v>
          </cell>
          <cell r="GR289">
            <v>0</v>
          </cell>
          <cell r="GS289">
            <v>0</v>
          </cell>
          <cell r="GT289">
            <v>0</v>
          </cell>
          <cell r="GU289">
            <v>0</v>
          </cell>
          <cell r="GV289">
            <v>0</v>
          </cell>
          <cell r="GW289">
            <v>0</v>
          </cell>
          <cell r="GX289">
            <v>0</v>
          </cell>
          <cell r="GY289">
            <v>0</v>
          </cell>
          <cell r="GZ289">
            <v>0</v>
          </cell>
          <cell r="HA289">
            <v>0</v>
          </cell>
          <cell r="HB289">
            <v>0</v>
          </cell>
          <cell r="HC289">
            <v>0</v>
          </cell>
          <cell r="HD289">
            <v>0</v>
          </cell>
          <cell r="HE289">
            <v>0</v>
          </cell>
          <cell r="HF289">
            <v>0</v>
          </cell>
          <cell r="HG289">
            <v>0</v>
          </cell>
          <cell r="HH289">
            <v>0</v>
          </cell>
          <cell r="HI289">
            <v>0</v>
          </cell>
          <cell r="HJ289">
            <v>0</v>
          </cell>
          <cell r="HK289">
            <v>0</v>
          </cell>
          <cell r="HL289">
            <v>0</v>
          </cell>
          <cell r="HM289">
            <v>0</v>
          </cell>
          <cell r="HN289">
            <v>0</v>
          </cell>
          <cell r="HO289">
            <v>0</v>
          </cell>
          <cell r="HP289">
            <v>0</v>
          </cell>
          <cell r="HQ289">
            <v>0</v>
          </cell>
          <cell r="HR289">
            <v>0</v>
          </cell>
          <cell r="HS289">
            <v>0</v>
          </cell>
          <cell r="HT289">
            <v>0</v>
          </cell>
          <cell r="HU289">
            <v>0</v>
          </cell>
          <cell r="HV289">
            <v>0</v>
          </cell>
          <cell r="HW289">
            <v>0</v>
          </cell>
          <cell r="HX289">
            <v>0</v>
          </cell>
          <cell r="HY289">
            <v>0</v>
          </cell>
          <cell r="HZ289">
            <v>0</v>
          </cell>
          <cell r="IA289">
            <v>0</v>
          </cell>
          <cell r="IB289">
            <v>0</v>
          </cell>
          <cell r="IC289">
            <v>0</v>
          </cell>
          <cell r="ID289">
            <v>0</v>
          </cell>
          <cell r="IE289">
            <v>0</v>
          </cell>
          <cell r="IF289">
            <v>0</v>
          </cell>
          <cell r="IG289">
            <v>0</v>
          </cell>
          <cell r="IH289">
            <v>0</v>
          </cell>
          <cell r="II289">
            <v>0</v>
          </cell>
          <cell r="IJ289">
            <v>0</v>
          </cell>
          <cell r="IK289">
            <v>0</v>
          </cell>
          <cell r="IL289">
            <v>0</v>
          </cell>
          <cell r="IM289">
            <v>0</v>
          </cell>
          <cell r="IN289">
            <v>0</v>
          </cell>
          <cell r="IO289">
            <v>0</v>
          </cell>
          <cell r="IP289">
            <v>0</v>
          </cell>
          <cell r="IQ289">
            <v>0</v>
          </cell>
          <cell r="IR289">
            <v>0</v>
          </cell>
          <cell r="IS289">
            <v>0</v>
          </cell>
          <cell r="IT289">
            <v>0</v>
          </cell>
          <cell r="IU289">
            <v>0</v>
          </cell>
          <cell r="IV289">
            <v>0</v>
          </cell>
          <cell r="IW289">
            <v>0</v>
          </cell>
          <cell r="IX289">
            <v>0</v>
          </cell>
          <cell r="IY289">
            <v>0</v>
          </cell>
          <cell r="IZ289">
            <v>0</v>
          </cell>
          <cell r="JA289">
            <v>0</v>
          </cell>
        </row>
        <row r="290">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cell r="BM290">
            <v>0</v>
          </cell>
          <cell r="BN290">
            <v>0</v>
          </cell>
          <cell r="BO290">
            <v>0</v>
          </cell>
          <cell r="BP290">
            <v>0</v>
          </cell>
          <cell r="BQ290">
            <v>0</v>
          </cell>
          <cell r="BR290">
            <v>0</v>
          </cell>
          <cell r="BS290">
            <v>0</v>
          </cell>
          <cell r="BT290">
            <v>0</v>
          </cell>
          <cell r="BU290">
            <v>0</v>
          </cell>
          <cell r="BV290">
            <v>0</v>
          </cell>
          <cell r="BW290">
            <v>0</v>
          </cell>
          <cell r="BX290">
            <v>0</v>
          </cell>
          <cell r="BY290">
            <v>0</v>
          </cell>
          <cell r="BZ290">
            <v>0</v>
          </cell>
          <cell r="CA290">
            <v>0</v>
          </cell>
          <cell r="CB290">
            <v>0</v>
          </cell>
          <cell r="CC290">
            <v>0</v>
          </cell>
          <cell r="CD290">
            <v>0</v>
          </cell>
          <cell r="CE290">
            <v>0</v>
          </cell>
          <cell r="CF290">
            <v>0</v>
          </cell>
          <cell r="CG290">
            <v>0</v>
          </cell>
          <cell r="CH290">
            <v>0</v>
          </cell>
          <cell r="CI290">
            <v>0</v>
          </cell>
          <cell r="CJ290">
            <v>0</v>
          </cell>
          <cell r="CK290">
            <v>0</v>
          </cell>
          <cell r="CL290">
            <v>0</v>
          </cell>
          <cell r="CM290">
            <v>0</v>
          </cell>
          <cell r="CN290">
            <v>0</v>
          </cell>
          <cell r="CO290">
            <v>0</v>
          </cell>
          <cell r="CP290">
            <v>0</v>
          </cell>
          <cell r="CQ290">
            <v>0</v>
          </cell>
          <cell r="CR290">
            <v>0</v>
          </cell>
          <cell r="CS290">
            <v>0</v>
          </cell>
          <cell r="CT290">
            <v>0</v>
          </cell>
          <cell r="CU290">
            <v>0</v>
          </cell>
          <cell r="CV290">
            <v>0</v>
          </cell>
          <cell r="CW290">
            <v>0</v>
          </cell>
          <cell r="CX290">
            <v>0</v>
          </cell>
          <cell r="CY290">
            <v>0</v>
          </cell>
          <cell r="CZ290">
            <v>0</v>
          </cell>
          <cell r="DA290">
            <v>0</v>
          </cell>
          <cell r="DB290">
            <v>0</v>
          </cell>
          <cell r="DC290">
            <v>0</v>
          </cell>
          <cell r="DD290">
            <v>0</v>
          </cell>
          <cell r="DE290">
            <v>0</v>
          </cell>
          <cell r="DF290">
            <v>0</v>
          </cell>
          <cell r="DG290">
            <v>0</v>
          </cell>
          <cell r="DH290">
            <v>0</v>
          </cell>
          <cell r="DI290">
            <v>0</v>
          </cell>
          <cell r="DJ290">
            <v>0</v>
          </cell>
          <cell r="DK290">
            <v>0</v>
          </cell>
          <cell r="DL290">
            <v>0</v>
          </cell>
          <cell r="DM290">
            <v>0</v>
          </cell>
          <cell r="DN290">
            <v>0</v>
          </cell>
          <cell r="DO290">
            <v>0</v>
          </cell>
          <cell r="DP290">
            <v>0</v>
          </cell>
          <cell r="DQ290">
            <v>0</v>
          </cell>
          <cell r="DR290">
            <v>0</v>
          </cell>
          <cell r="DS290">
            <v>0</v>
          </cell>
          <cell r="DT290">
            <v>0</v>
          </cell>
          <cell r="DU290">
            <v>0</v>
          </cell>
          <cell r="DV290">
            <v>0</v>
          </cell>
          <cell r="DW290">
            <v>0</v>
          </cell>
          <cell r="DX290">
            <v>0</v>
          </cell>
          <cell r="DY290">
            <v>0</v>
          </cell>
          <cell r="DZ290">
            <v>0</v>
          </cell>
          <cell r="EA290">
            <v>0</v>
          </cell>
          <cell r="EB290">
            <v>0</v>
          </cell>
          <cell r="EC290">
            <v>0</v>
          </cell>
          <cell r="ED290">
            <v>0</v>
          </cell>
          <cell r="EE290">
            <v>0</v>
          </cell>
          <cell r="EF290">
            <v>0</v>
          </cell>
          <cell r="EG290">
            <v>0</v>
          </cell>
          <cell r="EH290">
            <v>0</v>
          </cell>
          <cell r="EI290">
            <v>0</v>
          </cell>
          <cell r="EJ290">
            <v>0</v>
          </cell>
          <cell r="EK290">
            <v>0</v>
          </cell>
          <cell r="EL290">
            <v>0</v>
          </cell>
          <cell r="EM290">
            <v>0</v>
          </cell>
          <cell r="EN290">
            <v>0</v>
          </cell>
          <cell r="EO290">
            <v>0</v>
          </cell>
          <cell r="EP290">
            <v>0</v>
          </cell>
          <cell r="EQ290">
            <v>0</v>
          </cell>
          <cell r="ER290">
            <v>0</v>
          </cell>
          <cell r="ES290">
            <v>0</v>
          </cell>
          <cell r="ET290">
            <v>0</v>
          </cell>
          <cell r="EU290">
            <v>0</v>
          </cell>
          <cell r="EV290">
            <v>0</v>
          </cell>
          <cell r="EW290">
            <v>0</v>
          </cell>
          <cell r="EX290">
            <v>0</v>
          </cell>
          <cell r="EY290">
            <v>0</v>
          </cell>
          <cell r="EZ290">
            <v>0</v>
          </cell>
          <cell r="FA290">
            <v>0</v>
          </cell>
          <cell r="FB290">
            <v>0</v>
          </cell>
          <cell r="FC290">
            <v>0</v>
          </cell>
          <cell r="FD290">
            <v>0</v>
          </cell>
          <cell r="FE290">
            <v>0</v>
          </cell>
          <cell r="FF290">
            <v>0</v>
          </cell>
          <cell r="FG290">
            <v>0</v>
          </cell>
          <cell r="FH290">
            <v>0</v>
          </cell>
          <cell r="FI290">
            <v>0</v>
          </cell>
          <cell r="FJ290">
            <v>0</v>
          </cell>
          <cell r="FK290">
            <v>0</v>
          </cell>
          <cell r="FL290">
            <v>0</v>
          </cell>
          <cell r="FM290">
            <v>0</v>
          </cell>
          <cell r="FN290">
            <v>0</v>
          </cell>
          <cell r="FO290">
            <v>0</v>
          </cell>
          <cell r="FP290">
            <v>0</v>
          </cell>
          <cell r="FQ290">
            <v>0</v>
          </cell>
          <cell r="FR290">
            <v>0</v>
          </cell>
          <cell r="FS290">
            <v>0</v>
          </cell>
          <cell r="FT290">
            <v>0</v>
          </cell>
          <cell r="FU290">
            <v>0</v>
          </cell>
          <cell r="FV290">
            <v>0</v>
          </cell>
          <cell r="FW290">
            <v>0</v>
          </cell>
          <cell r="FX290">
            <v>0</v>
          </cell>
          <cell r="FY290">
            <v>0</v>
          </cell>
          <cell r="FZ290">
            <v>0</v>
          </cell>
          <cell r="GA290">
            <v>0</v>
          </cell>
          <cell r="GB290">
            <v>0</v>
          </cell>
          <cell r="GC290">
            <v>0</v>
          </cell>
          <cell r="GD290">
            <v>0</v>
          </cell>
          <cell r="GE290">
            <v>0</v>
          </cell>
          <cell r="GF290">
            <v>0</v>
          </cell>
          <cell r="GG290">
            <v>0</v>
          </cell>
          <cell r="GH290">
            <v>0</v>
          </cell>
          <cell r="GI290">
            <v>0</v>
          </cell>
          <cell r="GJ290">
            <v>0</v>
          </cell>
          <cell r="GK290">
            <v>0</v>
          </cell>
          <cell r="GL290">
            <v>0</v>
          </cell>
          <cell r="GM290">
            <v>0</v>
          </cell>
          <cell r="GN290">
            <v>0</v>
          </cell>
          <cell r="GO290">
            <v>0</v>
          </cell>
          <cell r="GP290">
            <v>0</v>
          </cell>
          <cell r="GQ290">
            <v>0</v>
          </cell>
          <cell r="GR290">
            <v>0</v>
          </cell>
          <cell r="GS290">
            <v>0</v>
          </cell>
          <cell r="GT290">
            <v>0</v>
          </cell>
          <cell r="GU290">
            <v>0</v>
          </cell>
          <cell r="GV290">
            <v>0</v>
          </cell>
          <cell r="GW290">
            <v>0</v>
          </cell>
          <cell r="GX290">
            <v>0</v>
          </cell>
          <cell r="GY290">
            <v>0</v>
          </cell>
          <cell r="GZ290">
            <v>0</v>
          </cell>
          <cell r="HA290">
            <v>0</v>
          </cell>
          <cell r="HB290">
            <v>0</v>
          </cell>
          <cell r="HC290">
            <v>0</v>
          </cell>
          <cell r="HD290">
            <v>0</v>
          </cell>
          <cell r="HE290">
            <v>0</v>
          </cell>
          <cell r="HF290">
            <v>0</v>
          </cell>
          <cell r="HG290">
            <v>0</v>
          </cell>
          <cell r="HH290">
            <v>0</v>
          </cell>
          <cell r="HI290">
            <v>0</v>
          </cell>
          <cell r="HJ290">
            <v>0</v>
          </cell>
          <cell r="HK290">
            <v>0</v>
          </cell>
          <cell r="HL290">
            <v>0</v>
          </cell>
          <cell r="HM290">
            <v>0</v>
          </cell>
          <cell r="HN290">
            <v>0</v>
          </cell>
          <cell r="HO290">
            <v>0</v>
          </cell>
          <cell r="HP290">
            <v>0</v>
          </cell>
          <cell r="HQ290">
            <v>0</v>
          </cell>
          <cell r="HR290">
            <v>0</v>
          </cell>
          <cell r="HS290">
            <v>0</v>
          </cell>
          <cell r="HT290">
            <v>0</v>
          </cell>
          <cell r="HU290">
            <v>0</v>
          </cell>
          <cell r="HV290">
            <v>0</v>
          </cell>
          <cell r="HW290">
            <v>0</v>
          </cell>
          <cell r="HX290">
            <v>0</v>
          </cell>
          <cell r="HY290">
            <v>0</v>
          </cell>
          <cell r="HZ290">
            <v>0</v>
          </cell>
          <cell r="IA290">
            <v>0</v>
          </cell>
          <cell r="IB290">
            <v>0</v>
          </cell>
          <cell r="IC290">
            <v>0</v>
          </cell>
          <cell r="ID290">
            <v>0</v>
          </cell>
          <cell r="IE290">
            <v>0</v>
          </cell>
          <cell r="IF290">
            <v>0</v>
          </cell>
          <cell r="IG290">
            <v>0</v>
          </cell>
          <cell r="IH290">
            <v>0</v>
          </cell>
          <cell r="II290">
            <v>0</v>
          </cell>
          <cell r="IJ290">
            <v>0</v>
          </cell>
          <cell r="IK290">
            <v>0</v>
          </cell>
          <cell r="IL290">
            <v>0</v>
          </cell>
          <cell r="IM290">
            <v>0</v>
          </cell>
          <cell r="IN290">
            <v>0</v>
          </cell>
          <cell r="IO290">
            <v>0</v>
          </cell>
          <cell r="IP290">
            <v>0</v>
          </cell>
          <cell r="IQ290">
            <v>0</v>
          </cell>
          <cell r="IR290">
            <v>0</v>
          </cell>
          <cell r="IS290">
            <v>0</v>
          </cell>
          <cell r="IT290">
            <v>0</v>
          </cell>
          <cell r="IU290">
            <v>0</v>
          </cell>
          <cell r="IV290">
            <v>0</v>
          </cell>
          <cell r="IW290">
            <v>0</v>
          </cell>
          <cell r="IX290">
            <v>0</v>
          </cell>
          <cell r="IY290">
            <v>0</v>
          </cell>
          <cell r="IZ290">
            <v>0</v>
          </cell>
          <cell r="JA290">
            <v>0</v>
          </cell>
        </row>
        <row r="291">
          <cell r="L291">
            <v>0</v>
          </cell>
          <cell r="M291">
            <v>0</v>
          </cell>
          <cell r="N291">
            <v>0</v>
          </cell>
          <cell r="O291">
            <v>2.0212696097991927</v>
          </cell>
          <cell r="P291">
            <v>2.6264085853387344</v>
          </cell>
          <cell r="Q291">
            <v>2.6684221805686921</v>
          </cell>
          <cell r="R291">
            <v>2.0059475051640732</v>
          </cell>
          <cell r="S291">
            <v>1.50818817946839</v>
          </cell>
          <cell r="T291">
            <v>4.3833898009064933</v>
          </cell>
          <cell r="U291">
            <v>0.13961855962013286</v>
          </cell>
          <cell r="V291">
            <v>2.1477655508441891E-2</v>
          </cell>
          <cell r="W291">
            <v>2.1669238688564511E-2</v>
          </cell>
          <cell r="X291">
            <v>2.5052132837559082E-2</v>
          </cell>
          <cell r="Y291">
            <v>2.9081455517202714E-2</v>
          </cell>
          <cell r="Z291">
            <v>3.3332207444636559E-2</v>
          </cell>
          <cell r="AA291">
            <v>3.105232411977097E-2</v>
          </cell>
          <cell r="AB291">
            <v>2.4434629767376252E-2</v>
          </cell>
          <cell r="AC291">
            <v>1.9264485432872472E-2</v>
          </cell>
          <cell r="AD291">
            <v>2.7484247254576783E-2</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cell r="BM291">
            <v>0</v>
          </cell>
          <cell r="BN291">
            <v>0</v>
          </cell>
          <cell r="BO291">
            <v>0</v>
          </cell>
          <cell r="BP291">
            <v>0</v>
          </cell>
          <cell r="BQ291">
            <v>0</v>
          </cell>
          <cell r="BR291">
            <v>0</v>
          </cell>
          <cell r="BS291">
            <v>0</v>
          </cell>
          <cell r="BT291">
            <v>0</v>
          </cell>
          <cell r="BU291">
            <v>0</v>
          </cell>
          <cell r="BV291">
            <v>0</v>
          </cell>
          <cell r="BW291">
            <v>0</v>
          </cell>
          <cell r="BX291">
            <v>0</v>
          </cell>
          <cell r="BY291">
            <v>0</v>
          </cell>
          <cell r="BZ291">
            <v>0</v>
          </cell>
          <cell r="CA291">
            <v>0</v>
          </cell>
          <cell r="CB291">
            <v>0</v>
          </cell>
          <cell r="CC291">
            <v>0</v>
          </cell>
          <cell r="CD291">
            <v>0</v>
          </cell>
          <cell r="CE291">
            <v>0</v>
          </cell>
          <cell r="CF291">
            <v>0</v>
          </cell>
          <cell r="CG291">
            <v>0</v>
          </cell>
          <cell r="CH291">
            <v>0</v>
          </cell>
          <cell r="CI291">
            <v>0</v>
          </cell>
          <cell r="CJ291">
            <v>0</v>
          </cell>
          <cell r="CK291">
            <v>0</v>
          </cell>
          <cell r="CL291">
            <v>0</v>
          </cell>
          <cell r="CM291">
            <v>0</v>
          </cell>
          <cell r="CN291">
            <v>0</v>
          </cell>
          <cell r="CO291">
            <v>0</v>
          </cell>
          <cell r="CP291">
            <v>0</v>
          </cell>
          <cell r="CQ291">
            <v>0</v>
          </cell>
          <cell r="CR291">
            <v>0</v>
          </cell>
          <cell r="CS291">
            <v>0</v>
          </cell>
          <cell r="CT291">
            <v>0</v>
          </cell>
          <cell r="CU291">
            <v>0</v>
          </cell>
          <cell r="CV291">
            <v>0</v>
          </cell>
          <cell r="CW291">
            <v>0</v>
          </cell>
          <cell r="CX291">
            <v>0</v>
          </cell>
          <cell r="CY291">
            <v>0</v>
          </cell>
          <cell r="CZ291">
            <v>0</v>
          </cell>
          <cell r="DA291">
            <v>0</v>
          </cell>
          <cell r="DB291">
            <v>0</v>
          </cell>
          <cell r="DC291">
            <v>0</v>
          </cell>
          <cell r="DD291">
            <v>0</v>
          </cell>
          <cell r="DE291">
            <v>0</v>
          </cell>
          <cell r="DF291">
            <v>0</v>
          </cell>
          <cell r="DG291">
            <v>0</v>
          </cell>
          <cell r="DH291">
            <v>0</v>
          </cell>
          <cell r="DI291">
            <v>0</v>
          </cell>
          <cell r="DJ291">
            <v>0</v>
          </cell>
          <cell r="DK291">
            <v>0</v>
          </cell>
          <cell r="DL291">
            <v>0</v>
          </cell>
          <cell r="DM291">
            <v>0</v>
          </cell>
          <cell r="DN291">
            <v>0</v>
          </cell>
          <cell r="DO291">
            <v>0</v>
          </cell>
          <cell r="DP291">
            <v>0</v>
          </cell>
          <cell r="DQ291">
            <v>0</v>
          </cell>
          <cell r="DR291">
            <v>0</v>
          </cell>
          <cell r="DS291">
            <v>0</v>
          </cell>
          <cell r="DT291">
            <v>0</v>
          </cell>
          <cell r="DU291">
            <v>0</v>
          </cell>
          <cell r="DV291">
            <v>0</v>
          </cell>
          <cell r="DW291">
            <v>0</v>
          </cell>
          <cell r="DX291">
            <v>0</v>
          </cell>
          <cell r="DY291">
            <v>0</v>
          </cell>
          <cell r="DZ291">
            <v>0</v>
          </cell>
          <cell r="EA291">
            <v>0</v>
          </cell>
          <cell r="EB291">
            <v>0</v>
          </cell>
          <cell r="EC291">
            <v>0</v>
          </cell>
          <cell r="ED291">
            <v>0</v>
          </cell>
          <cell r="EE291">
            <v>0</v>
          </cell>
          <cell r="EF291">
            <v>0</v>
          </cell>
          <cell r="EG291">
            <v>0</v>
          </cell>
          <cell r="EH291">
            <v>0</v>
          </cell>
          <cell r="EI291">
            <v>0</v>
          </cell>
          <cell r="EJ291">
            <v>0</v>
          </cell>
          <cell r="EK291">
            <v>0</v>
          </cell>
          <cell r="EL291">
            <v>0</v>
          </cell>
          <cell r="EM291">
            <v>0</v>
          </cell>
          <cell r="EN291">
            <v>0</v>
          </cell>
          <cell r="EO291">
            <v>0</v>
          </cell>
          <cell r="EP291">
            <v>0</v>
          </cell>
          <cell r="EQ291">
            <v>0</v>
          </cell>
          <cell r="ER291">
            <v>0</v>
          </cell>
          <cell r="ES291">
            <v>0</v>
          </cell>
          <cell r="ET291">
            <v>0</v>
          </cell>
          <cell r="EU291">
            <v>0</v>
          </cell>
          <cell r="EV291">
            <v>0</v>
          </cell>
          <cell r="EW291">
            <v>0</v>
          </cell>
          <cell r="EX291">
            <v>0</v>
          </cell>
          <cell r="EY291">
            <v>0</v>
          </cell>
          <cell r="EZ291">
            <v>0</v>
          </cell>
          <cell r="FA291">
            <v>0</v>
          </cell>
          <cell r="FB291">
            <v>0</v>
          </cell>
          <cell r="FC291">
            <v>0</v>
          </cell>
          <cell r="FD291">
            <v>0</v>
          </cell>
          <cell r="FE291">
            <v>0</v>
          </cell>
          <cell r="FF291">
            <v>0</v>
          </cell>
          <cell r="FG291">
            <v>0</v>
          </cell>
          <cell r="FH291">
            <v>0</v>
          </cell>
          <cell r="FI291">
            <v>0</v>
          </cell>
          <cell r="FJ291">
            <v>0</v>
          </cell>
          <cell r="FK291">
            <v>0</v>
          </cell>
          <cell r="FL291">
            <v>0</v>
          </cell>
          <cell r="FM291">
            <v>0</v>
          </cell>
          <cell r="FN291">
            <v>0</v>
          </cell>
          <cell r="FO291">
            <v>0</v>
          </cell>
          <cell r="FP291">
            <v>0</v>
          </cell>
          <cell r="FQ291">
            <v>0</v>
          </cell>
          <cell r="FR291">
            <v>0</v>
          </cell>
          <cell r="FS291">
            <v>0</v>
          </cell>
          <cell r="FT291">
            <v>0</v>
          </cell>
          <cell r="FU291">
            <v>0</v>
          </cell>
          <cell r="FV291">
            <v>0</v>
          </cell>
          <cell r="FW291">
            <v>0</v>
          </cell>
          <cell r="FX291">
            <v>0</v>
          </cell>
          <cell r="FY291">
            <v>0</v>
          </cell>
          <cell r="FZ291">
            <v>0</v>
          </cell>
          <cell r="GA291">
            <v>0</v>
          </cell>
          <cell r="GB291">
            <v>0</v>
          </cell>
          <cell r="GC291">
            <v>0</v>
          </cell>
          <cell r="GD291">
            <v>0</v>
          </cell>
          <cell r="GE291">
            <v>0</v>
          </cell>
          <cell r="GF291">
            <v>0</v>
          </cell>
          <cell r="GG291">
            <v>0</v>
          </cell>
          <cell r="GH291">
            <v>0</v>
          </cell>
          <cell r="GI291">
            <v>0</v>
          </cell>
          <cell r="GJ291">
            <v>0</v>
          </cell>
          <cell r="GK291">
            <v>0</v>
          </cell>
          <cell r="GL291">
            <v>0</v>
          </cell>
          <cell r="GM291">
            <v>0</v>
          </cell>
          <cell r="GN291">
            <v>0</v>
          </cell>
          <cell r="GO291">
            <v>0</v>
          </cell>
          <cell r="GP291">
            <v>0</v>
          </cell>
          <cell r="GQ291">
            <v>0</v>
          </cell>
          <cell r="GR291">
            <v>0</v>
          </cell>
          <cell r="GS291">
            <v>0</v>
          </cell>
          <cell r="GT291">
            <v>0</v>
          </cell>
          <cell r="GU291">
            <v>0</v>
          </cell>
          <cell r="GV291">
            <v>0</v>
          </cell>
          <cell r="GW291">
            <v>0</v>
          </cell>
          <cell r="GX291">
            <v>0</v>
          </cell>
          <cell r="GY291">
            <v>0</v>
          </cell>
          <cell r="GZ291">
            <v>0</v>
          </cell>
          <cell r="HA291">
            <v>0</v>
          </cell>
          <cell r="HB291">
            <v>0</v>
          </cell>
          <cell r="HC291">
            <v>0</v>
          </cell>
          <cell r="HD291">
            <v>0</v>
          </cell>
          <cell r="HE291">
            <v>0</v>
          </cell>
          <cell r="HF291">
            <v>0</v>
          </cell>
          <cell r="HG291">
            <v>0</v>
          </cell>
          <cell r="HH291">
            <v>0</v>
          </cell>
          <cell r="HI291">
            <v>0</v>
          </cell>
          <cell r="HJ291">
            <v>0</v>
          </cell>
          <cell r="HK291">
            <v>0</v>
          </cell>
          <cell r="HL291">
            <v>0</v>
          </cell>
          <cell r="HM291">
            <v>0</v>
          </cell>
          <cell r="HN291">
            <v>0</v>
          </cell>
          <cell r="HO291">
            <v>0</v>
          </cell>
          <cell r="HP291">
            <v>0</v>
          </cell>
          <cell r="HQ291">
            <v>0</v>
          </cell>
          <cell r="HR291">
            <v>0</v>
          </cell>
          <cell r="HS291">
            <v>0</v>
          </cell>
          <cell r="HT291">
            <v>0</v>
          </cell>
          <cell r="HU291">
            <v>0</v>
          </cell>
          <cell r="HV291">
            <v>0</v>
          </cell>
          <cell r="HW291">
            <v>0</v>
          </cell>
          <cell r="HX291">
            <v>0</v>
          </cell>
          <cell r="HY291">
            <v>0</v>
          </cell>
          <cell r="HZ291">
            <v>0</v>
          </cell>
          <cell r="IA291">
            <v>0</v>
          </cell>
          <cell r="IB291">
            <v>0</v>
          </cell>
          <cell r="IC291">
            <v>0</v>
          </cell>
          <cell r="ID291">
            <v>0</v>
          </cell>
          <cell r="IE291">
            <v>0</v>
          </cell>
          <cell r="IF291">
            <v>0</v>
          </cell>
          <cell r="IG291">
            <v>0</v>
          </cell>
          <cell r="IH291">
            <v>0</v>
          </cell>
          <cell r="II291">
            <v>0</v>
          </cell>
          <cell r="IJ291">
            <v>0</v>
          </cell>
          <cell r="IK291">
            <v>0</v>
          </cell>
          <cell r="IL291">
            <v>0</v>
          </cell>
          <cell r="IM291">
            <v>0</v>
          </cell>
          <cell r="IN291">
            <v>0</v>
          </cell>
          <cell r="IO291">
            <v>0</v>
          </cell>
          <cell r="IP291">
            <v>0</v>
          </cell>
          <cell r="IQ291">
            <v>0</v>
          </cell>
          <cell r="IR291">
            <v>0</v>
          </cell>
          <cell r="IS291">
            <v>0</v>
          </cell>
          <cell r="IT291">
            <v>0</v>
          </cell>
          <cell r="IU291">
            <v>0</v>
          </cell>
          <cell r="IV291">
            <v>0</v>
          </cell>
          <cell r="IW291">
            <v>0</v>
          </cell>
          <cell r="IX291">
            <v>0</v>
          </cell>
          <cell r="IY291">
            <v>0</v>
          </cell>
          <cell r="IZ291">
            <v>0</v>
          </cell>
          <cell r="JA291">
            <v>0</v>
          </cell>
        </row>
        <row r="292">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cell r="BM292">
            <v>0</v>
          </cell>
          <cell r="BN292">
            <v>0</v>
          </cell>
          <cell r="BO292">
            <v>0</v>
          </cell>
          <cell r="BP292">
            <v>0</v>
          </cell>
          <cell r="BQ292">
            <v>0</v>
          </cell>
          <cell r="BR292">
            <v>0</v>
          </cell>
          <cell r="BS292">
            <v>0</v>
          </cell>
          <cell r="BT292">
            <v>0</v>
          </cell>
          <cell r="BU292">
            <v>0</v>
          </cell>
          <cell r="BV292">
            <v>0</v>
          </cell>
          <cell r="BW292">
            <v>0</v>
          </cell>
          <cell r="BX292">
            <v>0</v>
          </cell>
          <cell r="BY292">
            <v>0</v>
          </cell>
          <cell r="BZ292">
            <v>0</v>
          </cell>
          <cell r="CA292">
            <v>0</v>
          </cell>
          <cell r="CB292">
            <v>0</v>
          </cell>
          <cell r="CC292">
            <v>0</v>
          </cell>
          <cell r="CD292">
            <v>0</v>
          </cell>
          <cell r="CE292">
            <v>0</v>
          </cell>
          <cell r="CF292">
            <v>0</v>
          </cell>
          <cell r="CG292">
            <v>0</v>
          </cell>
          <cell r="CH292">
            <v>0</v>
          </cell>
          <cell r="CI292">
            <v>0</v>
          </cell>
          <cell r="CJ292">
            <v>0</v>
          </cell>
          <cell r="CK292">
            <v>0</v>
          </cell>
          <cell r="CL292">
            <v>0</v>
          </cell>
          <cell r="CM292">
            <v>0</v>
          </cell>
          <cell r="CN292">
            <v>0</v>
          </cell>
          <cell r="CO292">
            <v>0</v>
          </cell>
          <cell r="CP292">
            <v>0</v>
          </cell>
          <cell r="CQ292">
            <v>0</v>
          </cell>
          <cell r="CR292">
            <v>0</v>
          </cell>
          <cell r="CS292">
            <v>0</v>
          </cell>
          <cell r="CT292">
            <v>0</v>
          </cell>
          <cell r="CU292">
            <v>0</v>
          </cell>
          <cell r="CV292">
            <v>0</v>
          </cell>
          <cell r="CW292">
            <v>0</v>
          </cell>
          <cell r="CX292">
            <v>0</v>
          </cell>
          <cell r="CY292">
            <v>0</v>
          </cell>
          <cell r="CZ292">
            <v>0</v>
          </cell>
          <cell r="DA292">
            <v>0</v>
          </cell>
          <cell r="DB292">
            <v>0</v>
          </cell>
          <cell r="DC292">
            <v>0</v>
          </cell>
          <cell r="DD292">
            <v>0</v>
          </cell>
          <cell r="DE292">
            <v>0</v>
          </cell>
          <cell r="DF292">
            <v>0</v>
          </cell>
          <cell r="DG292">
            <v>0</v>
          </cell>
          <cell r="DH292">
            <v>0</v>
          </cell>
          <cell r="DI292">
            <v>0</v>
          </cell>
          <cell r="DJ292">
            <v>0</v>
          </cell>
          <cell r="DK292">
            <v>0</v>
          </cell>
          <cell r="DL292">
            <v>0</v>
          </cell>
          <cell r="DM292">
            <v>0</v>
          </cell>
          <cell r="DN292">
            <v>0</v>
          </cell>
          <cell r="DO292">
            <v>0</v>
          </cell>
          <cell r="DP292">
            <v>0</v>
          </cell>
          <cell r="DQ292">
            <v>0</v>
          </cell>
          <cell r="DR292">
            <v>0</v>
          </cell>
          <cell r="DS292">
            <v>0</v>
          </cell>
          <cell r="DT292">
            <v>0</v>
          </cell>
          <cell r="DU292">
            <v>0</v>
          </cell>
          <cell r="DV292">
            <v>0</v>
          </cell>
          <cell r="DW292">
            <v>0</v>
          </cell>
          <cell r="DX292">
            <v>0</v>
          </cell>
          <cell r="DY292">
            <v>0</v>
          </cell>
          <cell r="DZ292">
            <v>0</v>
          </cell>
          <cell r="EA292">
            <v>0</v>
          </cell>
          <cell r="EB292">
            <v>0</v>
          </cell>
          <cell r="EC292">
            <v>0</v>
          </cell>
          <cell r="ED292">
            <v>0</v>
          </cell>
          <cell r="EE292">
            <v>0</v>
          </cell>
          <cell r="EF292">
            <v>0</v>
          </cell>
          <cell r="EG292">
            <v>0</v>
          </cell>
          <cell r="EH292">
            <v>0</v>
          </cell>
          <cell r="EI292">
            <v>0</v>
          </cell>
          <cell r="EJ292">
            <v>0</v>
          </cell>
          <cell r="EK292">
            <v>0</v>
          </cell>
          <cell r="EL292">
            <v>0</v>
          </cell>
          <cell r="EM292">
            <v>0</v>
          </cell>
          <cell r="EN292">
            <v>0</v>
          </cell>
          <cell r="EO292">
            <v>0</v>
          </cell>
          <cell r="EP292">
            <v>0</v>
          </cell>
          <cell r="EQ292">
            <v>0</v>
          </cell>
          <cell r="ER292">
            <v>0</v>
          </cell>
          <cell r="ES292">
            <v>0</v>
          </cell>
          <cell r="ET292">
            <v>0</v>
          </cell>
          <cell r="EU292">
            <v>0</v>
          </cell>
          <cell r="EV292">
            <v>0</v>
          </cell>
          <cell r="EW292">
            <v>0</v>
          </cell>
          <cell r="EX292">
            <v>0</v>
          </cell>
          <cell r="EY292">
            <v>0</v>
          </cell>
          <cell r="EZ292">
            <v>0</v>
          </cell>
          <cell r="FA292">
            <v>0</v>
          </cell>
          <cell r="FB292">
            <v>0</v>
          </cell>
          <cell r="FC292">
            <v>0</v>
          </cell>
          <cell r="FD292">
            <v>0</v>
          </cell>
          <cell r="FE292">
            <v>0</v>
          </cell>
          <cell r="FF292">
            <v>0</v>
          </cell>
          <cell r="FG292">
            <v>0</v>
          </cell>
          <cell r="FH292">
            <v>0</v>
          </cell>
          <cell r="FI292">
            <v>0</v>
          </cell>
          <cell r="FJ292">
            <v>0</v>
          </cell>
          <cell r="FK292">
            <v>0</v>
          </cell>
          <cell r="FL292">
            <v>0</v>
          </cell>
          <cell r="FM292">
            <v>0</v>
          </cell>
          <cell r="FN292">
            <v>0</v>
          </cell>
          <cell r="FO292">
            <v>0</v>
          </cell>
          <cell r="FP292">
            <v>0</v>
          </cell>
          <cell r="FQ292">
            <v>0</v>
          </cell>
          <cell r="FR292">
            <v>0</v>
          </cell>
          <cell r="FS292">
            <v>0</v>
          </cell>
          <cell r="FT292">
            <v>0</v>
          </cell>
          <cell r="FU292">
            <v>0</v>
          </cell>
          <cell r="FV292">
            <v>0</v>
          </cell>
          <cell r="FW292">
            <v>0</v>
          </cell>
          <cell r="FX292">
            <v>0</v>
          </cell>
          <cell r="FY292">
            <v>0</v>
          </cell>
          <cell r="FZ292">
            <v>0</v>
          </cell>
          <cell r="GA292">
            <v>0</v>
          </cell>
          <cell r="GB292">
            <v>0</v>
          </cell>
          <cell r="GC292">
            <v>0</v>
          </cell>
          <cell r="GD292">
            <v>0</v>
          </cell>
          <cell r="GE292">
            <v>0</v>
          </cell>
          <cell r="GF292">
            <v>0</v>
          </cell>
          <cell r="GG292">
            <v>0</v>
          </cell>
          <cell r="GH292">
            <v>0</v>
          </cell>
          <cell r="GI292">
            <v>0</v>
          </cell>
          <cell r="GJ292">
            <v>0</v>
          </cell>
          <cell r="GK292">
            <v>0</v>
          </cell>
          <cell r="GL292">
            <v>0</v>
          </cell>
          <cell r="GM292">
            <v>0</v>
          </cell>
          <cell r="GN292">
            <v>0</v>
          </cell>
          <cell r="GO292">
            <v>0</v>
          </cell>
          <cell r="GP292">
            <v>0</v>
          </cell>
          <cell r="GQ292">
            <v>0</v>
          </cell>
          <cell r="GR292">
            <v>0</v>
          </cell>
          <cell r="GS292">
            <v>0</v>
          </cell>
          <cell r="GT292">
            <v>0</v>
          </cell>
          <cell r="GU292">
            <v>0</v>
          </cell>
          <cell r="GV292">
            <v>0</v>
          </cell>
          <cell r="GW292">
            <v>0</v>
          </cell>
          <cell r="GX292">
            <v>0</v>
          </cell>
          <cell r="GY292">
            <v>0</v>
          </cell>
          <cell r="GZ292">
            <v>0</v>
          </cell>
          <cell r="HA292">
            <v>0</v>
          </cell>
          <cell r="HB292">
            <v>0</v>
          </cell>
          <cell r="HC292">
            <v>0</v>
          </cell>
          <cell r="HD292">
            <v>0</v>
          </cell>
          <cell r="HE292">
            <v>0</v>
          </cell>
          <cell r="HF292">
            <v>0</v>
          </cell>
          <cell r="HG292">
            <v>0</v>
          </cell>
          <cell r="HH292">
            <v>0</v>
          </cell>
          <cell r="HI292">
            <v>0</v>
          </cell>
          <cell r="HJ292">
            <v>0</v>
          </cell>
          <cell r="HK292">
            <v>0</v>
          </cell>
          <cell r="HL292">
            <v>0</v>
          </cell>
          <cell r="HM292">
            <v>0</v>
          </cell>
          <cell r="HN292">
            <v>0</v>
          </cell>
          <cell r="HO292">
            <v>0</v>
          </cell>
          <cell r="HP292">
            <v>0</v>
          </cell>
          <cell r="HQ292">
            <v>0</v>
          </cell>
          <cell r="HR292">
            <v>0</v>
          </cell>
          <cell r="HS292">
            <v>0</v>
          </cell>
          <cell r="HT292">
            <v>0</v>
          </cell>
          <cell r="HU292">
            <v>0</v>
          </cell>
          <cell r="HV292">
            <v>0</v>
          </cell>
          <cell r="HW292">
            <v>0</v>
          </cell>
          <cell r="HX292">
            <v>0</v>
          </cell>
          <cell r="HY292">
            <v>0</v>
          </cell>
          <cell r="HZ292">
            <v>0</v>
          </cell>
          <cell r="IA292">
            <v>0</v>
          </cell>
          <cell r="IB292">
            <v>0</v>
          </cell>
          <cell r="IC292">
            <v>0</v>
          </cell>
          <cell r="ID292">
            <v>0</v>
          </cell>
          <cell r="IE292">
            <v>0</v>
          </cell>
          <cell r="IF292">
            <v>0</v>
          </cell>
          <cell r="IG292">
            <v>0</v>
          </cell>
          <cell r="IH292">
            <v>0</v>
          </cell>
          <cell r="II292">
            <v>0</v>
          </cell>
          <cell r="IJ292">
            <v>0</v>
          </cell>
          <cell r="IK292">
            <v>0</v>
          </cell>
          <cell r="IL292">
            <v>0</v>
          </cell>
          <cell r="IM292">
            <v>0</v>
          </cell>
          <cell r="IN292">
            <v>0</v>
          </cell>
          <cell r="IO292">
            <v>0</v>
          </cell>
          <cell r="IP292">
            <v>0</v>
          </cell>
          <cell r="IQ292">
            <v>0</v>
          </cell>
          <cell r="IR292">
            <v>0</v>
          </cell>
          <cell r="IS292">
            <v>0</v>
          </cell>
          <cell r="IT292">
            <v>0</v>
          </cell>
          <cell r="IU292">
            <v>0</v>
          </cell>
          <cell r="IV292">
            <v>0</v>
          </cell>
          <cell r="IW292">
            <v>0</v>
          </cell>
          <cell r="IX292">
            <v>0</v>
          </cell>
          <cell r="IY292">
            <v>0</v>
          </cell>
          <cell r="IZ292">
            <v>0</v>
          </cell>
          <cell r="JA292">
            <v>0</v>
          </cell>
        </row>
        <row r="293">
          <cell r="L293">
            <v>1.024609058814184E-2</v>
          </cell>
          <cell r="M293">
            <v>1.024609058814184E-2</v>
          </cell>
          <cell r="N293">
            <v>1.024609058814184E-2</v>
          </cell>
          <cell r="O293">
            <v>1.0782965845582819E-2</v>
          </cell>
          <cell r="P293">
            <v>7.8756863056857092E-3</v>
          </cell>
          <cell r="Q293">
            <v>1.0430457533887326E-2</v>
          </cell>
          <cell r="R293">
            <v>1.0430457995844411E-2</v>
          </cell>
          <cell r="S293">
            <v>1.0430458321977034E-2</v>
          </cell>
          <cell r="T293">
            <v>1.0430457396593191E-2</v>
          </cell>
          <cell r="U293">
            <v>1.0430457304724854E-2</v>
          </cell>
          <cell r="V293">
            <v>1.0430457090004862E-2</v>
          </cell>
          <cell r="W293">
            <v>1.0430457605994868E-2</v>
          </cell>
          <cell r="X293">
            <v>1.0430465273125206E-2</v>
          </cell>
          <cell r="Y293">
            <v>1.043046664762161E-2</v>
          </cell>
          <cell r="Z293">
            <v>1.0430464713295482E-2</v>
          </cell>
          <cell r="AA293">
            <v>1.0430461633947423E-2</v>
          </cell>
          <cell r="AB293">
            <v>1.0430463568896991E-2</v>
          </cell>
          <cell r="AC293">
            <v>1.0430458992134645E-2</v>
          </cell>
          <cell r="AD293">
            <v>1.0430474177562429E-2</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cell r="BM293">
            <v>0</v>
          </cell>
          <cell r="BN293">
            <v>0</v>
          </cell>
          <cell r="BO293">
            <v>0</v>
          </cell>
          <cell r="BP293">
            <v>0</v>
          </cell>
          <cell r="BQ293">
            <v>0</v>
          </cell>
          <cell r="BR293">
            <v>0</v>
          </cell>
          <cell r="BS293">
            <v>0</v>
          </cell>
          <cell r="BT293">
            <v>0</v>
          </cell>
          <cell r="BU293">
            <v>0</v>
          </cell>
          <cell r="BV293">
            <v>0</v>
          </cell>
          <cell r="BW293">
            <v>0</v>
          </cell>
          <cell r="BX293">
            <v>0</v>
          </cell>
          <cell r="BY293">
            <v>0</v>
          </cell>
          <cell r="BZ293">
            <v>0</v>
          </cell>
          <cell r="CA293">
            <v>0</v>
          </cell>
          <cell r="CB293">
            <v>0</v>
          </cell>
          <cell r="CC293">
            <v>0</v>
          </cell>
          <cell r="CD293">
            <v>0</v>
          </cell>
          <cell r="CE293">
            <v>0</v>
          </cell>
          <cell r="CF293">
            <v>0</v>
          </cell>
          <cell r="CG293">
            <v>0</v>
          </cell>
          <cell r="CH293">
            <v>0</v>
          </cell>
          <cell r="CI293">
            <v>0</v>
          </cell>
          <cell r="CJ293">
            <v>0</v>
          </cell>
          <cell r="CK293">
            <v>0</v>
          </cell>
          <cell r="CL293">
            <v>0</v>
          </cell>
          <cell r="CM293">
            <v>0</v>
          </cell>
          <cell r="CN293">
            <v>0</v>
          </cell>
          <cell r="CO293">
            <v>0</v>
          </cell>
          <cell r="CP293">
            <v>0</v>
          </cell>
          <cell r="CQ293">
            <v>0</v>
          </cell>
          <cell r="CR293">
            <v>0</v>
          </cell>
          <cell r="CS293">
            <v>0</v>
          </cell>
          <cell r="CT293">
            <v>0</v>
          </cell>
          <cell r="CU293">
            <v>0</v>
          </cell>
          <cell r="CV293">
            <v>0</v>
          </cell>
          <cell r="CW293">
            <v>0</v>
          </cell>
          <cell r="CX293">
            <v>0</v>
          </cell>
          <cell r="CY293">
            <v>0</v>
          </cell>
          <cell r="CZ293">
            <v>0</v>
          </cell>
          <cell r="DA293">
            <v>0</v>
          </cell>
          <cell r="DB293">
            <v>0</v>
          </cell>
          <cell r="DC293">
            <v>0</v>
          </cell>
          <cell r="DD293">
            <v>0</v>
          </cell>
          <cell r="DE293">
            <v>0</v>
          </cell>
          <cell r="DF293">
            <v>0</v>
          </cell>
          <cell r="DG293">
            <v>0</v>
          </cell>
          <cell r="DH293">
            <v>0</v>
          </cell>
          <cell r="DI293">
            <v>0</v>
          </cell>
          <cell r="DJ293">
            <v>0</v>
          </cell>
          <cell r="DK293">
            <v>0</v>
          </cell>
          <cell r="DL293">
            <v>0</v>
          </cell>
          <cell r="DM293">
            <v>0</v>
          </cell>
          <cell r="DN293">
            <v>0</v>
          </cell>
          <cell r="DO293">
            <v>0</v>
          </cell>
          <cell r="DP293">
            <v>0</v>
          </cell>
          <cell r="DQ293">
            <v>0</v>
          </cell>
          <cell r="DR293">
            <v>0</v>
          </cell>
          <cell r="DS293">
            <v>0</v>
          </cell>
          <cell r="DT293">
            <v>0</v>
          </cell>
          <cell r="DU293">
            <v>0</v>
          </cell>
          <cell r="DV293">
            <v>0</v>
          </cell>
          <cell r="DW293">
            <v>0</v>
          </cell>
          <cell r="DX293">
            <v>0</v>
          </cell>
          <cell r="DY293">
            <v>0</v>
          </cell>
          <cell r="DZ293">
            <v>0</v>
          </cell>
          <cell r="EA293">
            <v>0</v>
          </cell>
          <cell r="EB293">
            <v>0</v>
          </cell>
          <cell r="EC293">
            <v>0</v>
          </cell>
          <cell r="ED293">
            <v>0</v>
          </cell>
          <cell r="EE293">
            <v>0</v>
          </cell>
          <cell r="EF293">
            <v>0</v>
          </cell>
          <cell r="EG293">
            <v>0</v>
          </cell>
          <cell r="EH293">
            <v>0</v>
          </cell>
          <cell r="EI293">
            <v>0</v>
          </cell>
          <cell r="EJ293">
            <v>0</v>
          </cell>
          <cell r="EK293">
            <v>0</v>
          </cell>
          <cell r="EL293">
            <v>0</v>
          </cell>
          <cell r="EM293">
            <v>0</v>
          </cell>
          <cell r="EN293">
            <v>0</v>
          </cell>
          <cell r="EO293">
            <v>0</v>
          </cell>
          <cell r="EP293">
            <v>0</v>
          </cell>
          <cell r="EQ293">
            <v>0</v>
          </cell>
          <cell r="ER293">
            <v>0</v>
          </cell>
          <cell r="ES293">
            <v>0</v>
          </cell>
          <cell r="ET293">
            <v>0</v>
          </cell>
          <cell r="EU293">
            <v>0</v>
          </cell>
          <cell r="EV293">
            <v>0</v>
          </cell>
          <cell r="EW293">
            <v>0</v>
          </cell>
          <cell r="EX293">
            <v>0</v>
          </cell>
          <cell r="EY293">
            <v>0</v>
          </cell>
          <cell r="EZ293">
            <v>0</v>
          </cell>
          <cell r="FA293">
            <v>0</v>
          </cell>
          <cell r="FB293">
            <v>0</v>
          </cell>
          <cell r="FC293">
            <v>0</v>
          </cell>
          <cell r="FD293">
            <v>0</v>
          </cell>
          <cell r="FE293">
            <v>0</v>
          </cell>
          <cell r="FF293">
            <v>0</v>
          </cell>
          <cell r="FG293">
            <v>0</v>
          </cell>
          <cell r="FH293">
            <v>0</v>
          </cell>
          <cell r="FI293">
            <v>0</v>
          </cell>
          <cell r="FJ293">
            <v>0</v>
          </cell>
          <cell r="FK293">
            <v>0</v>
          </cell>
          <cell r="FL293">
            <v>0</v>
          </cell>
          <cell r="FM293">
            <v>0</v>
          </cell>
          <cell r="FN293">
            <v>0</v>
          </cell>
          <cell r="FO293">
            <v>0</v>
          </cell>
          <cell r="FP293">
            <v>0</v>
          </cell>
          <cell r="FQ293">
            <v>0</v>
          </cell>
          <cell r="FR293">
            <v>0</v>
          </cell>
          <cell r="FS293">
            <v>0</v>
          </cell>
          <cell r="FT293">
            <v>0</v>
          </cell>
          <cell r="FU293">
            <v>0</v>
          </cell>
          <cell r="FV293">
            <v>0</v>
          </cell>
          <cell r="FW293">
            <v>0</v>
          </cell>
          <cell r="FX293">
            <v>0</v>
          </cell>
          <cell r="FY293">
            <v>0</v>
          </cell>
          <cell r="FZ293">
            <v>0</v>
          </cell>
          <cell r="GA293">
            <v>0</v>
          </cell>
          <cell r="GB293">
            <v>0</v>
          </cell>
          <cell r="GC293">
            <v>0</v>
          </cell>
          <cell r="GD293">
            <v>0</v>
          </cell>
          <cell r="GE293">
            <v>0</v>
          </cell>
          <cell r="GF293">
            <v>0</v>
          </cell>
          <cell r="GG293">
            <v>0</v>
          </cell>
          <cell r="GH293">
            <v>0</v>
          </cell>
          <cell r="GI293">
            <v>0</v>
          </cell>
          <cell r="GJ293">
            <v>0</v>
          </cell>
          <cell r="GK293">
            <v>0</v>
          </cell>
          <cell r="GL293">
            <v>0</v>
          </cell>
          <cell r="GM293">
            <v>0</v>
          </cell>
          <cell r="GN293">
            <v>0</v>
          </cell>
          <cell r="GO293">
            <v>0</v>
          </cell>
          <cell r="GP293">
            <v>0</v>
          </cell>
          <cell r="GQ293">
            <v>0</v>
          </cell>
          <cell r="GR293">
            <v>0</v>
          </cell>
          <cell r="GS293">
            <v>0</v>
          </cell>
          <cell r="GT293">
            <v>0</v>
          </cell>
          <cell r="GU293">
            <v>0</v>
          </cell>
          <cell r="GV293">
            <v>0</v>
          </cell>
          <cell r="GW293">
            <v>0</v>
          </cell>
          <cell r="GX293">
            <v>0</v>
          </cell>
          <cell r="GY293">
            <v>0</v>
          </cell>
          <cell r="GZ293">
            <v>0</v>
          </cell>
          <cell r="HA293">
            <v>0</v>
          </cell>
          <cell r="HB293">
            <v>0</v>
          </cell>
          <cell r="HC293">
            <v>0</v>
          </cell>
          <cell r="HD293">
            <v>0</v>
          </cell>
          <cell r="HE293">
            <v>0</v>
          </cell>
          <cell r="HF293">
            <v>0</v>
          </cell>
          <cell r="HG293">
            <v>0</v>
          </cell>
          <cell r="HH293">
            <v>0</v>
          </cell>
          <cell r="HI293">
            <v>0</v>
          </cell>
          <cell r="HJ293">
            <v>0</v>
          </cell>
          <cell r="HK293">
            <v>0</v>
          </cell>
          <cell r="HL293">
            <v>0</v>
          </cell>
          <cell r="HM293">
            <v>0</v>
          </cell>
          <cell r="HN293">
            <v>0</v>
          </cell>
          <cell r="HO293">
            <v>0</v>
          </cell>
          <cell r="HP293">
            <v>0</v>
          </cell>
          <cell r="HQ293">
            <v>0</v>
          </cell>
          <cell r="HR293">
            <v>0</v>
          </cell>
          <cell r="HS293">
            <v>0</v>
          </cell>
          <cell r="HT293">
            <v>0</v>
          </cell>
          <cell r="HU293">
            <v>0</v>
          </cell>
          <cell r="HV293">
            <v>0</v>
          </cell>
          <cell r="HW293">
            <v>0</v>
          </cell>
          <cell r="HX293">
            <v>0</v>
          </cell>
          <cell r="HY293">
            <v>0</v>
          </cell>
          <cell r="HZ293">
            <v>0</v>
          </cell>
          <cell r="IA293">
            <v>0</v>
          </cell>
          <cell r="IB293">
            <v>0</v>
          </cell>
          <cell r="IC293">
            <v>0</v>
          </cell>
          <cell r="ID293">
            <v>0</v>
          </cell>
          <cell r="IE293">
            <v>0</v>
          </cell>
          <cell r="IF293">
            <v>0</v>
          </cell>
          <cell r="IG293">
            <v>0</v>
          </cell>
          <cell r="IH293">
            <v>0</v>
          </cell>
          <cell r="II293">
            <v>0</v>
          </cell>
          <cell r="IJ293">
            <v>0</v>
          </cell>
          <cell r="IK293">
            <v>0</v>
          </cell>
          <cell r="IL293">
            <v>0</v>
          </cell>
          <cell r="IM293">
            <v>0</v>
          </cell>
          <cell r="IN293">
            <v>0</v>
          </cell>
          <cell r="IO293">
            <v>0</v>
          </cell>
          <cell r="IP293">
            <v>0</v>
          </cell>
          <cell r="IQ293">
            <v>0</v>
          </cell>
          <cell r="IR293">
            <v>0</v>
          </cell>
          <cell r="IS293">
            <v>0</v>
          </cell>
          <cell r="IT293">
            <v>0</v>
          </cell>
          <cell r="IU293">
            <v>0</v>
          </cell>
          <cell r="IV293">
            <v>0</v>
          </cell>
          <cell r="IW293">
            <v>0</v>
          </cell>
          <cell r="IX293">
            <v>0</v>
          </cell>
          <cell r="IY293">
            <v>0</v>
          </cell>
          <cell r="IZ293">
            <v>0</v>
          </cell>
          <cell r="JA293">
            <v>0</v>
          </cell>
        </row>
        <row r="325">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cell r="BM325">
            <v>0</v>
          </cell>
          <cell r="BN325">
            <v>0</v>
          </cell>
          <cell r="BO325">
            <v>0</v>
          </cell>
          <cell r="BP325">
            <v>0</v>
          </cell>
          <cell r="BQ325">
            <v>0</v>
          </cell>
          <cell r="BR325">
            <v>0</v>
          </cell>
          <cell r="BS325">
            <v>0</v>
          </cell>
          <cell r="BT325">
            <v>0</v>
          </cell>
          <cell r="BU325">
            <v>0</v>
          </cell>
          <cell r="BV325">
            <v>0</v>
          </cell>
          <cell r="BW325">
            <v>0</v>
          </cell>
          <cell r="BX325">
            <v>0</v>
          </cell>
          <cell r="BY325">
            <v>0</v>
          </cell>
          <cell r="BZ325">
            <v>0</v>
          </cell>
          <cell r="CA325">
            <v>0</v>
          </cell>
          <cell r="CB325">
            <v>0</v>
          </cell>
          <cell r="CC325">
            <v>0</v>
          </cell>
          <cell r="CD325">
            <v>0</v>
          </cell>
          <cell r="CE325">
            <v>0</v>
          </cell>
          <cell r="CF325">
            <v>0</v>
          </cell>
          <cell r="CG325">
            <v>0</v>
          </cell>
          <cell r="CH325">
            <v>0</v>
          </cell>
          <cell r="CI325">
            <v>0</v>
          </cell>
          <cell r="CJ325">
            <v>0</v>
          </cell>
          <cell r="CK325">
            <v>0</v>
          </cell>
          <cell r="CL325">
            <v>0</v>
          </cell>
          <cell r="CM325">
            <v>0</v>
          </cell>
          <cell r="CN325">
            <v>0</v>
          </cell>
          <cell r="CO325">
            <v>0</v>
          </cell>
          <cell r="CP325">
            <v>0</v>
          </cell>
          <cell r="CQ325">
            <v>0</v>
          </cell>
          <cell r="CR325">
            <v>0</v>
          </cell>
          <cell r="CS325">
            <v>0</v>
          </cell>
          <cell r="CT325">
            <v>0</v>
          </cell>
          <cell r="CU325">
            <v>0</v>
          </cell>
          <cell r="CV325">
            <v>0</v>
          </cell>
          <cell r="CW325">
            <v>0</v>
          </cell>
          <cell r="CX325">
            <v>0</v>
          </cell>
          <cell r="CY325">
            <v>0</v>
          </cell>
          <cell r="CZ325">
            <v>0</v>
          </cell>
          <cell r="DA325">
            <v>0</v>
          </cell>
          <cell r="DB325">
            <v>0</v>
          </cell>
          <cell r="DC325">
            <v>0</v>
          </cell>
          <cell r="DD325">
            <v>0</v>
          </cell>
          <cell r="DE325">
            <v>0</v>
          </cell>
          <cell r="DF325">
            <v>0</v>
          </cell>
          <cell r="DG325">
            <v>0</v>
          </cell>
          <cell r="DH325">
            <v>0</v>
          </cell>
          <cell r="DI325">
            <v>0</v>
          </cell>
          <cell r="DJ325">
            <v>0</v>
          </cell>
          <cell r="DK325">
            <v>0</v>
          </cell>
          <cell r="DL325">
            <v>0</v>
          </cell>
          <cell r="DM325">
            <v>0</v>
          </cell>
          <cell r="DN325">
            <v>0</v>
          </cell>
          <cell r="DO325">
            <v>0</v>
          </cell>
          <cell r="DP325">
            <v>0</v>
          </cell>
          <cell r="DQ325">
            <v>0</v>
          </cell>
          <cell r="DR325">
            <v>0</v>
          </cell>
          <cell r="DS325">
            <v>0</v>
          </cell>
          <cell r="DT325">
            <v>0</v>
          </cell>
          <cell r="DU325">
            <v>0</v>
          </cell>
          <cell r="DV325">
            <v>0</v>
          </cell>
          <cell r="DW325">
            <v>0</v>
          </cell>
          <cell r="DX325">
            <v>0</v>
          </cell>
          <cell r="DY325">
            <v>0</v>
          </cell>
          <cell r="DZ325">
            <v>0</v>
          </cell>
          <cell r="EA325">
            <v>0</v>
          </cell>
          <cell r="EB325">
            <v>0</v>
          </cell>
          <cell r="EC325">
            <v>0</v>
          </cell>
          <cell r="ED325">
            <v>0</v>
          </cell>
          <cell r="EE325">
            <v>0</v>
          </cell>
          <cell r="EF325">
            <v>0</v>
          </cell>
          <cell r="EG325">
            <v>0</v>
          </cell>
          <cell r="EH325">
            <v>0</v>
          </cell>
          <cell r="EI325">
            <v>0</v>
          </cell>
          <cell r="EJ325">
            <v>0</v>
          </cell>
          <cell r="EK325">
            <v>0</v>
          </cell>
          <cell r="EL325">
            <v>0</v>
          </cell>
          <cell r="EM325">
            <v>0</v>
          </cell>
          <cell r="EN325">
            <v>0</v>
          </cell>
          <cell r="EO325">
            <v>0</v>
          </cell>
          <cell r="EP325">
            <v>0</v>
          </cell>
          <cell r="EQ325">
            <v>0</v>
          </cell>
          <cell r="ER325">
            <v>0</v>
          </cell>
          <cell r="ES325">
            <v>0</v>
          </cell>
          <cell r="ET325">
            <v>0</v>
          </cell>
          <cell r="EU325">
            <v>0</v>
          </cell>
          <cell r="EV325">
            <v>0</v>
          </cell>
          <cell r="EW325">
            <v>0</v>
          </cell>
          <cell r="EX325">
            <v>0</v>
          </cell>
          <cell r="EY325">
            <v>0</v>
          </cell>
          <cell r="EZ325">
            <v>0</v>
          </cell>
          <cell r="FA325">
            <v>0</v>
          </cell>
          <cell r="FB325">
            <v>0</v>
          </cell>
          <cell r="FC325">
            <v>0</v>
          </cell>
          <cell r="FD325">
            <v>0</v>
          </cell>
          <cell r="FE325">
            <v>0</v>
          </cell>
          <cell r="FF325">
            <v>0</v>
          </cell>
          <cell r="FG325">
            <v>0</v>
          </cell>
          <cell r="FH325">
            <v>0</v>
          </cell>
          <cell r="FI325">
            <v>0</v>
          </cell>
          <cell r="FJ325">
            <v>0</v>
          </cell>
          <cell r="FK325">
            <v>0</v>
          </cell>
          <cell r="FL325">
            <v>0</v>
          </cell>
          <cell r="FM325">
            <v>0</v>
          </cell>
          <cell r="FN325">
            <v>0</v>
          </cell>
          <cell r="FO325">
            <v>0</v>
          </cell>
          <cell r="FP325">
            <v>0</v>
          </cell>
          <cell r="FQ325">
            <v>0</v>
          </cell>
          <cell r="FR325">
            <v>0</v>
          </cell>
          <cell r="FS325">
            <v>0</v>
          </cell>
          <cell r="FT325">
            <v>0</v>
          </cell>
          <cell r="FU325">
            <v>0</v>
          </cell>
          <cell r="FV325">
            <v>0</v>
          </cell>
          <cell r="FW325">
            <v>0</v>
          </cell>
          <cell r="FX325">
            <v>0</v>
          </cell>
          <cell r="FY325">
            <v>0</v>
          </cell>
          <cell r="FZ325">
            <v>0</v>
          </cell>
          <cell r="GA325">
            <v>0</v>
          </cell>
          <cell r="GB325">
            <v>0</v>
          </cell>
          <cell r="GC325">
            <v>0</v>
          </cell>
          <cell r="GD325">
            <v>0</v>
          </cell>
          <cell r="GE325">
            <v>0</v>
          </cell>
          <cell r="GF325">
            <v>0</v>
          </cell>
          <cell r="GG325">
            <v>0</v>
          </cell>
          <cell r="GH325">
            <v>0</v>
          </cell>
          <cell r="GI325">
            <v>0</v>
          </cell>
          <cell r="GJ325">
            <v>0</v>
          </cell>
          <cell r="GK325">
            <v>0</v>
          </cell>
          <cell r="GL325">
            <v>0</v>
          </cell>
          <cell r="GM325">
            <v>0</v>
          </cell>
          <cell r="GN325">
            <v>0</v>
          </cell>
          <cell r="GO325">
            <v>0</v>
          </cell>
          <cell r="GP325">
            <v>0</v>
          </cell>
          <cell r="GQ325">
            <v>0</v>
          </cell>
          <cell r="GR325">
            <v>0</v>
          </cell>
          <cell r="GS325">
            <v>0</v>
          </cell>
          <cell r="GT325">
            <v>0</v>
          </cell>
          <cell r="GU325">
            <v>0</v>
          </cell>
          <cell r="GV325">
            <v>0</v>
          </cell>
          <cell r="GW325">
            <v>0</v>
          </cell>
          <cell r="GX325">
            <v>0</v>
          </cell>
          <cell r="GY325">
            <v>0</v>
          </cell>
          <cell r="GZ325">
            <v>0</v>
          </cell>
          <cell r="HA325">
            <v>0</v>
          </cell>
          <cell r="HB325">
            <v>0</v>
          </cell>
          <cell r="HC325">
            <v>0</v>
          </cell>
          <cell r="HD325">
            <v>0</v>
          </cell>
          <cell r="HE325">
            <v>0</v>
          </cell>
          <cell r="HF325">
            <v>0</v>
          </cell>
          <cell r="HG325">
            <v>0</v>
          </cell>
          <cell r="HH325">
            <v>0</v>
          </cell>
          <cell r="HI325">
            <v>0</v>
          </cell>
          <cell r="HJ325">
            <v>0</v>
          </cell>
          <cell r="HK325">
            <v>0</v>
          </cell>
          <cell r="HL325">
            <v>0</v>
          </cell>
          <cell r="HM325">
            <v>0</v>
          </cell>
          <cell r="HN325">
            <v>0</v>
          </cell>
          <cell r="HO325">
            <v>0</v>
          </cell>
          <cell r="HP325">
            <v>0</v>
          </cell>
          <cell r="HQ325">
            <v>0</v>
          </cell>
          <cell r="HR325">
            <v>0</v>
          </cell>
          <cell r="HS325">
            <v>0</v>
          </cell>
          <cell r="HT325">
            <v>0</v>
          </cell>
          <cell r="HU325">
            <v>0</v>
          </cell>
          <cell r="HV325">
            <v>0</v>
          </cell>
          <cell r="HW325">
            <v>0</v>
          </cell>
          <cell r="HX325">
            <v>0</v>
          </cell>
          <cell r="HY325">
            <v>0</v>
          </cell>
          <cell r="HZ325">
            <v>0</v>
          </cell>
          <cell r="IA325">
            <v>0</v>
          </cell>
          <cell r="IB325">
            <v>0</v>
          </cell>
          <cell r="IC325">
            <v>0</v>
          </cell>
          <cell r="ID325">
            <v>0</v>
          </cell>
          <cell r="IE325">
            <v>0</v>
          </cell>
          <cell r="IF325">
            <v>0</v>
          </cell>
          <cell r="IG325">
            <v>0</v>
          </cell>
          <cell r="IH325">
            <v>0</v>
          </cell>
          <cell r="II325">
            <v>0</v>
          </cell>
          <cell r="IJ325">
            <v>0</v>
          </cell>
          <cell r="IK325">
            <v>0</v>
          </cell>
          <cell r="IL325">
            <v>0</v>
          </cell>
          <cell r="IM325">
            <v>0</v>
          </cell>
          <cell r="IN325">
            <v>0</v>
          </cell>
          <cell r="IO325">
            <v>0</v>
          </cell>
          <cell r="IP325">
            <v>0</v>
          </cell>
          <cell r="IQ325">
            <v>0</v>
          </cell>
          <cell r="IR325">
            <v>0</v>
          </cell>
          <cell r="IS325">
            <v>0</v>
          </cell>
          <cell r="IT325">
            <v>0</v>
          </cell>
          <cell r="IU325">
            <v>0</v>
          </cell>
          <cell r="IV325">
            <v>0</v>
          </cell>
          <cell r="IW325">
            <v>0</v>
          </cell>
          <cell r="IX325">
            <v>0</v>
          </cell>
          <cell r="IY325">
            <v>0</v>
          </cell>
          <cell r="IZ325">
            <v>0</v>
          </cell>
          <cell r="JA325">
            <v>0</v>
          </cell>
        </row>
        <row r="362">
          <cell r="L362">
            <v>0</v>
          </cell>
          <cell r="M362">
            <v>0</v>
          </cell>
          <cell r="N362">
            <v>0</v>
          </cell>
          <cell r="O362">
            <v>0.19600993554513746</v>
          </cell>
          <cell r="P362">
            <v>13.780618487792438</v>
          </cell>
          <cell r="Q362">
            <v>11.816983832499998</v>
          </cell>
          <cell r="R362">
            <v>12.053322895280708</v>
          </cell>
          <cell r="S362">
            <v>12.294389365463706</v>
          </cell>
          <cell r="T362">
            <v>12.54027793238698</v>
          </cell>
          <cell r="U362">
            <v>12.791083438855834</v>
          </cell>
          <cell r="V362">
            <v>13.046904871293272</v>
          </cell>
          <cell r="W362">
            <v>13.307843211197506</v>
          </cell>
          <cell r="X362">
            <v>13.566411553596161</v>
          </cell>
          <cell r="Y362">
            <v>13.760457825353836</v>
          </cell>
          <cell r="Z362">
            <v>13.957289750359381</v>
          </cell>
          <cell r="AA362">
            <v>14.158254369205633</v>
          </cell>
          <cell r="AB362">
            <v>14.361166407220971</v>
          </cell>
          <cell r="AC362">
            <v>14.567129845734746</v>
          </cell>
          <cell r="AD362">
            <v>13.425176096358388</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cell r="BM362">
            <v>0</v>
          </cell>
          <cell r="BN362">
            <v>0</v>
          </cell>
          <cell r="BO362">
            <v>0</v>
          </cell>
          <cell r="BP362">
            <v>0</v>
          </cell>
          <cell r="BQ362">
            <v>0</v>
          </cell>
          <cell r="BR362">
            <v>0</v>
          </cell>
          <cell r="BS362">
            <v>0</v>
          </cell>
          <cell r="BT362">
            <v>0</v>
          </cell>
          <cell r="BU362">
            <v>0</v>
          </cell>
          <cell r="BV362">
            <v>0</v>
          </cell>
          <cell r="BW362">
            <v>0</v>
          </cell>
          <cell r="BX362">
            <v>0</v>
          </cell>
          <cell r="BY362">
            <v>0</v>
          </cell>
          <cell r="BZ362">
            <v>0</v>
          </cell>
          <cell r="CA362">
            <v>0</v>
          </cell>
          <cell r="CB362">
            <v>0</v>
          </cell>
          <cell r="CC362">
            <v>0</v>
          </cell>
          <cell r="CD362">
            <v>0</v>
          </cell>
          <cell r="CE362">
            <v>0</v>
          </cell>
          <cell r="CF362">
            <v>0</v>
          </cell>
          <cell r="CG362">
            <v>0</v>
          </cell>
          <cell r="CH362">
            <v>0</v>
          </cell>
          <cell r="CI362">
            <v>0</v>
          </cell>
          <cell r="CJ362">
            <v>0</v>
          </cell>
          <cell r="CK362">
            <v>0</v>
          </cell>
          <cell r="CL362">
            <v>0</v>
          </cell>
          <cell r="CM362">
            <v>0</v>
          </cell>
          <cell r="CN362">
            <v>0</v>
          </cell>
          <cell r="CO362">
            <v>0</v>
          </cell>
          <cell r="CP362">
            <v>0</v>
          </cell>
          <cell r="CQ362">
            <v>0</v>
          </cell>
          <cell r="CR362">
            <v>0</v>
          </cell>
          <cell r="CS362">
            <v>0</v>
          </cell>
          <cell r="CT362">
            <v>0</v>
          </cell>
          <cell r="CU362">
            <v>0</v>
          </cell>
          <cell r="CV362">
            <v>0</v>
          </cell>
          <cell r="CW362">
            <v>0</v>
          </cell>
          <cell r="CX362">
            <v>0</v>
          </cell>
          <cell r="CY362">
            <v>0</v>
          </cell>
          <cell r="CZ362">
            <v>0</v>
          </cell>
          <cell r="DA362">
            <v>0</v>
          </cell>
          <cell r="DB362">
            <v>0</v>
          </cell>
          <cell r="DC362">
            <v>0</v>
          </cell>
          <cell r="DD362">
            <v>0</v>
          </cell>
          <cell r="DE362">
            <v>0</v>
          </cell>
          <cell r="DF362">
            <v>0</v>
          </cell>
          <cell r="DG362">
            <v>0</v>
          </cell>
          <cell r="DH362">
            <v>0</v>
          </cell>
          <cell r="DI362">
            <v>0</v>
          </cell>
          <cell r="DJ362">
            <v>0</v>
          </cell>
          <cell r="DK362">
            <v>0</v>
          </cell>
          <cell r="DL362">
            <v>0</v>
          </cell>
          <cell r="DM362">
            <v>0</v>
          </cell>
          <cell r="DN362">
            <v>0</v>
          </cell>
          <cell r="DO362">
            <v>0</v>
          </cell>
          <cell r="DP362">
            <v>0</v>
          </cell>
          <cell r="DQ362">
            <v>0</v>
          </cell>
          <cell r="DR362">
            <v>0</v>
          </cell>
          <cell r="DS362">
            <v>0</v>
          </cell>
          <cell r="DT362">
            <v>0</v>
          </cell>
          <cell r="DU362">
            <v>0</v>
          </cell>
          <cell r="DV362">
            <v>0</v>
          </cell>
          <cell r="DW362">
            <v>0</v>
          </cell>
          <cell r="DX362">
            <v>0</v>
          </cell>
          <cell r="DY362">
            <v>0</v>
          </cell>
          <cell r="DZ362">
            <v>0</v>
          </cell>
          <cell r="EA362">
            <v>0</v>
          </cell>
          <cell r="EB362">
            <v>0</v>
          </cell>
          <cell r="EC362">
            <v>0</v>
          </cell>
          <cell r="ED362">
            <v>0</v>
          </cell>
          <cell r="EE362">
            <v>0</v>
          </cell>
          <cell r="EF362">
            <v>0</v>
          </cell>
          <cell r="EG362">
            <v>0</v>
          </cell>
          <cell r="EH362">
            <v>0</v>
          </cell>
          <cell r="EI362">
            <v>0</v>
          </cell>
          <cell r="EJ362">
            <v>0</v>
          </cell>
          <cell r="EK362">
            <v>0</v>
          </cell>
          <cell r="EL362">
            <v>0</v>
          </cell>
          <cell r="EM362">
            <v>0</v>
          </cell>
          <cell r="EN362">
            <v>0</v>
          </cell>
          <cell r="EO362">
            <v>0</v>
          </cell>
          <cell r="EP362">
            <v>0</v>
          </cell>
          <cell r="EQ362">
            <v>0</v>
          </cell>
          <cell r="ER362">
            <v>0</v>
          </cell>
          <cell r="ES362">
            <v>0</v>
          </cell>
          <cell r="ET362">
            <v>0</v>
          </cell>
          <cell r="EU362">
            <v>0</v>
          </cell>
          <cell r="EV362">
            <v>0</v>
          </cell>
          <cell r="EW362">
            <v>0</v>
          </cell>
          <cell r="EX362">
            <v>0</v>
          </cell>
          <cell r="EY362">
            <v>0</v>
          </cell>
          <cell r="EZ362">
            <v>0</v>
          </cell>
          <cell r="FA362">
            <v>0</v>
          </cell>
          <cell r="FB362">
            <v>0</v>
          </cell>
          <cell r="FC362">
            <v>0</v>
          </cell>
          <cell r="FD362">
            <v>0</v>
          </cell>
          <cell r="FE362">
            <v>0</v>
          </cell>
          <cell r="FF362">
            <v>0</v>
          </cell>
          <cell r="FG362">
            <v>0</v>
          </cell>
          <cell r="FH362">
            <v>0</v>
          </cell>
          <cell r="FI362">
            <v>0</v>
          </cell>
          <cell r="FJ362">
            <v>0</v>
          </cell>
          <cell r="FK362">
            <v>0</v>
          </cell>
          <cell r="FL362">
            <v>0</v>
          </cell>
          <cell r="FM362">
            <v>0</v>
          </cell>
          <cell r="FN362">
            <v>0</v>
          </cell>
          <cell r="FO362">
            <v>0</v>
          </cell>
          <cell r="FP362">
            <v>0</v>
          </cell>
          <cell r="FQ362">
            <v>0</v>
          </cell>
          <cell r="FR362">
            <v>0</v>
          </cell>
          <cell r="FS362">
            <v>0</v>
          </cell>
          <cell r="FT362">
            <v>0</v>
          </cell>
          <cell r="FU362">
            <v>0</v>
          </cell>
          <cell r="FV362">
            <v>0</v>
          </cell>
          <cell r="FW362">
            <v>0</v>
          </cell>
          <cell r="FX362">
            <v>0</v>
          </cell>
          <cell r="FY362">
            <v>0</v>
          </cell>
          <cell r="FZ362">
            <v>0</v>
          </cell>
          <cell r="GA362">
            <v>0</v>
          </cell>
          <cell r="GB362">
            <v>0</v>
          </cell>
          <cell r="GC362">
            <v>0</v>
          </cell>
          <cell r="GD362">
            <v>0</v>
          </cell>
          <cell r="GE362">
            <v>0</v>
          </cell>
          <cell r="GF362">
            <v>0</v>
          </cell>
          <cell r="GG362">
            <v>0</v>
          </cell>
          <cell r="GH362">
            <v>0</v>
          </cell>
          <cell r="GI362">
            <v>0</v>
          </cell>
          <cell r="GJ362">
            <v>0</v>
          </cell>
          <cell r="GK362">
            <v>0</v>
          </cell>
          <cell r="GL362">
            <v>0</v>
          </cell>
          <cell r="GM362">
            <v>0</v>
          </cell>
          <cell r="GN362">
            <v>0</v>
          </cell>
          <cell r="GO362">
            <v>0</v>
          </cell>
          <cell r="GP362">
            <v>0</v>
          </cell>
          <cell r="GQ362">
            <v>0</v>
          </cell>
          <cell r="GR362">
            <v>0</v>
          </cell>
          <cell r="GS362">
            <v>0</v>
          </cell>
          <cell r="GT362">
            <v>0</v>
          </cell>
          <cell r="GU362">
            <v>0</v>
          </cell>
          <cell r="GV362">
            <v>0</v>
          </cell>
          <cell r="GW362">
            <v>0</v>
          </cell>
          <cell r="GX362">
            <v>0</v>
          </cell>
          <cell r="GY362">
            <v>0</v>
          </cell>
          <cell r="GZ362">
            <v>0</v>
          </cell>
          <cell r="HA362">
            <v>0</v>
          </cell>
          <cell r="HB362">
            <v>0</v>
          </cell>
          <cell r="HC362">
            <v>0</v>
          </cell>
          <cell r="HD362">
            <v>0</v>
          </cell>
          <cell r="HE362">
            <v>0</v>
          </cell>
          <cell r="HF362">
            <v>0</v>
          </cell>
          <cell r="HG362">
            <v>0</v>
          </cell>
          <cell r="HH362">
            <v>0</v>
          </cell>
          <cell r="HI362">
            <v>0</v>
          </cell>
          <cell r="HJ362">
            <v>0</v>
          </cell>
          <cell r="HK362">
            <v>0</v>
          </cell>
          <cell r="HL362">
            <v>0</v>
          </cell>
          <cell r="HM362">
            <v>0</v>
          </cell>
          <cell r="HN362">
            <v>0</v>
          </cell>
          <cell r="HO362">
            <v>0</v>
          </cell>
          <cell r="HP362">
            <v>0</v>
          </cell>
          <cell r="HQ362">
            <v>0</v>
          </cell>
          <cell r="HR362">
            <v>0</v>
          </cell>
          <cell r="HS362">
            <v>0</v>
          </cell>
          <cell r="HT362">
            <v>0</v>
          </cell>
          <cell r="HU362">
            <v>0</v>
          </cell>
          <cell r="HV362">
            <v>0</v>
          </cell>
          <cell r="HW362">
            <v>0</v>
          </cell>
          <cell r="HX362">
            <v>0</v>
          </cell>
          <cell r="HY362">
            <v>0</v>
          </cell>
          <cell r="HZ362">
            <v>0</v>
          </cell>
          <cell r="IA362">
            <v>0</v>
          </cell>
          <cell r="IB362">
            <v>0</v>
          </cell>
          <cell r="IC362">
            <v>0</v>
          </cell>
          <cell r="ID362">
            <v>0</v>
          </cell>
          <cell r="IE362">
            <v>0</v>
          </cell>
          <cell r="IF362">
            <v>0</v>
          </cell>
          <cell r="IG362">
            <v>0</v>
          </cell>
          <cell r="IH362">
            <v>0</v>
          </cell>
          <cell r="II362">
            <v>0</v>
          </cell>
          <cell r="IJ362">
            <v>0</v>
          </cell>
          <cell r="IK362">
            <v>0</v>
          </cell>
          <cell r="IL362">
            <v>0</v>
          </cell>
          <cell r="IM362">
            <v>0</v>
          </cell>
          <cell r="IN362">
            <v>0</v>
          </cell>
          <cell r="IO362">
            <v>0</v>
          </cell>
          <cell r="IP362">
            <v>0</v>
          </cell>
          <cell r="IQ362">
            <v>0</v>
          </cell>
          <cell r="IR362">
            <v>0</v>
          </cell>
          <cell r="IS362">
            <v>0</v>
          </cell>
          <cell r="IT362">
            <v>0</v>
          </cell>
          <cell r="IU362">
            <v>0</v>
          </cell>
          <cell r="IV362">
            <v>0</v>
          </cell>
          <cell r="IW362">
            <v>0</v>
          </cell>
          <cell r="IX362">
            <v>0</v>
          </cell>
          <cell r="IY362">
            <v>0</v>
          </cell>
          <cell r="IZ362">
            <v>0</v>
          </cell>
          <cell r="JA362">
            <v>0</v>
          </cell>
        </row>
        <row r="363">
          <cell r="L363">
            <v>0</v>
          </cell>
          <cell r="M363">
            <v>0</v>
          </cell>
          <cell r="N363">
            <v>0</v>
          </cell>
          <cell r="O363">
            <v>0.21994833395486246</v>
          </cell>
          <cell r="P363">
            <v>21.131329039707566</v>
          </cell>
          <cell r="Q363">
            <v>15.664373917499999</v>
          </cell>
          <cell r="R363">
            <v>15.97766058211629</v>
          </cell>
          <cell r="S363">
            <v>16.297213810033284</v>
          </cell>
          <cell r="T363">
            <v>16.623159119675762</v>
          </cell>
          <cell r="U363">
            <v>16.955622232901916</v>
          </cell>
          <cell r="V363">
            <v>17.294734364272479</v>
          </cell>
          <cell r="W363">
            <v>17.640629372982744</v>
          </cell>
          <cell r="X363">
            <v>17.983382757092585</v>
          </cell>
          <cell r="Y363">
            <v>18.240606884771363</v>
          </cell>
          <cell r="Z363">
            <v>18.501523622569415</v>
          </cell>
          <cell r="AA363">
            <v>18.767918582435374</v>
          </cell>
          <cell r="AB363">
            <v>19.036895004920822</v>
          </cell>
          <cell r="AC363">
            <v>19.309916307136753</v>
          </cell>
          <cell r="AD363">
            <v>17.796163662614607</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cell r="BM363">
            <v>0</v>
          </cell>
          <cell r="BN363">
            <v>0</v>
          </cell>
          <cell r="BO363">
            <v>0</v>
          </cell>
          <cell r="BP363">
            <v>0</v>
          </cell>
          <cell r="BQ363">
            <v>0</v>
          </cell>
          <cell r="BR363">
            <v>0</v>
          </cell>
          <cell r="BS363">
            <v>0</v>
          </cell>
          <cell r="BT363">
            <v>0</v>
          </cell>
          <cell r="BU363">
            <v>0</v>
          </cell>
          <cell r="BV363">
            <v>0</v>
          </cell>
          <cell r="BW363">
            <v>0</v>
          </cell>
          <cell r="BX363">
            <v>0</v>
          </cell>
          <cell r="BY363">
            <v>0</v>
          </cell>
          <cell r="BZ363">
            <v>0</v>
          </cell>
          <cell r="CA363">
            <v>0</v>
          </cell>
          <cell r="CB363">
            <v>0</v>
          </cell>
          <cell r="CC363">
            <v>0</v>
          </cell>
          <cell r="CD363">
            <v>0</v>
          </cell>
          <cell r="CE363">
            <v>0</v>
          </cell>
          <cell r="CF363">
            <v>0</v>
          </cell>
          <cell r="CG363">
            <v>0</v>
          </cell>
          <cell r="CH363">
            <v>0</v>
          </cell>
          <cell r="CI363">
            <v>0</v>
          </cell>
          <cell r="CJ363">
            <v>0</v>
          </cell>
          <cell r="CK363">
            <v>0</v>
          </cell>
          <cell r="CL363">
            <v>0</v>
          </cell>
          <cell r="CM363">
            <v>0</v>
          </cell>
          <cell r="CN363">
            <v>0</v>
          </cell>
          <cell r="CO363">
            <v>0</v>
          </cell>
          <cell r="CP363">
            <v>0</v>
          </cell>
          <cell r="CQ363">
            <v>0</v>
          </cell>
          <cell r="CR363">
            <v>0</v>
          </cell>
          <cell r="CS363">
            <v>0</v>
          </cell>
          <cell r="CT363">
            <v>0</v>
          </cell>
          <cell r="CU363">
            <v>0</v>
          </cell>
          <cell r="CV363">
            <v>0</v>
          </cell>
          <cell r="CW363">
            <v>0</v>
          </cell>
          <cell r="CX363">
            <v>0</v>
          </cell>
          <cell r="CY363">
            <v>0</v>
          </cell>
          <cell r="CZ363">
            <v>0</v>
          </cell>
          <cell r="DA363">
            <v>0</v>
          </cell>
          <cell r="DB363">
            <v>0</v>
          </cell>
          <cell r="DC363">
            <v>0</v>
          </cell>
          <cell r="DD363">
            <v>0</v>
          </cell>
          <cell r="DE363">
            <v>0</v>
          </cell>
          <cell r="DF363">
            <v>0</v>
          </cell>
          <cell r="DG363">
            <v>0</v>
          </cell>
          <cell r="DH363">
            <v>0</v>
          </cell>
          <cell r="DI363">
            <v>0</v>
          </cell>
          <cell r="DJ363">
            <v>0</v>
          </cell>
          <cell r="DK363">
            <v>0</v>
          </cell>
          <cell r="DL363">
            <v>0</v>
          </cell>
          <cell r="DM363">
            <v>0</v>
          </cell>
          <cell r="DN363">
            <v>0</v>
          </cell>
          <cell r="DO363">
            <v>0</v>
          </cell>
          <cell r="DP363">
            <v>0</v>
          </cell>
          <cell r="DQ363">
            <v>0</v>
          </cell>
          <cell r="DR363">
            <v>0</v>
          </cell>
          <cell r="DS363">
            <v>0</v>
          </cell>
          <cell r="DT363">
            <v>0</v>
          </cell>
          <cell r="DU363">
            <v>0</v>
          </cell>
          <cell r="DV363">
            <v>0</v>
          </cell>
          <cell r="DW363">
            <v>0</v>
          </cell>
          <cell r="DX363">
            <v>0</v>
          </cell>
          <cell r="DY363">
            <v>0</v>
          </cell>
          <cell r="DZ363">
            <v>0</v>
          </cell>
          <cell r="EA363">
            <v>0</v>
          </cell>
          <cell r="EB363">
            <v>0</v>
          </cell>
          <cell r="EC363">
            <v>0</v>
          </cell>
          <cell r="ED363">
            <v>0</v>
          </cell>
          <cell r="EE363">
            <v>0</v>
          </cell>
          <cell r="EF363">
            <v>0</v>
          </cell>
          <cell r="EG363">
            <v>0</v>
          </cell>
          <cell r="EH363">
            <v>0</v>
          </cell>
          <cell r="EI363">
            <v>0</v>
          </cell>
          <cell r="EJ363">
            <v>0</v>
          </cell>
          <cell r="EK363">
            <v>0</v>
          </cell>
          <cell r="EL363">
            <v>0</v>
          </cell>
          <cell r="EM363">
            <v>0</v>
          </cell>
          <cell r="EN363">
            <v>0</v>
          </cell>
          <cell r="EO363">
            <v>0</v>
          </cell>
          <cell r="EP363">
            <v>0</v>
          </cell>
          <cell r="EQ363">
            <v>0</v>
          </cell>
          <cell r="ER363">
            <v>0</v>
          </cell>
          <cell r="ES363">
            <v>0</v>
          </cell>
          <cell r="ET363">
            <v>0</v>
          </cell>
          <cell r="EU363">
            <v>0</v>
          </cell>
          <cell r="EV363">
            <v>0</v>
          </cell>
          <cell r="EW363">
            <v>0</v>
          </cell>
          <cell r="EX363">
            <v>0</v>
          </cell>
          <cell r="EY363">
            <v>0</v>
          </cell>
          <cell r="EZ363">
            <v>0</v>
          </cell>
          <cell r="FA363">
            <v>0</v>
          </cell>
          <cell r="FB363">
            <v>0</v>
          </cell>
          <cell r="FC363">
            <v>0</v>
          </cell>
          <cell r="FD363">
            <v>0</v>
          </cell>
          <cell r="FE363">
            <v>0</v>
          </cell>
          <cell r="FF363">
            <v>0</v>
          </cell>
          <cell r="FG363">
            <v>0</v>
          </cell>
          <cell r="FH363">
            <v>0</v>
          </cell>
          <cell r="FI363">
            <v>0</v>
          </cell>
          <cell r="FJ363">
            <v>0</v>
          </cell>
          <cell r="FK363">
            <v>0</v>
          </cell>
          <cell r="FL363">
            <v>0</v>
          </cell>
          <cell r="FM363">
            <v>0</v>
          </cell>
          <cell r="FN363">
            <v>0</v>
          </cell>
          <cell r="FO363">
            <v>0</v>
          </cell>
          <cell r="FP363">
            <v>0</v>
          </cell>
          <cell r="FQ363">
            <v>0</v>
          </cell>
          <cell r="FR363">
            <v>0</v>
          </cell>
          <cell r="FS363">
            <v>0</v>
          </cell>
          <cell r="FT363">
            <v>0</v>
          </cell>
          <cell r="FU363">
            <v>0</v>
          </cell>
          <cell r="FV363">
            <v>0</v>
          </cell>
          <cell r="FW363">
            <v>0</v>
          </cell>
          <cell r="FX363">
            <v>0</v>
          </cell>
          <cell r="FY363">
            <v>0</v>
          </cell>
          <cell r="FZ363">
            <v>0</v>
          </cell>
          <cell r="GA363">
            <v>0</v>
          </cell>
          <cell r="GB363">
            <v>0</v>
          </cell>
          <cell r="GC363">
            <v>0</v>
          </cell>
          <cell r="GD363">
            <v>0</v>
          </cell>
          <cell r="GE363">
            <v>0</v>
          </cell>
          <cell r="GF363">
            <v>0</v>
          </cell>
          <cell r="GG363">
            <v>0</v>
          </cell>
          <cell r="GH363">
            <v>0</v>
          </cell>
          <cell r="GI363">
            <v>0</v>
          </cell>
          <cell r="GJ363">
            <v>0</v>
          </cell>
          <cell r="GK363">
            <v>0</v>
          </cell>
          <cell r="GL363">
            <v>0</v>
          </cell>
          <cell r="GM363">
            <v>0</v>
          </cell>
          <cell r="GN363">
            <v>0</v>
          </cell>
          <cell r="GO363">
            <v>0</v>
          </cell>
          <cell r="GP363">
            <v>0</v>
          </cell>
          <cell r="GQ363">
            <v>0</v>
          </cell>
          <cell r="GR363">
            <v>0</v>
          </cell>
          <cell r="GS363">
            <v>0</v>
          </cell>
          <cell r="GT363">
            <v>0</v>
          </cell>
          <cell r="GU363">
            <v>0</v>
          </cell>
          <cell r="GV363">
            <v>0</v>
          </cell>
          <cell r="GW363">
            <v>0</v>
          </cell>
          <cell r="GX363">
            <v>0</v>
          </cell>
          <cell r="GY363">
            <v>0</v>
          </cell>
          <cell r="GZ363">
            <v>0</v>
          </cell>
          <cell r="HA363">
            <v>0</v>
          </cell>
          <cell r="HB363">
            <v>0</v>
          </cell>
          <cell r="HC363">
            <v>0</v>
          </cell>
          <cell r="HD363">
            <v>0</v>
          </cell>
          <cell r="HE363">
            <v>0</v>
          </cell>
          <cell r="HF363">
            <v>0</v>
          </cell>
          <cell r="HG363">
            <v>0</v>
          </cell>
          <cell r="HH363">
            <v>0</v>
          </cell>
          <cell r="HI363">
            <v>0</v>
          </cell>
          <cell r="HJ363">
            <v>0</v>
          </cell>
          <cell r="HK363">
            <v>0</v>
          </cell>
          <cell r="HL363">
            <v>0</v>
          </cell>
          <cell r="HM363">
            <v>0</v>
          </cell>
          <cell r="HN363">
            <v>0</v>
          </cell>
          <cell r="HO363">
            <v>0</v>
          </cell>
          <cell r="HP363">
            <v>0</v>
          </cell>
          <cell r="HQ363">
            <v>0</v>
          </cell>
          <cell r="HR363">
            <v>0</v>
          </cell>
          <cell r="HS363">
            <v>0</v>
          </cell>
          <cell r="HT363">
            <v>0</v>
          </cell>
          <cell r="HU363">
            <v>0</v>
          </cell>
          <cell r="HV363">
            <v>0</v>
          </cell>
          <cell r="HW363">
            <v>0</v>
          </cell>
          <cell r="HX363">
            <v>0</v>
          </cell>
          <cell r="HY363">
            <v>0</v>
          </cell>
          <cell r="HZ363">
            <v>0</v>
          </cell>
          <cell r="IA363">
            <v>0</v>
          </cell>
          <cell r="IB363">
            <v>0</v>
          </cell>
          <cell r="IC363">
            <v>0</v>
          </cell>
          <cell r="ID363">
            <v>0</v>
          </cell>
          <cell r="IE363">
            <v>0</v>
          </cell>
          <cell r="IF363">
            <v>0</v>
          </cell>
          <cell r="IG363">
            <v>0</v>
          </cell>
          <cell r="IH363">
            <v>0</v>
          </cell>
          <cell r="II363">
            <v>0</v>
          </cell>
          <cell r="IJ363">
            <v>0</v>
          </cell>
          <cell r="IK363">
            <v>0</v>
          </cell>
          <cell r="IL363">
            <v>0</v>
          </cell>
          <cell r="IM363">
            <v>0</v>
          </cell>
          <cell r="IN363">
            <v>0</v>
          </cell>
          <cell r="IO363">
            <v>0</v>
          </cell>
          <cell r="IP363">
            <v>0</v>
          </cell>
          <cell r="IQ363">
            <v>0</v>
          </cell>
          <cell r="IR363">
            <v>0</v>
          </cell>
          <cell r="IS363">
            <v>0</v>
          </cell>
          <cell r="IT363">
            <v>0</v>
          </cell>
          <cell r="IU363">
            <v>0</v>
          </cell>
          <cell r="IV363">
            <v>0</v>
          </cell>
          <cell r="IW363">
            <v>0</v>
          </cell>
          <cell r="IX363">
            <v>0</v>
          </cell>
          <cell r="IY363">
            <v>0</v>
          </cell>
          <cell r="IZ363">
            <v>0</v>
          </cell>
          <cell r="JA363">
            <v>0</v>
          </cell>
        </row>
        <row r="364">
          <cell r="L364">
            <v>0</v>
          </cell>
          <cell r="M364">
            <v>0</v>
          </cell>
          <cell r="N364">
            <v>0</v>
          </cell>
          <cell r="O364">
            <v>3.4344E-2</v>
          </cell>
          <cell r="P364">
            <v>2.0109591847499999</v>
          </cell>
          <cell r="Q364">
            <v>2.1629194095051001</v>
          </cell>
          <cell r="R364">
            <v>2.1952467214940299</v>
          </cell>
          <cell r="S364">
            <v>2.2277790251356637</v>
          </cell>
          <cell r="T364">
            <v>2.2605023903028072</v>
          </cell>
          <cell r="U364">
            <v>2.2934022472964992</v>
          </cell>
          <cell r="V364">
            <v>2.3264627247838576</v>
          </cell>
          <cell r="W364">
            <v>2.3596671861424952</v>
          </cell>
          <cell r="X364">
            <v>2.3916616134086435</v>
          </cell>
          <cell r="Y364">
            <v>2.411536099060219</v>
          </cell>
          <cell r="Z364">
            <v>2.4311999245327711</v>
          </cell>
          <cell r="AA364">
            <v>2.4508598503815846</v>
          </cell>
          <cell r="AB364">
            <v>2.4701091767376853</v>
          </cell>
          <cell r="AC364">
            <v>2.4891074078942785</v>
          </cell>
          <cell r="AD364">
            <v>2.2785427518173691</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cell r="BM364">
            <v>0</v>
          </cell>
          <cell r="BN364">
            <v>0</v>
          </cell>
          <cell r="BO364">
            <v>0</v>
          </cell>
          <cell r="BP364">
            <v>0</v>
          </cell>
          <cell r="BQ364">
            <v>0</v>
          </cell>
          <cell r="BR364">
            <v>0</v>
          </cell>
          <cell r="BS364">
            <v>0</v>
          </cell>
          <cell r="BT364">
            <v>0</v>
          </cell>
          <cell r="BU364">
            <v>0</v>
          </cell>
          <cell r="BV364">
            <v>0</v>
          </cell>
          <cell r="BW364">
            <v>0</v>
          </cell>
          <cell r="BX364">
            <v>0</v>
          </cell>
          <cell r="BY364">
            <v>0</v>
          </cell>
          <cell r="BZ364">
            <v>0</v>
          </cell>
          <cell r="CA364">
            <v>0</v>
          </cell>
          <cell r="CB364">
            <v>0</v>
          </cell>
          <cell r="CC364">
            <v>0</v>
          </cell>
          <cell r="CD364">
            <v>0</v>
          </cell>
          <cell r="CE364">
            <v>0</v>
          </cell>
          <cell r="CF364">
            <v>0</v>
          </cell>
          <cell r="CG364">
            <v>0</v>
          </cell>
          <cell r="CH364">
            <v>0</v>
          </cell>
          <cell r="CI364">
            <v>0</v>
          </cell>
          <cell r="CJ364">
            <v>0</v>
          </cell>
          <cell r="CK364">
            <v>0</v>
          </cell>
          <cell r="CL364">
            <v>0</v>
          </cell>
          <cell r="CM364">
            <v>0</v>
          </cell>
          <cell r="CN364">
            <v>0</v>
          </cell>
          <cell r="CO364">
            <v>0</v>
          </cell>
          <cell r="CP364">
            <v>0</v>
          </cell>
          <cell r="CQ364">
            <v>0</v>
          </cell>
          <cell r="CR364">
            <v>0</v>
          </cell>
          <cell r="CS364">
            <v>0</v>
          </cell>
          <cell r="CT364">
            <v>0</v>
          </cell>
          <cell r="CU364">
            <v>0</v>
          </cell>
          <cell r="CV364">
            <v>0</v>
          </cell>
          <cell r="CW364">
            <v>0</v>
          </cell>
          <cell r="CX364">
            <v>0</v>
          </cell>
          <cell r="CY364">
            <v>0</v>
          </cell>
          <cell r="CZ364">
            <v>0</v>
          </cell>
          <cell r="DA364">
            <v>0</v>
          </cell>
          <cell r="DB364">
            <v>0</v>
          </cell>
          <cell r="DC364">
            <v>0</v>
          </cell>
          <cell r="DD364">
            <v>0</v>
          </cell>
          <cell r="DE364">
            <v>0</v>
          </cell>
          <cell r="DF364">
            <v>0</v>
          </cell>
          <cell r="DG364">
            <v>0</v>
          </cell>
          <cell r="DH364">
            <v>0</v>
          </cell>
          <cell r="DI364">
            <v>0</v>
          </cell>
          <cell r="DJ364">
            <v>0</v>
          </cell>
          <cell r="DK364">
            <v>0</v>
          </cell>
          <cell r="DL364">
            <v>0</v>
          </cell>
          <cell r="DM364">
            <v>0</v>
          </cell>
          <cell r="DN364">
            <v>0</v>
          </cell>
          <cell r="DO364">
            <v>0</v>
          </cell>
          <cell r="DP364">
            <v>0</v>
          </cell>
          <cell r="DQ364">
            <v>0</v>
          </cell>
          <cell r="DR364">
            <v>0</v>
          </cell>
          <cell r="DS364">
            <v>0</v>
          </cell>
          <cell r="DT364">
            <v>0</v>
          </cell>
          <cell r="DU364">
            <v>0</v>
          </cell>
          <cell r="DV364">
            <v>0</v>
          </cell>
          <cell r="DW364">
            <v>0</v>
          </cell>
          <cell r="DX364">
            <v>0</v>
          </cell>
          <cell r="DY364">
            <v>0</v>
          </cell>
          <cell r="DZ364">
            <v>0</v>
          </cell>
          <cell r="EA364">
            <v>0</v>
          </cell>
          <cell r="EB364">
            <v>0</v>
          </cell>
          <cell r="EC364">
            <v>0</v>
          </cell>
          <cell r="ED364">
            <v>0</v>
          </cell>
          <cell r="EE364">
            <v>0</v>
          </cell>
          <cell r="EF364">
            <v>0</v>
          </cell>
          <cell r="EG364">
            <v>0</v>
          </cell>
          <cell r="EH364">
            <v>0</v>
          </cell>
          <cell r="EI364">
            <v>0</v>
          </cell>
          <cell r="EJ364">
            <v>0</v>
          </cell>
          <cell r="EK364">
            <v>0</v>
          </cell>
          <cell r="EL364">
            <v>0</v>
          </cell>
          <cell r="EM364">
            <v>0</v>
          </cell>
          <cell r="EN364">
            <v>0</v>
          </cell>
          <cell r="EO364">
            <v>0</v>
          </cell>
          <cell r="EP364">
            <v>0</v>
          </cell>
          <cell r="EQ364">
            <v>0</v>
          </cell>
          <cell r="ER364">
            <v>0</v>
          </cell>
          <cell r="ES364">
            <v>0</v>
          </cell>
          <cell r="ET364">
            <v>0</v>
          </cell>
          <cell r="EU364">
            <v>0</v>
          </cell>
          <cell r="EV364">
            <v>0</v>
          </cell>
          <cell r="EW364">
            <v>0</v>
          </cell>
          <cell r="EX364">
            <v>0</v>
          </cell>
          <cell r="EY364">
            <v>0</v>
          </cell>
          <cell r="EZ364">
            <v>0</v>
          </cell>
          <cell r="FA364">
            <v>0</v>
          </cell>
          <cell r="FB364">
            <v>0</v>
          </cell>
          <cell r="FC364">
            <v>0</v>
          </cell>
          <cell r="FD364">
            <v>0</v>
          </cell>
          <cell r="FE364">
            <v>0</v>
          </cell>
          <cell r="FF364">
            <v>0</v>
          </cell>
          <cell r="FG364">
            <v>0</v>
          </cell>
          <cell r="FH364">
            <v>0</v>
          </cell>
          <cell r="FI364">
            <v>0</v>
          </cell>
          <cell r="FJ364">
            <v>0</v>
          </cell>
          <cell r="FK364">
            <v>0</v>
          </cell>
          <cell r="FL364">
            <v>0</v>
          </cell>
          <cell r="FM364">
            <v>0</v>
          </cell>
          <cell r="FN364">
            <v>0</v>
          </cell>
          <cell r="FO364">
            <v>0</v>
          </cell>
          <cell r="FP364">
            <v>0</v>
          </cell>
          <cell r="FQ364">
            <v>0</v>
          </cell>
          <cell r="FR364">
            <v>0</v>
          </cell>
          <cell r="FS364">
            <v>0</v>
          </cell>
          <cell r="FT364">
            <v>0</v>
          </cell>
          <cell r="FU364">
            <v>0</v>
          </cell>
          <cell r="FV364">
            <v>0</v>
          </cell>
          <cell r="FW364">
            <v>0</v>
          </cell>
          <cell r="FX364">
            <v>0</v>
          </cell>
          <cell r="FY364">
            <v>0</v>
          </cell>
          <cell r="FZ364">
            <v>0</v>
          </cell>
          <cell r="GA364">
            <v>0</v>
          </cell>
          <cell r="GB364">
            <v>0</v>
          </cell>
          <cell r="GC364">
            <v>0</v>
          </cell>
          <cell r="GD364">
            <v>0</v>
          </cell>
          <cell r="GE364">
            <v>0</v>
          </cell>
          <cell r="GF364">
            <v>0</v>
          </cell>
          <cell r="GG364">
            <v>0</v>
          </cell>
          <cell r="GH364">
            <v>0</v>
          </cell>
          <cell r="GI364">
            <v>0</v>
          </cell>
          <cell r="GJ364">
            <v>0</v>
          </cell>
          <cell r="GK364">
            <v>0</v>
          </cell>
          <cell r="GL364">
            <v>0</v>
          </cell>
          <cell r="GM364">
            <v>0</v>
          </cell>
          <cell r="GN364">
            <v>0</v>
          </cell>
          <cell r="GO364">
            <v>0</v>
          </cell>
          <cell r="GP364">
            <v>0</v>
          </cell>
          <cell r="GQ364">
            <v>0</v>
          </cell>
          <cell r="GR364">
            <v>0</v>
          </cell>
          <cell r="GS364">
            <v>0</v>
          </cell>
          <cell r="GT364">
            <v>0</v>
          </cell>
          <cell r="GU364">
            <v>0</v>
          </cell>
          <cell r="GV364">
            <v>0</v>
          </cell>
          <cell r="GW364">
            <v>0</v>
          </cell>
          <cell r="GX364">
            <v>0</v>
          </cell>
          <cell r="GY364">
            <v>0</v>
          </cell>
          <cell r="GZ364">
            <v>0</v>
          </cell>
          <cell r="HA364">
            <v>0</v>
          </cell>
          <cell r="HB364">
            <v>0</v>
          </cell>
          <cell r="HC364">
            <v>0</v>
          </cell>
          <cell r="HD364">
            <v>0</v>
          </cell>
          <cell r="HE364">
            <v>0</v>
          </cell>
          <cell r="HF364">
            <v>0</v>
          </cell>
          <cell r="HG364">
            <v>0</v>
          </cell>
          <cell r="HH364">
            <v>0</v>
          </cell>
          <cell r="HI364">
            <v>0</v>
          </cell>
          <cell r="HJ364">
            <v>0</v>
          </cell>
          <cell r="HK364">
            <v>0</v>
          </cell>
          <cell r="HL364">
            <v>0</v>
          </cell>
          <cell r="HM364">
            <v>0</v>
          </cell>
          <cell r="HN364">
            <v>0</v>
          </cell>
          <cell r="HO364">
            <v>0</v>
          </cell>
          <cell r="HP364">
            <v>0</v>
          </cell>
          <cell r="HQ364">
            <v>0</v>
          </cell>
          <cell r="HR364">
            <v>0</v>
          </cell>
          <cell r="HS364">
            <v>0</v>
          </cell>
          <cell r="HT364">
            <v>0</v>
          </cell>
          <cell r="HU364">
            <v>0</v>
          </cell>
          <cell r="HV364">
            <v>0</v>
          </cell>
          <cell r="HW364">
            <v>0</v>
          </cell>
          <cell r="HX364">
            <v>0</v>
          </cell>
          <cell r="HY364">
            <v>0</v>
          </cell>
          <cell r="HZ364">
            <v>0</v>
          </cell>
          <cell r="IA364">
            <v>0</v>
          </cell>
          <cell r="IB364">
            <v>0</v>
          </cell>
          <cell r="IC364">
            <v>0</v>
          </cell>
          <cell r="ID364">
            <v>0</v>
          </cell>
          <cell r="IE364">
            <v>0</v>
          </cell>
          <cell r="IF364">
            <v>0</v>
          </cell>
          <cell r="IG364">
            <v>0</v>
          </cell>
          <cell r="IH364">
            <v>0</v>
          </cell>
          <cell r="II364">
            <v>0</v>
          </cell>
          <cell r="IJ364">
            <v>0</v>
          </cell>
          <cell r="IK364">
            <v>0</v>
          </cell>
          <cell r="IL364">
            <v>0</v>
          </cell>
          <cell r="IM364">
            <v>0</v>
          </cell>
          <cell r="IN364">
            <v>0</v>
          </cell>
          <cell r="IO364">
            <v>0</v>
          </cell>
          <cell r="IP364">
            <v>0</v>
          </cell>
          <cell r="IQ364">
            <v>0</v>
          </cell>
          <cell r="IR364">
            <v>0</v>
          </cell>
          <cell r="IS364">
            <v>0</v>
          </cell>
          <cell r="IT364">
            <v>0</v>
          </cell>
          <cell r="IU364">
            <v>0</v>
          </cell>
          <cell r="IV364">
            <v>0</v>
          </cell>
          <cell r="IW364">
            <v>0</v>
          </cell>
          <cell r="IX364">
            <v>0</v>
          </cell>
          <cell r="IY364">
            <v>0</v>
          </cell>
          <cell r="IZ364">
            <v>0</v>
          </cell>
          <cell r="JA364">
            <v>0</v>
          </cell>
        </row>
        <row r="365">
          <cell r="L365">
            <v>0</v>
          </cell>
          <cell r="M365">
            <v>0</v>
          </cell>
          <cell r="N365">
            <v>0</v>
          </cell>
          <cell r="O365">
            <v>3.0455999999999997E-2</v>
          </cell>
          <cell r="P365">
            <v>1.8012857152500001</v>
          </cell>
          <cell r="Q365">
            <v>1.9573194884949001</v>
          </cell>
          <cell r="R365">
            <v>2.0073969544659702</v>
          </cell>
          <cell r="S365">
            <v>2.0589176827533362</v>
          </cell>
          <cell r="T365">
            <v>2.1119280774931926</v>
          </cell>
          <cell r="U365">
            <v>2.1664767664915008</v>
          </cell>
          <cell r="V365">
            <v>2.2226136791881426</v>
          </cell>
          <cell r="W365">
            <v>2.280391094410505</v>
          </cell>
          <cell r="X365">
            <v>2.3385559340253566</v>
          </cell>
          <cell r="Y365">
            <v>2.3863405297317812</v>
          </cell>
          <cell r="Z365">
            <v>2.4353053083472287</v>
          </cell>
          <cell r="AA365">
            <v>2.4857142852374161</v>
          </cell>
          <cell r="AB365">
            <v>2.5372155907073144</v>
          </cell>
          <cell r="AC365">
            <v>2.5900283108857223</v>
          </cell>
          <cell r="AD365">
            <v>2.402434648776631</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cell r="BM365">
            <v>0</v>
          </cell>
          <cell r="BN365">
            <v>0</v>
          </cell>
          <cell r="BO365">
            <v>0</v>
          </cell>
          <cell r="BP365">
            <v>0</v>
          </cell>
          <cell r="BQ365">
            <v>0</v>
          </cell>
          <cell r="BR365">
            <v>0</v>
          </cell>
          <cell r="BS365">
            <v>0</v>
          </cell>
          <cell r="BT365">
            <v>0</v>
          </cell>
          <cell r="BU365">
            <v>0</v>
          </cell>
          <cell r="BV365">
            <v>0</v>
          </cell>
          <cell r="BW365">
            <v>0</v>
          </cell>
          <cell r="BX365">
            <v>0</v>
          </cell>
          <cell r="BY365">
            <v>0</v>
          </cell>
          <cell r="BZ365">
            <v>0</v>
          </cell>
          <cell r="CA365">
            <v>0</v>
          </cell>
          <cell r="CB365">
            <v>0</v>
          </cell>
          <cell r="CC365">
            <v>0</v>
          </cell>
          <cell r="CD365">
            <v>0</v>
          </cell>
          <cell r="CE365">
            <v>0</v>
          </cell>
          <cell r="CF365">
            <v>0</v>
          </cell>
          <cell r="CG365">
            <v>0</v>
          </cell>
          <cell r="CH365">
            <v>0</v>
          </cell>
          <cell r="CI365">
            <v>0</v>
          </cell>
          <cell r="CJ365">
            <v>0</v>
          </cell>
          <cell r="CK365">
            <v>0</v>
          </cell>
          <cell r="CL365">
            <v>0</v>
          </cell>
          <cell r="CM365">
            <v>0</v>
          </cell>
          <cell r="CN365">
            <v>0</v>
          </cell>
          <cell r="CO365">
            <v>0</v>
          </cell>
          <cell r="CP365">
            <v>0</v>
          </cell>
          <cell r="CQ365">
            <v>0</v>
          </cell>
          <cell r="CR365">
            <v>0</v>
          </cell>
          <cell r="CS365">
            <v>0</v>
          </cell>
          <cell r="CT365">
            <v>0</v>
          </cell>
          <cell r="CU365">
            <v>0</v>
          </cell>
          <cell r="CV365">
            <v>0</v>
          </cell>
          <cell r="CW365">
            <v>0</v>
          </cell>
          <cell r="CX365">
            <v>0</v>
          </cell>
          <cell r="CY365">
            <v>0</v>
          </cell>
          <cell r="CZ365">
            <v>0</v>
          </cell>
          <cell r="DA365">
            <v>0</v>
          </cell>
          <cell r="DB365">
            <v>0</v>
          </cell>
          <cell r="DC365">
            <v>0</v>
          </cell>
          <cell r="DD365">
            <v>0</v>
          </cell>
          <cell r="DE365">
            <v>0</v>
          </cell>
          <cell r="DF365">
            <v>0</v>
          </cell>
          <cell r="DG365">
            <v>0</v>
          </cell>
          <cell r="DH365">
            <v>0</v>
          </cell>
          <cell r="DI365">
            <v>0</v>
          </cell>
          <cell r="DJ365">
            <v>0</v>
          </cell>
          <cell r="DK365">
            <v>0</v>
          </cell>
          <cell r="DL365">
            <v>0</v>
          </cell>
          <cell r="DM365">
            <v>0</v>
          </cell>
          <cell r="DN365">
            <v>0</v>
          </cell>
          <cell r="DO365">
            <v>0</v>
          </cell>
          <cell r="DP365">
            <v>0</v>
          </cell>
          <cell r="DQ365">
            <v>0</v>
          </cell>
          <cell r="DR365">
            <v>0</v>
          </cell>
          <cell r="DS365">
            <v>0</v>
          </cell>
          <cell r="DT365">
            <v>0</v>
          </cell>
          <cell r="DU365">
            <v>0</v>
          </cell>
          <cell r="DV365">
            <v>0</v>
          </cell>
          <cell r="DW365">
            <v>0</v>
          </cell>
          <cell r="DX365">
            <v>0</v>
          </cell>
          <cell r="DY365">
            <v>0</v>
          </cell>
          <cell r="DZ365">
            <v>0</v>
          </cell>
          <cell r="EA365">
            <v>0</v>
          </cell>
          <cell r="EB365">
            <v>0</v>
          </cell>
          <cell r="EC365">
            <v>0</v>
          </cell>
          <cell r="ED365">
            <v>0</v>
          </cell>
          <cell r="EE365">
            <v>0</v>
          </cell>
          <cell r="EF365">
            <v>0</v>
          </cell>
          <cell r="EG365">
            <v>0</v>
          </cell>
          <cell r="EH365">
            <v>0</v>
          </cell>
          <cell r="EI365">
            <v>0</v>
          </cell>
          <cell r="EJ365">
            <v>0</v>
          </cell>
          <cell r="EK365">
            <v>0</v>
          </cell>
          <cell r="EL365">
            <v>0</v>
          </cell>
          <cell r="EM365">
            <v>0</v>
          </cell>
          <cell r="EN365">
            <v>0</v>
          </cell>
          <cell r="EO365">
            <v>0</v>
          </cell>
          <cell r="EP365">
            <v>0</v>
          </cell>
          <cell r="EQ365">
            <v>0</v>
          </cell>
          <cell r="ER365">
            <v>0</v>
          </cell>
          <cell r="ES365">
            <v>0</v>
          </cell>
          <cell r="ET365">
            <v>0</v>
          </cell>
          <cell r="EU365">
            <v>0</v>
          </cell>
          <cell r="EV365">
            <v>0</v>
          </cell>
          <cell r="EW365">
            <v>0</v>
          </cell>
          <cell r="EX365">
            <v>0</v>
          </cell>
          <cell r="EY365">
            <v>0</v>
          </cell>
          <cell r="EZ365">
            <v>0</v>
          </cell>
          <cell r="FA365">
            <v>0</v>
          </cell>
          <cell r="FB365">
            <v>0</v>
          </cell>
          <cell r="FC365">
            <v>0</v>
          </cell>
          <cell r="FD365">
            <v>0</v>
          </cell>
          <cell r="FE365">
            <v>0</v>
          </cell>
          <cell r="FF365">
            <v>0</v>
          </cell>
          <cell r="FG365">
            <v>0</v>
          </cell>
          <cell r="FH365">
            <v>0</v>
          </cell>
          <cell r="FI365">
            <v>0</v>
          </cell>
          <cell r="FJ365">
            <v>0</v>
          </cell>
          <cell r="FK365">
            <v>0</v>
          </cell>
          <cell r="FL365">
            <v>0</v>
          </cell>
          <cell r="FM365">
            <v>0</v>
          </cell>
          <cell r="FN365">
            <v>0</v>
          </cell>
          <cell r="FO365">
            <v>0</v>
          </cell>
          <cell r="FP365">
            <v>0</v>
          </cell>
          <cell r="FQ365">
            <v>0</v>
          </cell>
          <cell r="FR365">
            <v>0</v>
          </cell>
          <cell r="FS365">
            <v>0</v>
          </cell>
          <cell r="FT365">
            <v>0</v>
          </cell>
          <cell r="FU365">
            <v>0</v>
          </cell>
          <cell r="FV365">
            <v>0</v>
          </cell>
          <cell r="FW365">
            <v>0</v>
          </cell>
          <cell r="FX365">
            <v>0</v>
          </cell>
          <cell r="FY365">
            <v>0</v>
          </cell>
          <cell r="FZ365">
            <v>0</v>
          </cell>
          <cell r="GA365">
            <v>0</v>
          </cell>
          <cell r="GB365">
            <v>0</v>
          </cell>
          <cell r="GC365">
            <v>0</v>
          </cell>
          <cell r="GD365">
            <v>0</v>
          </cell>
          <cell r="GE365">
            <v>0</v>
          </cell>
          <cell r="GF365">
            <v>0</v>
          </cell>
          <cell r="GG365">
            <v>0</v>
          </cell>
          <cell r="GH365">
            <v>0</v>
          </cell>
          <cell r="GI365">
            <v>0</v>
          </cell>
          <cell r="GJ365">
            <v>0</v>
          </cell>
          <cell r="GK365">
            <v>0</v>
          </cell>
          <cell r="GL365">
            <v>0</v>
          </cell>
          <cell r="GM365">
            <v>0</v>
          </cell>
          <cell r="GN365">
            <v>0</v>
          </cell>
          <cell r="GO365">
            <v>0</v>
          </cell>
          <cell r="GP365">
            <v>0</v>
          </cell>
          <cell r="GQ365">
            <v>0</v>
          </cell>
          <cell r="GR365">
            <v>0</v>
          </cell>
          <cell r="GS365">
            <v>0</v>
          </cell>
          <cell r="GT365">
            <v>0</v>
          </cell>
          <cell r="GU365">
            <v>0</v>
          </cell>
          <cell r="GV365">
            <v>0</v>
          </cell>
          <cell r="GW365">
            <v>0</v>
          </cell>
          <cell r="GX365">
            <v>0</v>
          </cell>
          <cell r="GY365">
            <v>0</v>
          </cell>
          <cell r="GZ365">
            <v>0</v>
          </cell>
          <cell r="HA365">
            <v>0</v>
          </cell>
          <cell r="HB365">
            <v>0</v>
          </cell>
          <cell r="HC365">
            <v>0</v>
          </cell>
          <cell r="HD365">
            <v>0</v>
          </cell>
          <cell r="HE365">
            <v>0</v>
          </cell>
          <cell r="HF365">
            <v>0</v>
          </cell>
          <cell r="HG365">
            <v>0</v>
          </cell>
          <cell r="HH365">
            <v>0</v>
          </cell>
          <cell r="HI365">
            <v>0</v>
          </cell>
          <cell r="HJ365">
            <v>0</v>
          </cell>
          <cell r="HK365">
            <v>0</v>
          </cell>
          <cell r="HL365">
            <v>0</v>
          </cell>
          <cell r="HM365">
            <v>0</v>
          </cell>
          <cell r="HN365">
            <v>0</v>
          </cell>
          <cell r="HO365">
            <v>0</v>
          </cell>
          <cell r="HP365">
            <v>0</v>
          </cell>
          <cell r="HQ365">
            <v>0</v>
          </cell>
          <cell r="HR365">
            <v>0</v>
          </cell>
          <cell r="HS365">
            <v>0</v>
          </cell>
          <cell r="HT365">
            <v>0</v>
          </cell>
          <cell r="HU365">
            <v>0</v>
          </cell>
          <cell r="HV365">
            <v>0</v>
          </cell>
          <cell r="HW365">
            <v>0</v>
          </cell>
          <cell r="HX365">
            <v>0</v>
          </cell>
          <cell r="HY365">
            <v>0</v>
          </cell>
          <cell r="HZ365">
            <v>0</v>
          </cell>
          <cell r="IA365">
            <v>0</v>
          </cell>
          <cell r="IB365">
            <v>0</v>
          </cell>
          <cell r="IC365">
            <v>0</v>
          </cell>
          <cell r="ID365">
            <v>0</v>
          </cell>
          <cell r="IE365">
            <v>0</v>
          </cell>
          <cell r="IF365">
            <v>0</v>
          </cell>
          <cell r="IG365">
            <v>0</v>
          </cell>
          <cell r="IH365">
            <v>0</v>
          </cell>
          <cell r="II365">
            <v>0</v>
          </cell>
          <cell r="IJ365">
            <v>0</v>
          </cell>
          <cell r="IK365">
            <v>0</v>
          </cell>
          <cell r="IL365">
            <v>0</v>
          </cell>
          <cell r="IM365">
            <v>0</v>
          </cell>
          <cell r="IN365">
            <v>0</v>
          </cell>
          <cell r="IO365">
            <v>0</v>
          </cell>
          <cell r="IP365">
            <v>0</v>
          </cell>
          <cell r="IQ365">
            <v>0</v>
          </cell>
          <cell r="IR365">
            <v>0</v>
          </cell>
          <cell r="IS365">
            <v>0</v>
          </cell>
          <cell r="IT365">
            <v>0</v>
          </cell>
          <cell r="IU365">
            <v>0</v>
          </cell>
          <cell r="IV365">
            <v>0</v>
          </cell>
          <cell r="IW365">
            <v>0</v>
          </cell>
          <cell r="IX365">
            <v>0</v>
          </cell>
          <cell r="IY365">
            <v>0</v>
          </cell>
          <cell r="IZ365">
            <v>0</v>
          </cell>
          <cell r="JA365">
            <v>0</v>
          </cell>
        </row>
        <row r="375">
          <cell r="L375">
            <v>0.25</v>
          </cell>
          <cell r="M375">
            <v>0.25</v>
          </cell>
          <cell r="N375">
            <v>0.22</v>
          </cell>
          <cell r="O375">
            <v>0.22</v>
          </cell>
          <cell r="P375">
            <v>0.22</v>
          </cell>
          <cell r="Q375">
            <v>0.22</v>
          </cell>
          <cell r="R375">
            <v>0.22</v>
          </cell>
          <cell r="S375">
            <v>0.22</v>
          </cell>
          <cell r="T375">
            <v>0.22</v>
          </cell>
          <cell r="U375">
            <v>0.22</v>
          </cell>
          <cell r="V375">
            <v>0.22</v>
          </cell>
          <cell r="W375">
            <v>0.22</v>
          </cell>
          <cell r="X375">
            <v>0.22</v>
          </cell>
          <cell r="Y375">
            <v>0.22</v>
          </cell>
          <cell r="Z375">
            <v>0.22</v>
          </cell>
          <cell r="AA375">
            <v>0.22</v>
          </cell>
          <cell r="AB375">
            <v>0.22</v>
          </cell>
          <cell r="AC375">
            <v>0.22</v>
          </cell>
          <cell r="AD375">
            <v>0.22</v>
          </cell>
          <cell r="AE375">
            <v>0.22</v>
          </cell>
          <cell r="AF375">
            <v>0.22</v>
          </cell>
          <cell r="AG375">
            <v>0.22</v>
          </cell>
          <cell r="AH375">
            <v>0.22</v>
          </cell>
          <cell r="AI375">
            <v>0.22</v>
          </cell>
          <cell r="AJ375">
            <v>0.22</v>
          </cell>
          <cell r="AK375">
            <v>0.22</v>
          </cell>
          <cell r="AL375">
            <v>0.22</v>
          </cell>
          <cell r="AM375">
            <v>0.22</v>
          </cell>
          <cell r="AN375">
            <v>0.22</v>
          </cell>
          <cell r="AO375">
            <v>0.22</v>
          </cell>
          <cell r="AP375">
            <v>0.22</v>
          </cell>
          <cell r="AQ375">
            <v>0.22</v>
          </cell>
          <cell r="AR375">
            <v>0.22</v>
          </cell>
          <cell r="AS375">
            <v>0.22</v>
          </cell>
          <cell r="AT375">
            <v>0.22</v>
          </cell>
          <cell r="AU375">
            <v>0.22</v>
          </cell>
          <cell r="AV375">
            <v>0.22</v>
          </cell>
          <cell r="AW375">
            <v>0.22</v>
          </cell>
          <cell r="AX375">
            <v>0.22</v>
          </cell>
          <cell r="AY375">
            <v>0.22</v>
          </cell>
          <cell r="AZ375">
            <v>0.22</v>
          </cell>
          <cell r="BA375">
            <v>0.22</v>
          </cell>
          <cell r="BB375">
            <v>0.22</v>
          </cell>
          <cell r="BC375">
            <v>0.22</v>
          </cell>
          <cell r="BD375">
            <v>0.22</v>
          </cell>
          <cell r="BE375">
            <v>0.22</v>
          </cell>
          <cell r="BF375">
            <v>0.22</v>
          </cell>
          <cell r="BG375">
            <v>0.22</v>
          </cell>
          <cell r="BH375">
            <v>0.22</v>
          </cell>
          <cell r="BI375">
            <v>0.22</v>
          </cell>
          <cell r="BJ375">
            <v>0.22</v>
          </cell>
          <cell r="BK375">
            <v>0.22</v>
          </cell>
          <cell r="BL375">
            <v>0.22</v>
          </cell>
          <cell r="BM375">
            <v>0.22</v>
          </cell>
          <cell r="BN375">
            <v>0.22</v>
          </cell>
          <cell r="BO375">
            <v>0.22</v>
          </cell>
          <cell r="BP375">
            <v>0.22</v>
          </cell>
          <cell r="BQ375">
            <v>0.22</v>
          </cell>
          <cell r="BR375">
            <v>0.22</v>
          </cell>
          <cell r="BS375">
            <v>0.22</v>
          </cell>
          <cell r="BT375">
            <v>0.22</v>
          </cell>
          <cell r="BU375">
            <v>0.22</v>
          </cell>
          <cell r="BV375">
            <v>0.22</v>
          </cell>
          <cell r="BW375">
            <v>0.22</v>
          </cell>
          <cell r="BX375">
            <v>0.22</v>
          </cell>
          <cell r="BY375">
            <v>0.22</v>
          </cell>
          <cell r="BZ375">
            <v>0.22</v>
          </cell>
          <cell r="CA375">
            <v>0.22</v>
          </cell>
          <cell r="CB375">
            <v>0.22</v>
          </cell>
          <cell r="CC375">
            <v>0.22</v>
          </cell>
          <cell r="CD375">
            <v>0.22</v>
          </cell>
          <cell r="CE375">
            <v>0.22</v>
          </cell>
          <cell r="CF375">
            <v>0.22</v>
          </cell>
          <cell r="CG375">
            <v>0.22</v>
          </cell>
          <cell r="CH375">
            <v>0.22</v>
          </cell>
          <cell r="CI375">
            <v>0.22</v>
          </cell>
          <cell r="CJ375">
            <v>0.22</v>
          </cell>
          <cell r="CK375">
            <v>0.22</v>
          </cell>
          <cell r="CL375">
            <v>0.22</v>
          </cell>
          <cell r="CM375">
            <v>0.22</v>
          </cell>
          <cell r="CN375">
            <v>0.22</v>
          </cell>
          <cell r="CO375">
            <v>0.22</v>
          </cell>
          <cell r="CP375">
            <v>0.22</v>
          </cell>
          <cell r="CQ375">
            <v>0.22</v>
          </cell>
          <cell r="CR375">
            <v>0.22</v>
          </cell>
          <cell r="CS375">
            <v>0.22</v>
          </cell>
          <cell r="CT375">
            <v>0.22</v>
          </cell>
          <cell r="CU375">
            <v>0.22</v>
          </cell>
          <cell r="CV375">
            <v>0.22</v>
          </cell>
          <cell r="CW375">
            <v>0.22</v>
          </cell>
          <cell r="CX375">
            <v>0.22</v>
          </cell>
          <cell r="CY375">
            <v>0.22</v>
          </cell>
          <cell r="CZ375">
            <v>0.22</v>
          </cell>
          <cell r="DA375">
            <v>0.22</v>
          </cell>
          <cell r="DB375">
            <v>0.22</v>
          </cell>
          <cell r="DC375">
            <v>0.22</v>
          </cell>
          <cell r="DD375">
            <v>0.22</v>
          </cell>
          <cell r="DE375">
            <v>0.22</v>
          </cell>
          <cell r="DF375">
            <v>0.22</v>
          </cell>
          <cell r="DG375">
            <v>0.22</v>
          </cell>
          <cell r="DH375">
            <v>0.22</v>
          </cell>
          <cell r="DI375">
            <v>0.22</v>
          </cell>
          <cell r="DJ375">
            <v>0.22</v>
          </cell>
          <cell r="DK375">
            <v>0.22</v>
          </cell>
          <cell r="DL375">
            <v>0.22</v>
          </cell>
          <cell r="DM375">
            <v>0.22</v>
          </cell>
          <cell r="DN375">
            <v>0.22</v>
          </cell>
          <cell r="DO375">
            <v>0.22</v>
          </cell>
          <cell r="DP375">
            <v>0.22</v>
          </cell>
          <cell r="DQ375">
            <v>0.22</v>
          </cell>
          <cell r="DR375">
            <v>0.22</v>
          </cell>
          <cell r="DS375">
            <v>0.22</v>
          </cell>
          <cell r="DT375">
            <v>0.22</v>
          </cell>
          <cell r="DU375">
            <v>0.22</v>
          </cell>
          <cell r="DV375">
            <v>0.22</v>
          </cell>
          <cell r="DW375">
            <v>0.22</v>
          </cell>
          <cell r="DX375">
            <v>0.22</v>
          </cell>
          <cell r="DY375">
            <v>0.22</v>
          </cell>
          <cell r="DZ375">
            <v>0.22</v>
          </cell>
          <cell r="EA375">
            <v>0.22</v>
          </cell>
          <cell r="EB375">
            <v>0.22</v>
          </cell>
          <cell r="EC375">
            <v>0.22</v>
          </cell>
          <cell r="ED375">
            <v>0.22</v>
          </cell>
          <cell r="EE375">
            <v>0.22</v>
          </cell>
          <cell r="EF375">
            <v>0.22</v>
          </cell>
          <cell r="EG375">
            <v>0.22</v>
          </cell>
          <cell r="EH375">
            <v>0.22</v>
          </cell>
          <cell r="EI375">
            <v>0.22</v>
          </cell>
          <cell r="EJ375">
            <v>0.22</v>
          </cell>
          <cell r="EK375">
            <v>0.22</v>
          </cell>
          <cell r="EL375">
            <v>0.22</v>
          </cell>
          <cell r="EM375">
            <v>0.22</v>
          </cell>
          <cell r="EN375">
            <v>0.22</v>
          </cell>
          <cell r="EO375">
            <v>0.22</v>
          </cell>
          <cell r="EP375">
            <v>0.22</v>
          </cell>
          <cell r="EQ375">
            <v>0.22</v>
          </cell>
          <cell r="ER375">
            <v>0.22</v>
          </cell>
          <cell r="ES375">
            <v>0.22</v>
          </cell>
          <cell r="ET375">
            <v>0.22</v>
          </cell>
          <cell r="EU375">
            <v>0.22</v>
          </cell>
          <cell r="EV375">
            <v>0.22</v>
          </cell>
          <cell r="EW375">
            <v>0.22</v>
          </cell>
          <cell r="EX375">
            <v>0.22</v>
          </cell>
          <cell r="EY375">
            <v>0.22</v>
          </cell>
          <cell r="EZ375">
            <v>0.22</v>
          </cell>
          <cell r="FA375">
            <v>0.22</v>
          </cell>
          <cell r="FB375">
            <v>0.22</v>
          </cell>
          <cell r="FC375">
            <v>0.22</v>
          </cell>
          <cell r="FD375">
            <v>0.22</v>
          </cell>
          <cell r="FE375">
            <v>0.22</v>
          </cell>
          <cell r="FF375">
            <v>0.22</v>
          </cell>
          <cell r="FG375">
            <v>0.22</v>
          </cell>
          <cell r="FH375">
            <v>0.22</v>
          </cell>
          <cell r="FI375">
            <v>0.22</v>
          </cell>
          <cell r="FJ375">
            <v>0.22</v>
          </cell>
          <cell r="FK375">
            <v>0.22</v>
          </cell>
          <cell r="FL375">
            <v>0.22</v>
          </cell>
          <cell r="FM375">
            <v>0.22</v>
          </cell>
          <cell r="FN375">
            <v>0.22</v>
          </cell>
          <cell r="FO375">
            <v>0.22</v>
          </cell>
          <cell r="FP375">
            <v>0.22</v>
          </cell>
          <cell r="FQ375">
            <v>0.22</v>
          </cell>
          <cell r="FR375">
            <v>0.22</v>
          </cell>
          <cell r="FS375">
            <v>0.22</v>
          </cell>
          <cell r="FT375">
            <v>0.22</v>
          </cell>
          <cell r="FU375">
            <v>0.22</v>
          </cell>
          <cell r="FV375">
            <v>0.22</v>
          </cell>
          <cell r="FW375">
            <v>0.22</v>
          </cell>
          <cell r="FX375">
            <v>0.22</v>
          </cell>
          <cell r="FY375">
            <v>0.22</v>
          </cell>
          <cell r="FZ375">
            <v>0.22</v>
          </cell>
          <cell r="GA375">
            <v>0.22</v>
          </cell>
          <cell r="GB375">
            <v>0.22</v>
          </cell>
          <cell r="GC375">
            <v>0.22</v>
          </cell>
          <cell r="GD375">
            <v>0.22</v>
          </cell>
          <cell r="GE375">
            <v>0.22</v>
          </cell>
          <cell r="GF375">
            <v>0.22</v>
          </cell>
          <cell r="GG375">
            <v>0.22</v>
          </cell>
          <cell r="GH375">
            <v>0.22</v>
          </cell>
          <cell r="GI375">
            <v>0.22</v>
          </cell>
          <cell r="GJ375">
            <v>0.22</v>
          </cell>
          <cell r="GK375">
            <v>0.22</v>
          </cell>
          <cell r="GL375">
            <v>0.22</v>
          </cell>
          <cell r="GM375">
            <v>0.22</v>
          </cell>
          <cell r="GN375">
            <v>0.22</v>
          </cell>
          <cell r="GO375">
            <v>0.22</v>
          </cell>
          <cell r="GP375">
            <v>0.22</v>
          </cell>
          <cell r="GQ375">
            <v>0.22</v>
          </cell>
          <cell r="GR375">
            <v>0.22</v>
          </cell>
          <cell r="GS375">
            <v>0.22</v>
          </cell>
          <cell r="GT375">
            <v>0.22</v>
          </cell>
          <cell r="GU375">
            <v>0.22</v>
          </cell>
          <cell r="GV375">
            <v>0.22</v>
          </cell>
          <cell r="GW375">
            <v>0.22</v>
          </cell>
          <cell r="GX375">
            <v>0.22</v>
          </cell>
          <cell r="GY375">
            <v>0.22</v>
          </cell>
          <cell r="GZ375">
            <v>0.22</v>
          </cell>
          <cell r="HA375">
            <v>0.22</v>
          </cell>
          <cell r="HB375">
            <v>0.22</v>
          </cell>
          <cell r="HC375">
            <v>0.22</v>
          </cell>
          <cell r="HD375">
            <v>0.22</v>
          </cell>
          <cell r="HE375">
            <v>0.22</v>
          </cell>
          <cell r="HF375">
            <v>0.22</v>
          </cell>
          <cell r="HG375">
            <v>0.22</v>
          </cell>
          <cell r="HH375">
            <v>0.22</v>
          </cell>
          <cell r="HI375">
            <v>0.22</v>
          </cell>
          <cell r="HJ375">
            <v>0.22</v>
          </cell>
          <cell r="HK375">
            <v>0.22</v>
          </cell>
          <cell r="HL375">
            <v>0.22</v>
          </cell>
          <cell r="HM375">
            <v>0.22</v>
          </cell>
          <cell r="HN375">
            <v>0.22</v>
          </cell>
          <cell r="HO375">
            <v>0.22</v>
          </cell>
          <cell r="HP375">
            <v>0.22</v>
          </cell>
          <cell r="HQ375">
            <v>0.22</v>
          </cell>
          <cell r="HR375">
            <v>0.22</v>
          </cell>
          <cell r="HS375">
            <v>0.22</v>
          </cell>
          <cell r="HT375">
            <v>0.22</v>
          </cell>
          <cell r="HU375">
            <v>0.22</v>
          </cell>
          <cell r="HV375">
            <v>0.22</v>
          </cell>
          <cell r="HW375">
            <v>0.22</v>
          </cell>
          <cell r="HX375">
            <v>0.22</v>
          </cell>
          <cell r="HY375">
            <v>0.22</v>
          </cell>
          <cell r="HZ375">
            <v>0.22</v>
          </cell>
          <cell r="IA375">
            <v>0.22</v>
          </cell>
          <cell r="IB375">
            <v>0.22</v>
          </cell>
          <cell r="IC375">
            <v>0.22</v>
          </cell>
          <cell r="ID375">
            <v>0.22</v>
          </cell>
          <cell r="IE375">
            <v>0.22</v>
          </cell>
          <cell r="IF375">
            <v>0.22</v>
          </cell>
          <cell r="IG375">
            <v>0.22</v>
          </cell>
          <cell r="IH375">
            <v>0.22</v>
          </cell>
          <cell r="II375">
            <v>0.22</v>
          </cell>
          <cell r="IJ375">
            <v>0.22</v>
          </cell>
          <cell r="IK375">
            <v>0.22</v>
          </cell>
          <cell r="IL375">
            <v>0.22</v>
          </cell>
          <cell r="IM375">
            <v>0.22</v>
          </cell>
          <cell r="IN375">
            <v>0.22</v>
          </cell>
          <cell r="IO375">
            <v>0.22</v>
          </cell>
          <cell r="IP375">
            <v>0.22</v>
          </cell>
          <cell r="IQ375">
            <v>0.22</v>
          </cell>
          <cell r="IR375">
            <v>0.22</v>
          </cell>
          <cell r="IS375">
            <v>0.22</v>
          </cell>
          <cell r="IT375">
            <v>0.22</v>
          </cell>
          <cell r="IU375">
            <v>0.22</v>
          </cell>
          <cell r="IV375">
            <v>0.22</v>
          </cell>
          <cell r="IW375">
            <v>0.22</v>
          </cell>
          <cell r="IX375">
            <v>0.22</v>
          </cell>
          <cell r="IY375">
            <v>0.22</v>
          </cell>
          <cell r="IZ375">
            <v>0.22</v>
          </cell>
          <cell r="JA375">
            <v>0.22</v>
          </cell>
        </row>
        <row r="376">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cell r="BM376">
            <v>0</v>
          </cell>
          <cell r="BN376">
            <v>0</v>
          </cell>
          <cell r="BO376">
            <v>0</v>
          </cell>
          <cell r="BP376">
            <v>0</v>
          </cell>
          <cell r="BQ376">
            <v>0</v>
          </cell>
          <cell r="BR376">
            <v>0</v>
          </cell>
          <cell r="BS376">
            <v>0</v>
          </cell>
          <cell r="BT376">
            <v>0</v>
          </cell>
          <cell r="BU376">
            <v>0</v>
          </cell>
          <cell r="BV376">
            <v>0</v>
          </cell>
          <cell r="BW376">
            <v>0</v>
          </cell>
          <cell r="BX376">
            <v>0</v>
          </cell>
          <cell r="BY376">
            <v>0</v>
          </cell>
          <cell r="BZ376">
            <v>0</v>
          </cell>
          <cell r="CA376">
            <v>0</v>
          </cell>
          <cell r="CB376">
            <v>0</v>
          </cell>
          <cell r="CC376">
            <v>0</v>
          </cell>
          <cell r="CD376">
            <v>0</v>
          </cell>
          <cell r="CE376">
            <v>0</v>
          </cell>
          <cell r="CF376">
            <v>0</v>
          </cell>
          <cell r="CG376">
            <v>0</v>
          </cell>
          <cell r="CH376">
            <v>0</v>
          </cell>
          <cell r="CI376">
            <v>0</v>
          </cell>
          <cell r="CJ376">
            <v>0</v>
          </cell>
          <cell r="CK376">
            <v>0</v>
          </cell>
          <cell r="CL376">
            <v>0</v>
          </cell>
          <cell r="CM376">
            <v>0</v>
          </cell>
          <cell r="CN376">
            <v>0</v>
          </cell>
          <cell r="CO376">
            <v>0</v>
          </cell>
          <cell r="CP376">
            <v>0</v>
          </cell>
          <cell r="CQ376">
            <v>0</v>
          </cell>
          <cell r="CR376">
            <v>0</v>
          </cell>
          <cell r="CS376">
            <v>0</v>
          </cell>
          <cell r="CT376">
            <v>0</v>
          </cell>
          <cell r="CU376">
            <v>0</v>
          </cell>
          <cell r="CV376">
            <v>0</v>
          </cell>
          <cell r="CW376">
            <v>0</v>
          </cell>
          <cell r="CX376">
            <v>0</v>
          </cell>
          <cell r="CY376">
            <v>0</v>
          </cell>
          <cell r="CZ376">
            <v>0</v>
          </cell>
          <cell r="DA376">
            <v>0</v>
          </cell>
          <cell r="DB376">
            <v>0</v>
          </cell>
          <cell r="DC376">
            <v>0</v>
          </cell>
          <cell r="DD376">
            <v>0</v>
          </cell>
          <cell r="DE376">
            <v>0</v>
          </cell>
          <cell r="DF376">
            <v>0</v>
          </cell>
          <cell r="DG376">
            <v>0</v>
          </cell>
          <cell r="DH376">
            <v>0</v>
          </cell>
          <cell r="DI376">
            <v>0</v>
          </cell>
          <cell r="DJ376">
            <v>0</v>
          </cell>
          <cell r="DK376">
            <v>0</v>
          </cell>
          <cell r="DL376">
            <v>0</v>
          </cell>
          <cell r="DM376">
            <v>0</v>
          </cell>
          <cell r="DN376">
            <v>0</v>
          </cell>
          <cell r="DO376">
            <v>0</v>
          </cell>
          <cell r="DP376">
            <v>0</v>
          </cell>
          <cell r="DQ376">
            <v>0</v>
          </cell>
          <cell r="DR376">
            <v>0</v>
          </cell>
          <cell r="DS376">
            <v>0</v>
          </cell>
          <cell r="DT376">
            <v>0</v>
          </cell>
          <cell r="DU376">
            <v>0</v>
          </cell>
          <cell r="DV376">
            <v>0</v>
          </cell>
          <cell r="DW376">
            <v>0</v>
          </cell>
          <cell r="DX376">
            <v>0</v>
          </cell>
          <cell r="DY376">
            <v>0</v>
          </cell>
          <cell r="DZ376">
            <v>0</v>
          </cell>
          <cell r="EA376">
            <v>0</v>
          </cell>
          <cell r="EB376">
            <v>0</v>
          </cell>
          <cell r="EC376">
            <v>0</v>
          </cell>
          <cell r="ED376">
            <v>0</v>
          </cell>
          <cell r="EE376">
            <v>0</v>
          </cell>
          <cell r="EF376">
            <v>0</v>
          </cell>
          <cell r="EG376">
            <v>0</v>
          </cell>
          <cell r="EH376">
            <v>0</v>
          </cell>
          <cell r="EI376">
            <v>0</v>
          </cell>
          <cell r="EJ376">
            <v>0</v>
          </cell>
          <cell r="EK376">
            <v>0</v>
          </cell>
          <cell r="EL376">
            <v>0</v>
          </cell>
          <cell r="EM376">
            <v>0</v>
          </cell>
          <cell r="EN376">
            <v>0</v>
          </cell>
          <cell r="EO376">
            <v>0</v>
          </cell>
          <cell r="EP376">
            <v>0</v>
          </cell>
          <cell r="EQ376">
            <v>0</v>
          </cell>
          <cell r="ER376">
            <v>0</v>
          </cell>
          <cell r="ES376">
            <v>0</v>
          </cell>
          <cell r="ET376">
            <v>0</v>
          </cell>
          <cell r="EU376">
            <v>0</v>
          </cell>
          <cell r="EV376">
            <v>0</v>
          </cell>
          <cell r="EW376">
            <v>0</v>
          </cell>
          <cell r="EX376">
            <v>0</v>
          </cell>
          <cell r="EY376">
            <v>0</v>
          </cell>
          <cell r="EZ376">
            <v>0</v>
          </cell>
          <cell r="FA376">
            <v>0</v>
          </cell>
          <cell r="FB376">
            <v>0</v>
          </cell>
          <cell r="FC376">
            <v>0</v>
          </cell>
          <cell r="FD376">
            <v>0</v>
          </cell>
          <cell r="FE376">
            <v>0</v>
          </cell>
          <cell r="FF376">
            <v>0</v>
          </cell>
          <cell r="FG376">
            <v>0</v>
          </cell>
          <cell r="FH376">
            <v>0</v>
          </cell>
          <cell r="FI376">
            <v>0</v>
          </cell>
          <cell r="FJ376">
            <v>0</v>
          </cell>
          <cell r="FK376">
            <v>0</v>
          </cell>
          <cell r="FL376">
            <v>0</v>
          </cell>
          <cell r="FM376">
            <v>0</v>
          </cell>
          <cell r="FN376">
            <v>0</v>
          </cell>
          <cell r="FO376">
            <v>0</v>
          </cell>
          <cell r="FP376">
            <v>0</v>
          </cell>
          <cell r="FQ376">
            <v>0</v>
          </cell>
          <cell r="FR376">
            <v>0</v>
          </cell>
          <cell r="FS376">
            <v>0</v>
          </cell>
          <cell r="FT376">
            <v>0</v>
          </cell>
          <cell r="FU376">
            <v>0</v>
          </cell>
          <cell r="FV376">
            <v>0</v>
          </cell>
          <cell r="FW376">
            <v>0</v>
          </cell>
          <cell r="FX376">
            <v>0</v>
          </cell>
          <cell r="FY376">
            <v>0</v>
          </cell>
          <cell r="FZ376">
            <v>0</v>
          </cell>
          <cell r="GA376">
            <v>0</v>
          </cell>
          <cell r="GB376">
            <v>0</v>
          </cell>
          <cell r="GC376">
            <v>0</v>
          </cell>
          <cell r="GD376">
            <v>0</v>
          </cell>
          <cell r="GE376">
            <v>0</v>
          </cell>
          <cell r="GF376">
            <v>0</v>
          </cell>
          <cell r="GG376">
            <v>0</v>
          </cell>
          <cell r="GH376">
            <v>0</v>
          </cell>
          <cell r="GI376">
            <v>0</v>
          </cell>
          <cell r="GJ376">
            <v>0</v>
          </cell>
          <cell r="GK376">
            <v>0</v>
          </cell>
          <cell r="GL376">
            <v>0</v>
          </cell>
          <cell r="GM376">
            <v>0</v>
          </cell>
          <cell r="GN376">
            <v>0</v>
          </cell>
          <cell r="GO376">
            <v>0</v>
          </cell>
          <cell r="GP376">
            <v>0</v>
          </cell>
          <cell r="GQ376">
            <v>0</v>
          </cell>
          <cell r="GR376">
            <v>0</v>
          </cell>
          <cell r="GS376">
            <v>0</v>
          </cell>
          <cell r="GT376">
            <v>0</v>
          </cell>
          <cell r="GU376">
            <v>0</v>
          </cell>
          <cell r="GV376">
            <v>0</v>
          </cell>
          <cell r="GW376">
            <v>0</v>
          </cell>
          <cell r="GX376">
            <v>0</v>
          </cell>
          <cell r="GY376">
            <v>0</v>
          </cell>
          <cell r="GZ376">
            <v>0</v>
          </cell>
          <cell r="HA376">
            <v>0</v>
          </cell>
          <cell r="HB376">
            <v>0</v>
          </cell>
          <cell r="HC376">
            <v>0</v>
          </cell>
          <cell r="HD376">
            <v>0</v>
          </cell>
          <cell r="HE376">
            <v>0</v>
          </cell>
          <cell r="HF376">
            <v>0</v>
          </cell>
          <cell r="HG376">
            <v>0</v>
          </cell>
          <cell r="HH376">
            <v>0</v>
          </cell>
          <cell r="HI376">
            <v>0</v>
          </cell>
          <cell r="HJ376">
            <v>0</v>
          </cell>
          <cell r="HK376">
            <v>0</v>
          </cell>
          <cell r="HL376">
            <v>0</v>
          </cell>
          <cell r="HM376">
            <v>0</v>
          </cell>
          <cell r="HN376">
            <v>0</v>
          </cell>
          <cell r="HO376">
            <v>0</v>
          </cell>
          <cell r="HP376">
            <v>0</v>
          </cell>
          <cell r="HQ376">
            <v>0</v>
          </cell>
          <cell r="HR376">
            <v>0</v>
          </cell>
          <cell r="HS376">
            <v>0</v>
          </cell>
          <cell r="HT376">
            <v>0</v>
          </cell>
          <cell r="HU376">
            <v>0</v>
          </cell>
          <cell r="HV376">
            <v>0</v>
          </cell>
          <cell r="HW376">
            <v>0</v>
          </cell>
          <cell r="HX376">
            <v>0</v>
          </cell>
          <cell r="HY376">
            <v>0</v>
          </cell>
          <cell r="HZ376">
            <v>0</v>
          </cell>
          <cell r="IA376">
            <v>0</v>
          </cell>
          <cell r="IB376">
            <v>0</v>
          </cell>
          <cell r="IC376">
            <v>0</v>
          </cell>
          <cell r="ID376">
            <v>0</v>
          </cell>
          <cell r="IE376">
            <v>0</v>
          </cell>
          <cell r="IF376">
            <v>0</v>
          </cell>
          <cell r="IG376">
            <v>0</v>
          </cell>
          <cell r="IH376">
            <v>0</v>
          </cell>
          <cell r="II376">
            <v>0</v>
          </cell>
          <cell r="IJ376">
            <v>0</v>
          </cell>
          <cell r="IK376">
            <v>0</v>
          </cell>
          <cell r="IL376">
            <v>0</v>
          </cell>
          <cell r="IM376">
            <v>0</v>
          </cell>
          <cell r="IN376">
            <v>0</v>
          </cell>
          <cell r="IO376">
            <v>0</v>
          </cell>
          <cell r="IP376">
            <v>0</v>
          </cell>
          <cell r="IQ376">
            <v>0</v>
          </cell>
          <cell r="IR376">
            <v>0</v>
          </cell>
          <cell r="IS376">
            <v>0</v>
          </cell>
          <cell r="IT376">
            <v>0</v>
          </cell>
          <cell r="IU376">
            <v>0</v>
          </cell>
          <cell r="IV376">
            <v>0</v>
          </cell>
          <cell r="IW376">
            <v>0</v>
          </cell>
          <cell r="IX376">
            <v>0</v>
          </cell>
          <cell r="IY376">
            <v>0</v>
          </cell>
          <cell r="IZ376">
            <v>0</v>
          </cell>
          <cell r="JA376">
            <v>0</v>
          </cell>
        </row>
        <row r="393">
          <cell r="L393">
            <v>0</v>
          </cell>
          <cell r="M393">
            <v>0</v>
          </cell>
          <cell r="N393">
            <v>0</v>
          </cell>
          <cell r="O393">
            <v>0</v>
          </cell>
          <cell r="P393">
            <v>0</v>
          </cell>
          <cell r="Q393">
            <v>0</v>
          </cell>
          <cell r="R393">
            <v>0</v>
          </cell>
          <cell r="S393">
            <v>0</v>
          </cell>
          <cell r="T393">
            <v>4.0386137499999995E-2</v>
          </cell>
          <cell r="U393">
            <v>4.0386137499999995E-2</v>
          </cell>
          <cell r="V393">
            <v>4.0386137499999995E-2</v>
          </cell>
          <cell r="W393">
            <v>4.0386137499999995E-2</v>
          </cell>
          <cell r="X393">
            <v>4.0363562499999998E-2</v>
          </cell>
          <cell r="Y393">
            <v>4.0138134999999998E-2</v>
          </cell>
          <cell r="Z393">
            <v>3.9913997499999999E-2</v>
          </cell>
          <cell r="AA393">
            <v>3.9694805E-2</v>
          </cell>
          <cell r="AB393">
            <v>3.9474214999999993E-2</v>
          </cell>
          <cell r="AC393">
            <v>3.9255237499999998E-2</v>
          </cell>
          <cell r="AD393">
            <v>3.5468550000000001E-2</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cell r="BM393">
            <v>0</v>
          </cell>
          <cell r="BN393">
            <v>0</v>
          </cell>
          <cell r="BO393">
            <v>0</v>
          </cell>
          <cell r="BP393">
            <v>0</v>
          </cell>
          <cell r="BQ393">
            <v>0</v>
          </cell>
          <cell r="BR393">
            <v>0</v>
          </cell>
          <cell r="BS393">
            <v>0</v>
          </cell>
          <cell r="BT393">
            <v>0</v>
          </cell>
          <cell r="BU393">
            <v>0</v>
          </cell>
          <cell r="BV393">
            <v>0</v>
          </cell>
          <cell r="BW393">
            <v>0</v>
          </cell>
          <cell r="BX393">
            <v>0</v>
          </cell>
          <cell r="BY393">
            <v>0</v>
          </cell>
          <cell r="BZ393">
            <v>0</v>
          </cell>
          <cell r="CA393">
            <v>0</v>
          </cell>
          <cell r="CB393">
            <v>0</v>
          </cell>
          <cell r="CC393">
            <v>0</v>
          </cell>
          <cell r="CD393">
            <v>0</v>
          </cell>
          <cell r="CE393">
            <v>0</v>
          </cell>
          <cell r="CF393">
            <v>0</v>
          </cell>
          <cell r="CG393">
            <v>0</v>
          </cell>
          <cell r="CH393">
            <v>0</v>
          </cell>
          <cell r="CI393">
            <v>0</v>
          </cell>
          <cell r="CJ393">
            <v>0</v>
          </cell>
          <cell r="CK393">
            <v>0</v>
          </cell>
          <cell r="CL393">
            <v>0</v>
          </cell>
          <cell r="CM393">
            <v>0</v>
          </cell>
          <cell r="CN393">
            <v>0</v>
          </cell>
          <cell r="CO393">
            <v>0</v>
          </cell>
          <cell r="CP393">
            <v>0</v>
          </cell>
          <cell r="CQ393">
            <v>0</v>
          </cell>
          <cell r="CR393">
            <v>0</v>
          </cell>
          <cell r="CS393">
            <v>0</v>
          </cell>
          <cell r="CT393">
            <v>0</v>
          </cell>
          <cell r="CU393">
            <v>0</v>
          </cell>
          <cell r="CV393">
            <v>0</v>
          </cell>
          <cell r="CW393">
            <v>0</v>
          </cell>
          <cell r="CX393">
            <v>0</v>
          </cell>
          <cell r="CY393">
            <v>0</v>
          </cell>
          <cell r="CZ393">
            <v>0</v>
          </cell>
          <cell r="DA393">
            <v>0</v>
          </cell>
          <cell r="DB393">
            <v>0</v>
          </cell>
          <cell r="DC393">
            <v>0</v>
          </cell>
          <cell r="DD393">
            <v>0</v>
          </cell>
          <cell r="DE393">
            <v>0</v>
          </cell>
          <cell r="DF393">
            <v>0</v>
          </cell>
          <cell r="DG393">
            <v>0</v>
          </cell>
          <cell r="DH393">
            <v>0</v>
          </cell>
          <cell r="DI393">
            <v>0</v>
          </cell>
          <cell r="DJ393">
            <v>0</v>
          </cell>
          <cell r="DK393">
            <v>0</v>
          </cell>
          <cell r="DL393">
            <v>0</v>
          </cell>
          <cell r="DM393">
            <v>0</v>
          </cell>
          <cell r="DN393">
            <v>0</v>
          </cell>
          <cell r="DO393">
            <v>0</v>
          </cell>
          <cell r="DP393">
            <v>0</v>
          </cell>
          <cell r="DQ393">
            <v>0</v>
          </cell>
          <cell r="DR393">
            <v>0</v>
          </cell>
          <cell r="DS393">
            <v>0</v>
          </cell>
          <cell r="DT393">
            <v>0</v>
          </cell>
          <cell r="DU393">
            <v>0</v>
          </cell>
          <cell r="DV393">
            <v>0</v>
          </cell>
          <cell r="DW393">
            <v>0</v>
          </cell>
          <cell r="DX393">
            <v>0</v>
          </cell>
          <cell r="DY393">
            <v>0</v>
          </cell>
          <cell r="DZ393">
            <v>0</v>
          </cell>
          <cell r="EA393">
            <v>0</v>
          </cell>
          <cell r="EB393">
            <v>0</v>
          </cell>
          <cell r="EC393">
            <v>0</v>
          </cell>
          <cell r="ED393">
            <v>0</v>
          </cell>
          <cell r="EE393">
            <v>0</v>
          </cell>
          <cell r="EF393">
            <v>0</v>
          </cell>
          <cell r="EG393">
            <v>0</v>
          </cell>
          <cell r="EH393">
            <v>0</v>
          </cell>
          <cell r="EI393">
            <v>0</v>
          </cell>
          <cell r="EJ393">
            <v>0</v>
          </cell>
          <cell r="EK393">
            <v>0</v>
          </cell>
          <cell r="EL393">
            <v>0</v>
          </cell>
          <cell r="EM393">
            <v>0</v>
          </cell>
          <cell r="EN393">
            <v>0</v>
          </cell>
          <cell r="EO393">
            <v>0</v>
          </cell>
          <cell r="EP393">
            <v>0</v>
          </cell>
          <cell r="EQ393">
            <v>0</v>
          </cell>
          <cell r="ER393">
            <v>0</v>
          </cell>
          <cell r="ES393">
            <v>0</v>
          </cell>
          <cell r="ET393">
            <v>0</v>
          </cell>
          <cell r="EU393">
            <v>0</v>
          </cell>
          <cell r="EV393">
            <v>0</v>
          </cell>
          <cell r="EW393">
            <v>0</v>
          </cell>
          <cell r="EX393">
            <v>0</v>
          </cell>
          <cell r="EY393">
            <v>0</v>
          </cell>
          <cell r="EZ393">
            <v>0</v>
          </cell>
          <cell r="FA393">
            <v>0</v>
          </cell>
          <cell r="FB393">
            <v>0</v>
          </cell>
          <cell r="FC393">
            <v>0</v>
          </cell>
          <cell r="FD393">
            <v>0</v>
          </cell>
          <cell r="FE393">
            <v>0</v>
          </cell>
          <cell r="FF393">
            <v>0</v>
          </cell>
          <cell r="FG393">
            <v>0</v>
          </cell>
          <cell r="FH393">
            <v>0</v>
          </cell>
          <cell r="FI393">
            <v>0</v>
          </cell>
          <cell r="FJ393">
            <v>0</v>
          </cell>
          <cell r="FK393">
            <v>0</v>
          </cell>
          <cell r="FL393">
            <v>0</v>
          </cell>
          <cell r="FM393">
            <v>0</v>
          </cell>
          <cell r="FN393">
            <v>0</v>
          </cell>
          <cell r="FO393">
            <v>0</v>
          </cell>
          <cell r="FP393">
            <v>0</v>
          </cell>
          <cell r="FQ393">
            <v>0</v>
          </cell>
          <cell r="FR393">
            <v>0</v>
          </cell>
          <cell r="FS393">
            <v>0</v>
          </cell>
          <cell r="FT393">
            <v>0</v>
          </cell>
          <cell r="FU393">
            <v>0</v>
          </cell>
          <cell r="FV393">
            <v>0</v>
          </cell>
          <cell r="FW393">
            <v>0</v>
          </cell>
          <cell r="FX393">
            <v>0</v>
          </cell>
          <cell r="FY393">
            <v>0</v>
          </cell>
          <cell r="FZ393">
            <v>0</v>
          </cell>
          <cell r="GA393">
            <v>0</v>
          </cell>
          <cell r="GB393">
            <v>0</v>
          </cell>
          <cell r="GC393">
            <v>0</v>
          </cell>
          <cell r="GD393">
            <v>0</v>
          </cell>
          <cell r="GE393">
            <v>0</v>
          </cell>
          <cell r="GF393">
            <v>0</v>
          </cell>
          <cell r="GG393">
            <v>0</v>
          </cell>
          <cell r="GH393">
            <v>0</v>
          </cell>
          <cell r="GI393">
            <v>0</v>
          </cell>
          <cell r="GJ393">
            <v>0</v>
          </cell>
          <cell r="GK393">
            <v>0</v>
          </cell>
          <cell r="GL393">
            <v>0</v>
          </cell>
          <cell r="GM393">
            <v>0</v>
          </cell>
          <cell r="GN393">
            <v>0</v>
          </cell>
          <cell r="GO393">
            <v>0</v>
          </cell>
          <cell r="GP393">
            <v>0</v>
          </cell>
          <cell r="GQ393">
            <v>0</v>
          </cell>
          <cell r="GR393">
            <v>0</v>
          </cell>
          <cell r="GS393">
            <v>0</v>
          </cell>
          <cell r="GT393">
            <v>0</v>
          </cell>
          <cell r="GU393">
            <v>0</v>
          </cell>
          <cell r="GV393">
            <v>0</v>
          </cell>
          <cell r="GW393">
            <v>0</v>
          </cell>
          <cell r="GX393">
            <v>0</v>
          </cell>
          <cell r="GY393">
            <v>0</v>
          </cell>
          <cell r="GZ393">
            <v>0</v>
          </cell>
          <cell r="HA393">
            <v>0</v>
          </cell>
          <cell r="HB393">
            <v>0</v>
          </cell>
          <cell r="HC393">
            <v>0</v>
          </cell>
          <cell r="HD393">
            <v>0</v>
          </cell>
          <cell r="HE393">
            <v>0</v>
          </cell>
          <cell r="HF393">
            <v>0</v>
          </cell>
          <cell r="HG393">
            <v>0</v>
          </cell>
          <cell r="HH393">
            <v>0</v>
          </cell>
          <cell r="HI393">
            <v>0</v>
          </cell>
          <cell r="HJ393">
            <v>0</v>
          </cell>
          <cell r="HK393">
            <v>0</v>
          </cell>
          <cell r="HL393">
            <v>0</v>
          </cell>
          <cell r="HM393">
            <v>0</v>
          </cell>
          <cell r="HN393">
            <v>0</v>
          </cell>
          <cell r="HO393">
            <v>0</v>
          </cell>
          <cell r="HP393">
            <v>0</v>
          </cell>
          <cell r="HQ393">
            <v>0</v>
          </cell>
          <cell r="HR393">
            <v>0</v>
          </cell>
          <cell r="HS393">
            <v>0</v>
          </cell>
          <cell r="HT393">
            <v>0</v>
          </cell>
          <cell r="HU393">
            <v>0</v>
          </cell>
          <cell r="HV393">
            <v>0</v>
          </cell>
          <cell r="HW393">
            <v>0</v>
          </cell>
          <cell r="HX393">
            <v>0</v>
          </cell>
          <cell r="HY393">
            <v>0</v>
          </cell>
          <cell r="HZ393">
            <v>0</v>
          </cell>
          <cell r="IA393">
            <v>0</v>
          </cell>
          <cell r="IB393">
            <v>0</v>
          </cell>
          <cell r="IC393">
            <v>0</v>
          </cell>
          <cell r="ID393">
            <v>0</v>
          </cell>
          <cell r="IE393">
            <v>0</v>
          </cell>
          <cell r="IF393">
            <v>0</v>
          </cell>
          <cell r="IG393">
            <v>0</v>
          </cell>
          <cell r="IH393">
            <v>0</v>
          </cell>
          <cell r="II393">
            <v>0</v>
          </cell>
          <cell r="IJ393">
            <v>0</v>
          </cell>
          <cell r="IK393">
            <v>0</v>
          </cell>
          <cell r="IL393">
            <v>0</v>
          </cell>
          <cell r="IM393">
            <v>0</v>
          </cell>
          <cell r="IN393">
            <v>0</v>
          </cell>
          <cell r="IO393">
            <v>0</v>
          </cell>
          <cell r="IP393">
            <v>0</v>
          </cell>
          <cell r="IQ393">
            <v>0</v>
          </cell>
          <cell r="IR393">
            <v>0</v>
          </cell>
          <cell r="IS393">
            <v>0</v>
          </cell>
          <cell r="IT393">
            <v>0</v>
          </cell>
          <cell r="IU393">
            <v>0</v>
          </cell>
          <cell r="IV393">
            <v>0</v>
          </cell>
          <cell r="IW393">
            <v>0</v>
          </cell>
          <cell r="IX393">
            <v>0</v>
          </cell>
          <cell r="IY393">
            <v>0</v>
          </cell>
          <cell r="IZ393">
            <v>0</v>
          </cell>
          <cell r="JA393">
            <v>0</v>
          </cell>
        </row>
        <row r="394">
          <cell r="L394">
            <v>0</v>
          </cell>
          <cell r="M394">
            <v>0</v>
          </cell>
          <cell r="N394">
            <v>0</v>
          </cell>
          <cell r="O394">
            <v>0</v>
          </cell>
          <cell r="P394">
            <v>0</v>
          </cell>
          <cell r="Q394">
            <v>0</v>
          </cell>
          <cell r="R394">
            <v>0</v>
          </cell>
          <cell r="S394">
            <v>0</v>
          </cell>
          <cell r="T394">
            <v>-0.25843054924174796</v>
          </cell>
          <cell r="U394">
            <v>-0.33282655952858342</v>
          </cell>
          <cell r="V394">
            <v>-0.41150727061740644</v>
          </cell>
          <cell r="W394">
            <v>-0.49467138820720902</v>
          </cell>
          <cell r="X394">
            <v>-0.58220045242807483</v>
          </cell>
          <cell r="Y394">
            <v>-0.67114076564181413</v>
          </cell>
          <cell r="Z394">
            <v>-0.76414214339468034</v>
          </cell>
          <cell r="AA394">
            <v>-0.86143884129524539</v>
          </cell>
          <cell r="AB394">
            <v>-0.96306626227107328</v>
          </cell>
          <cell r="AC394">
            <v>-1.0692514773472763</v>
          </cell>
          <cell r="AD394">
            <v>-1.0722646632914541</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cell r="BM394">
            <v>0</v>
          </cell>
          <cell r="BN394">
            <v>0</v>
          </cell>
          <cell r="BO394">
            <v>0</v>
          </cell>
          <cell r="BP394">
            <v>0</v>
          </cell>
          <cell r="BQ394">
            <v>0</v>
          </cell>
          <cell r="BR394">
            <v>0</v>
          </cell>
          <cell r="BS394">
            <v>0</v>
          </cell>
          <cell r="BT394">
            <v>0</v>
          </cell>
          <cell r="BU394">
            <v>0</v>
          </cell>
          <cell r="BV394">
            <v>0</v>
          </cell>
          <cell r="BW394">
            <v>0</v>
          </cell>
          <cell r="BX394">
            <v>0</v>
          </cell>
          <cell r="BY394">
            <v>0</v>
          </cell>
          <cell r="BZ394">
            <v>0</v>
          </cell>
          <cell r="CA394">
            <v>0</v>
          </cell>
          <cell r="CB394">
            <v>0</v>
          </cell>
          <cell r="CC394">
            <v>0</v>
          </cell>
          <cell r="CD394">
            <v>0</v>
          </cell>
          <cell r="CE394">
            <v>0</v>
          </cell>
          <cell r="CF394">
            <v>0</v>
          </cell>
          <cell r="CG394">
            <v>0</v>
          </cell>
          <cell r="CH394">
            <v>0</v>
          </cell>
          <cell r="CI394">
            <v>0</v>
          </cell>
          <cell r="CJ394">
            <v>0</v>
          </cell>
          <cell r="CK394">
            <v>0</v>
          </cell>
          <cell r="CL394">
            <v>0</v>
          </cell>
          <cell r="CM394">
            <v>0</v>
          </cell>
          <cell r="CN394">
            <v>0</v>
          </cell>
          <cell r="CO394">
            <v>0</v>
          </cell>
          <cell r="CP394">
            <v>0</v>
          </cell>
          <cell r="CQ394">
            <v>0</v>
          </cell>
          <cell r="CR394">
            <v>0</v>
          </cell>
          <cell r="CS394">
            <v>0</v>
          </cell>
          <cell r="CT394">
            <v>0</v>
          </cell>
          <cell r="CU394">
            <v>0</v>
          </cell>
          <cell r="CV394">
            <v>0</v>
          </cell>
          <cell r="CW394">
            <v>0</v>
          </cell>
          <cell r="CX394">
            <v>0</v>
          </cell>
          <cell r="CY394">
            <v>0</v>
          </cell>
          <cell r="CZ394">
            <v>0</v>
          </cell>
          <cell r="DA394">
            <v>0</v>
          </cell>
          <cell r="DB394">
            <v>0</v>
          </cell>
          <cell r="DC394">
            <v>0</v>
          </cell>
          <cell r="DD394">
            <v>0</v>
          </cell>
          <cell r="DE394">
            <v>0</v>
          </cell>
          <cell r="DF394">
            <v>0</v>
          </cell>
          <cell r="DG394">
            <v>0</v>
          </cell>
          <cell r="DH394">
            <v>0</v>
          </cell>
          <cell r="DI394">
            <v>0</v>
          </cell>
          <cell r="DJ394">
            <v>0</v>
          </cell>
          <cell r="DK394">
            <v>0</v>
          </cell>
          <cell r="DL394">
            <v>0</v>
          </cell>
          <cell r="DM394">
            <v>0</v>
          </cell>
          <cell r="DN394">
            <v>0</v>
          </cell>
          <cell r="DO394">
            <v>0</v>
          </cell>
          <cell r="DP394">
            <v>0</v>
          </cell>
          <cell r="DQ394">
            <v>0</v>
          </cell>
          <cell r="DR394">
            <v>0</v>
          </cell>
          <cell r="DS394">
            <v>0</v>
          </cell>
          <cell r="DT394">
            <v>0</v>
          </cell>
          <cell r="DU394">
            <v>0</v>
          </cell>
          <cell r="DV394">
            <v>0</v>
          </cell>
          <cell r="DW394">
            <v>0</v>
          </cell>
          <cell r="DX394">
            <v>0</v>
          </cell>
          <cell r="DY394">
            <v>0</v>
          </cell>
          <cell r="DZ394">
            <v>0</v>
          </cell>
          <cell r="EA394">
            <v>0</v>
          </cell>
          <cell r="EB394">
            <v>0</v>
          </cell>
          <cell r="EC394">
            <v>0</v>
          </cell>
          <cell r="ED394">
            <v>0</v>
          </cell>
          <cell r="EE394">
            <v>0</v>
          </cell>
          <cell r="EF394">
            <v>0</v>
          </cell>
          <cell r="EG394">
            <v>0</v>
          </cell>
          <cell r="EH394">
            <v>0</v>
          </cell>
          <cell r="EI394">
            <v>0</v>
          </cell>
          <cell r="EJ394">
            <v>0</v>
          </cell>
          <cell r="EK394">
            <v>0</v>
          </cell>
          <cell r="EL394">
            <v>0</v>
          </cell>
          <cell r="EM394">
            <v>0</v>
          </cell>
          <cell r="EN394">
            <v>0</v>
          </cell>
          <cell r="EO394">
            <v>0</v>
          </cell>
          <cell r="EP394">
            <v>0</v>
          </cell>
          <cell r="EQ394">
            <v>0</v>
          </cell>
          <cell r="ER394">
            <v>0</v>
          </cell>
          <cell r="ES394">
            <v>0</v>
          </cell>
          <cell r="ET394">
            <v>0</v>
          </cell>
          <cell r="EU394">
            <v>0</v>
          </cell>
          <cell r="EV394">
            <v>0</v>
          </cell>
          <cell r="EW394">
            <v>0</v>
          </cell>
          <cell r="EX394">
            <v>0</v>
          </cell>
          <cell r="EY394">
            <v>0</v>
          </cell>
          <cell r="EZ394">
            <v>0</v>
          </cell>
          <cell r="FA394">
            <v>0</v>
          </cell>
          <cell r="FB394">
            <v>0</v>
          </cell>
          <cell r="FC394">
            <v>0</v>
          </cell>
          <cell r="FD394">
            <v>0</v>
          </cell>
          <cell r="FE394">
            <v>0</v>
          </cell>
          <cell r="FF394">
            <v>0</v>
          </cell>
          <cell r="FG394">
            <v>0</v>
          </cell>
          <cell r="FH394">
            <v>0</v>
          </cell>
          <cell r="FI394">
            <v>0</v>
          </cell>
          <cell r="FJ394">
            <v>0</v>
          </cell>
          <cell r="FK394">
            <v>0</v>
          </cell>
          <cell r="FL394">
            <v>0</v>
          </cell>
          <cell r="FM394">
            <v>0</v>
          </cell>
          <cell r="FN394">
            <v>0</v>
          </cell>
          <cell r="FO394">
            <v>0</v>
          </cell>
          <cell r="FP394">
            <v>0</v>
          </cell>
          <cell r="FQ394">
            <v>0</v>
          </cell>
          <cell r="FR394">
            <v>0</v>
          </cell>
          <cell r="FS394">
            <v>0</v>
          </cell>
          <cell r="FT394">
            <v>0</v>
          </cell>
          <cell r="FU394">
            <v>0</v>
          </cell>
          <cell r="FV394">
            <v>0</v>
          </cell>
          <cell r="FW394">
            <v>0</v>
          </cell>
          <cell r="FX394">
            <v>0</v>
          </cell>
          <cell r="FY394">
            <v>0</v>
          </cell>
          <cell r="FZ394">
            <v>0</v>
          </cell>
          <cell r="GA394">
            <v>0</v>
          </cell>
          <cell r="GB394">
            <v>0</v>
          </cell>
          <cell r="GC394">
            <v>0</v>
          </cell>
          <cell r="GD394">
            <v>0</v>
          </cell>
          <cell r="GE394">
            <v>0</v>
          </cell>
          <cell r="GF394">
            <v>0</v>
          </cell>
          <cell r="GG394">
            <v>0</v>
          </cell>
          <cell r="GH394">
            <v>0</v>
          </cell>
          <cell r="GI394">
            <v>0</v>
          </cell>
          <cell r="GJ394">
            <v>0</v>
          </cell>
          <cell r="GK394">
            <v>0</v>
          </cell>
          <cell r="GL394">
            <v>0</v>
          </cell>
          <cell r="GM394">
            <v>0</v>
          </cell>
          <cell r="GN394">
            <v>0</v>
          </cell>
          <cell r="GO394">
            <v>0</v>
          </cell>
          <cell r="GP394">
            <v>0</v>
          </cell>
          <cell r="GQ394">
            <v>0</v>
          </cell>
          <cell r="GR394">
            <v>0</v>
          </cell>
          <cell r="GS394">
            <v>0</v>
          </cell>
          <cell r="GT394">
            <v>0</v>
          </cell>
          <cell r="GU394">
            <v>0</v>
          </cell>
          <cell r="GV394">
            <v>0</v>
          </cell>
          <cell r="GW394">
            <v>0</v>
          </cell>
          <cell r="GX394">
            <v>0</v>
          </cell>
          <cell r="GY394">
            <v>0</v>
          </cell>
          <cell r="GZ394">
            <v>0</v>
          </cell>
          <cell r="HA394">
            <v>0</v>
          </cell>
          <cell r="HB394">
            <v>0</v>
          </cell>
          <cell r="HC394">
            <v>0</v>
          </cell>
          <cell r="HD394">
            <v>0</v>
          </cell>
          <cell r="HE394">
            <v>0</v>
          </cell>
          <cell r="HF394">
            <v>0</v>
          </cell>
          <cell r="HG394">
            <v>0</v>
          </cell>
          <cell r="HH394">
            <v>0</v>
          </cell>
          <cell r="HI394">
            <v>0</v>
          </cell>
          <cell r="HJ394">
            <v>0</v>
          </cell>
          <cell r="HK394">
            <v>0</v>
          </cell>
          <cell r="HL394">
            <v>0</v>
          </cell>
          <cell r="HM394">
            <v>0</v>
          </cell>
          <cell r="HN394">
            <v>0</v>
          </cell>
          <cell r="HO394">
            <v>0</v>
          </cell>
          <cell r="HP394">
            <v>0</v>
          </cell>
          <cell r="HQ394">
            <v>0</v>
          </cell>
          <cell r="HR394">
            <v>0</v>
          </cell>
          <cell r="HS394">
            <v>0</v>
          </cell>
          <cell r="HT394">
            <v>0</v>
          </cell>
          <cell r="HU394">
            <v>0</v>
          </cell>
          <cell r="HV394">
            <v>0</v>
          </cell>
          <cell r="HW394">
            <v>0</v>
          </cell>
          <cell r="HX394">
            <v>0</v>
          </cell>
          <cell r="HY394">
            <v>0</v>
          </cell>
          <cell r="HZ394">
            <v>0</v>
          </cell>
          <cell r="IA394">
            <v>0</v>
          </cell>
          <cell r="IB394">
            <v>0</v>
          </cell>
          <cell r="IC394">
            <v>0</v>
          </cell>
          <cell r="ID394">
            <v>0</v>
          </cell>
          <cell r="IE394">
            <v>0</v>
          </cell>
          <cell r="IF394">
            <v>0</v>
          </cell>
          <cell r="IG394">
            <v>0</v>
          </cell>
          <cell r="IH394">
            <v>0</v>
          </cell>
          <cell r="II394">
            <v>0</v>
          </cell>
          <cell r="IJ394">
            <v>0</v>
          </cell>
          <cell r="IK394">
            <v>0</v>
          </cell>
          <cell r="IL394">
            <v>0</v>
          </cell>
          <cell r="IM394">
            <v>0</v>
          </cell>
          <cell r="IN394">
            <v>0</v>
          </cell>
          <cell r="IO394">
            <v>0</v>
          </cell>
          <cell r="IP394">
            <v>0</v>
          </cell>
          <cell r="IQ394">
            <v>0</v>
          </cell>
          <cell r="IR394">
            <v>0</v>
          </cell>
          <cell r="IS394">
            <v>0</v>
          </cell>
          <cell r="IT394">
            <v>0</v>
          </cell>
          <cell r="IU394">
            <v>0</v>
          </cell>
          <cell r="IV394">
            <v>0</v>
          </cell>
          <cell r="IW394">
            <v>0</v>
          </cell>
          <cell r="IX394">
            <v>0</v>
          </cell>
          <cell r="IY394">
            <v>0</v>
          </cell>
          <cell r="IZ394">
            <v>0</v>
          </cell>
          <cell r="JA394">
            <v>0</v>
          </cell>
        </row>
        <row r="406">
          <cell r="L406">
            <v>0</v>
          </cell>
          <cell r="M406">
            <v>0</v>
          </cell>
          <cell r="N406">
            <v>0</v>
          </cell>
          <cell r="O406">
            <v>0.19600993554513746</v>
          </cell>
          <cell r="P406">
            <v>13.780618487792438</v>
          </cell>
          <cell r="Q406">
            <v>11.816983832499998</v>
          </cell>
          <cell r="R406">
            <v>12.053322895280708</v>
          </cell>
          <cell r="S406">
            <v>12.294389365463706</v>
          </cell>
          <cell r="T406">
            <v>12.798708481628728</v>
          </cell>
          <cell r="U406">
            <v>13.123909998384418</v>
          </cell>
          <cell r="V406">
            <v>13.458412141910678</v>
          </cell>
          <cell r="W406">
            <v>13.802514599404715</v>
          </cell>
          <cell r="X406">
            <v>14.148612006024237</v>
          </cell>
          <cell r="Y406">
            <v>14.43159859099565</v>
          </cell>
          <cell r="Z406">
            <v>14.721431893754062</v>
          </cell>
          <cell r="AA406">
            <v>15.019693210500877</v>
          </cell>
          <cell r="AB406">
            <v>15.324232669492044</v>
          </cell>
          <cell r="AC406">
            <v>15.636381323082022</v>
          </cell>
          <cell r="AD406">
            <v>14.497440759649843</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cell r="BM406">
            <v>0</v>
          </cell>
          <cell r="BN406">
            <v>0</v>
          </cell>
          <cell r="BO406">
            <v>0</v>
          </cell>
          <cell r="BP406">
            <v>0</v>
          </cell>
          <cell r="BQ406">
            <v>0</v>
          </cell>
          <cell r="BR406">
            <v>0</v>
          </cell>
          <cell r="BS406">
            <v>0</v>
          </cell>
          <cell r="BT406">
            <v>0</v>
          </cell>
          <cell r="BU406">
            <v>0</v>
          </cell>
          <cell r="BV406">
            <v>0</v>
          </cell>
          <cell r="BW406">
            <v>0</v>
          </cell>
          <cell r="BX406">
            <v>0</v>
          </cell>
          <cell r="BY406">
            <v>0</v>
          </cell>
          <cell r="BZ406">
            <v>0</v>
          </cell>
          <cell r="CA406">
            <v>0</v>
          </cell>
          <cell r="CB406">
            <v>0</v>
          </cell>
          <cell r="CC406">
            <v>0</v>
          </cell>
          <cell r="CD406">
            <v>0</v>
          </cell>
          <cell r="CE406">
            <v>0</v>
          </cell>
          <cell r="CF406">
            <v>0</v>
          </cell>
          <cell r="CG406">
            <v>0</v>
          </cell>
          <cell r="CH406">
            <v>0</v>
          </cell>
          <cell r="CI406">
            <v>0</v>
          </cell>
          <cell r="CJ406">
            <v>0</v>
          </cell>
          <cell r="CK406">
            <v>0</v>
          </cell>
          <cell r="CL406">
            <v>0</v>
          </cell>
          <cell r="CM406">
            <v>0</v>
          </cell>
          <cell r="CN406">
            <v>0</v>
          </cell>
          <cell r="CO406">
            <v>0</v>
          </cell>
          <cell r="CP406">
            <v>0</v>
          </cell>
          <cell r="CQ406">
            <v>0</v>
          </cell>
          <cell r="CR406">
            <v>0</v>
          </cell>
          <cell r="CS406">
            <v>0</v>
          </cell>
          <cell r="CT406">
            <v>0</v>
          </cell>
          <cell r="CU406">
            <v>0</v>
          </cell>
          <cell r="CV406">
            <v>0</v>
          </cell>
          <cell r="CW406">
            <v>0</v>
          </cell>
          <cell r="CX406">
            <v>0</v>
          </cell>
          <cell r="CY406">
            <v>0</v>
          </cell>
          <cell r="CZ406">
            <v>0</v>
          </cell>
          <cell r="DA406">
            <v>0</v>
          </cell>
          <cell r="DB406">
            <v>0</v>
          </cell>
          <cell r="DC406">
            <v>0</v>
          </cell>
          <cell r="DD406">
            <v>0</v>
          </cell>
          <cell r="DE406">
            <v>0</v>
          </cell>
          <cell r="DF406">
            <v>0</v>
          </cell>
          <cell r="DG406">
            <v>0</v>
          </cell>
          <cell r="DH406">
            <v>0</v>
          </cell>
          <cell r="DI406">
            <v>0</v>
          </cell>
          <cell r="DJ406">
            <v>0</v>
          </cell>
          <cell r="DK406">
            <v>0</v>
          </cell>
          <cell r="DL406">
            <v>0</v>
          </cell>
          <cell r="DM406">
            <v>0</v>
          </cell>
          <cell r="DN406">
            <v>0</v>
          </cell>
          <cell r="DO406">
            <v>0</v>
          </cell>
          <cell r="DP406">
            <v>0</v>
          </cell>
          <cell r="DQ406">
            <v>0</v>
          </cell>
          <cell r="DR406">
            <v>0</v>
          </cell>
          <cell r="DS406">
            <v>0</v>
          </cell>
          <cell r="DT406">
            <v>0</v>
          </cell>
          <cell r="DU406">
            <v>0</v>
          </cell>
          <cell r="DV406">
            <v>0</v>
          </cell>
          <cell r="DW406">
            <v>0</v>
          </cell>
          <cell r="DX406">
            <v>0</v>
          </cell>
          <cell r="DY406">
            <v>0</v>
          </cell>
          <cell r="DZ406">
            <v>0</v>
          </cell>
          <cell r="EA406">
            <v>0</v>
          </cell>
          <cell r="EB406">
            <v>0</v>
          </cell>
          <cell r="EC406">
            <v>0</v>
          </cell>
          <cell r="ED406">
            <v>0</v>
          </cell>
          <cell r="EE406">
            <v>0</v>
          </cell>
          <cell r="EF406">
            <v>0</v>
          </cell>
          <cell r="EG406">
            <v>0</v>
          </cell>
          <cell r="EH406">
            <v>0</v>
          </cell>
          <cell r="EI406">
            <v>0</v>
          </cell>
          <cell r="EJ406">
            <v>0</v>
          </cell>
          <cell r="EK406">
            <v>0</v>
          </cell>
          <cell r="EL406">
            <v>0</v>
          </cell>
          <cell r="EM406">
            <v>0</v>
          </cell>
          <cell r="EN406">
            <v>0</v>
          </cell>
          <cell r="EO406">
            <v>0</v>
          </cell>
          <cell r="EP406">
            <v>0</v>
          </cell>
          <cell r="EQ406">
            <v>0</v>
          </cell>
          <cell r="ER406">
            <v>0</v>
          </cell>
          <cell r="ES406">
            <v>0</v>
          </cell>
          <cell r="ET406">
            <v>0</v>
          </cell>
          <cell r="EU406">
            <v>0</v>
          </cell>
          <cell r="EV406">
            <v>0</v>
          </cell>
          <cell r="EW406">
            <v>0</v>
          </cell>
          <cell r="EX406">
            <v>0</v>
          </cell>
          <cell r="EY406">
            <v>0</v>
          </cell>
          <cell r="EZ406">
            <v>0</v>
          </cell>
          <cell r="FA406">
            <v>0</v>
          </cell>
          <cell r="FB406">
            <v>0</v>
          </cell>
          <cell r="FC406">
            <v>0</v>
          </cell>
          <cell r="FD406">
            <v>0</v>
          </cell>
          <cell r="FE406">
            <v>0</v>
          </cell>
          <cell r="FF406">
            <v>0</v>
          </cell>
          <cell r="FG406">
            <v>0</v>
          </cell>
          <cell r="FH406">
            <v>0</v>
          </cell>
          <cell r="FI406">
            <v>0</v>
          </cell>
          <cell r="FJ406">
            <v>0</v>
          </cell>
          <cell r="FK406">
            <v>0</v>
          </cell>
          <cell r="FL406">
            <v>0</v>
          </cell>
          <cell r="FM406">
            <v>0</v>
          </cell>
          <cell r="FN406">
            <v>0</v>
          </cell>
          <cell r="FO406">
            <v>0</v>
          </cell>
          <cell r="FP406">
            <v>0</v>
          </cell>
          <cell r="FQ406">
            <v>0</v>
          </cell>
          <cell r="FR406">
            <v>0</v>
          </cell>
          <cell r="FS406">
            <v>0</v>
          </cell>
          <cell r="FT406">
            <v>0</v>
          </cell>
          <cell r="FU406">
            <v>0</v>
          </cell>
          <cell r="FV406">
            <v>0</v>
          </cell>
          <cell r="FW406">
            <v>0</v>
          </cell>
          <cell r="FX406">
            <v>0</v>
          </cell>
          <cell r="FY406">
            <v>0</v>
          </cell>
          <cell r="FZ406">
            <v>0</v>
          </cell>
          <cell r="GA406">
            <v>0</v>
          </cell>
          <cell r="GB406">
            <v>0</v>
          </cell>
          <cell r="GC406">
            <v>0</v>
          </cell>
          <cell r="GD406">
            <v>0</v>
          </cell>
          <cell r="GE406">
            <v>0</v>
          </cell>
          <cell r="GF406">
            <v>0</v>
          </cell>
          <cell r="GG406">
            <v>0</v>
          </cell>
          <cell r="GH406">
            <v>0</v>
          </cell>
          <cell r="GI406">
            <v>0</v>
          </cell>
          <cell r="GJ406">
            <v>0</v>
          </cell>
          <cell r="GK406">
            <v>0</v>
          </cell>
          <cell r="GL406">
            <v>0</v>
          </cell>
          <cell r="GM406">
            <v>0</v>
          </cell>
          <cell r="GN406">
            <v>0</v>
          </cell>
          <cell r="GO406">
            <v>0</v>
          </cell>
          <cell r="GP406">
            <v>0</v>
          </cell>
          <cell r="GQ406">
            <v>0</v>
          </cell>
          <cell r="GR406">
            <v>0</v>
          </cell>
          <cell r="GS406">
            <v>0</v>
          </cell>
          <cell r="GT406">
            <v>0</v>
          </cell>
          <cell r="GU406">
            <v>0</v>
          </cell>
          <cell r="GV406">
            <v>0</v>
          </cell>
          <cell r="GW406">
            <v>0</v>
          </cell>
          <cell r="GX406">
            <v>0</v>
          </cell>
          <cell r="GY406">
            <v>0</v>
          </cell>
          <cell r="GZ406">
            <v>0</v>
          </cell>
          <cell r="HA406">
            <v>0</v>
          </cell>
          <cell r="HB406">
            <v>0</v>
          </cell>
          <cell r="HC406">
            <v>0</v>
          </cell>
          <cell r="HD406">
            <v>0</v>
          </cell>
          <cell r="HE406">
            <v>0</v>
          </cell>
          <cell r="HF406">
            <v>0</v>
          </cell>
          <cell r="HG406">
            <v>0</v>
          </cell>
          <cell r="HH406">
            <v>0</v>
          </cell>
          <cell r="HI406">
            <v>0</v>
          </cell>
          <cell r="HJ406">
            <v>0</v>
          </cell>
          <cell r="HK406">
            <v>0</v>
          </cell>
          <cell r="HL406">
            <v>0</v>
          </cell>
          <cell r="HM406">
            <v>0</v>
          </cell>
          <cell r="HN406">
            <v>0</v>
          </cell>
          <cell r="HO406">
            <v>0</v>
          </cell>
          <cell r="HP406">
            <v>0</v>
          </cell>
          <cell r="HQ406">
            <v>0</v>
          </cell>
          <cell r="HR406">
            <v>0</v>
          </cell>
          <cell r="HS406">
            <v>0</v>
          </cell>
          <cell r="HT406">
            <v>0</v>
          </cell>
          <cell r="HU406">
            <v>0</v>
          </cell>
          <cell r="HV406">
            <v>0</v>
          </cell>
          <cell r="HW406">
            <v>0</v>
          </cell>
          <cell r="HX406">
            <v>0</v>
          </cell>
          <cell r="HY406">
            <v>0</v>
          </cell>
          <cell r="HZ406">
            <v>0</v>
          </cell>
          <cell r="IA406">
            <v>0</v>
          </cell>
          <cell r="IB406">
            <v>0</v>
          </cell>
          <cell r="IC406">
            <v>0</v>
          </cell>
          <cell r="ID406">
            <v>0</v>
          </cell>
          <cell r="IE406">
            <v>0</v>
          </cell>
          <cell r="IF406">
            <v>0</v>
          </cell>
          <cell r="IG406">
            <v>0</v>
          </cell>
          <cell r="IH406">
            <v>0</v>
          </cell>
          <cell r="II406">
            <v>0</v>
          </cell>
          <cell r="IJ406">
            <v>0</v>
          </cell>
          <cell r="IK406">
            <v>0</v>
          </cell>
          <cell r="IL406">
            <v>0</v>
          </cell>
          <cell r="IM406">
            <v>0</v>
          </cell>
          <cell r="IN406">
            <v>0</v>
          </cell>
          <cell r="IO406">
            <v>0</v>
          </cell>
          <cell r="IP406">
            <v>0</v>
          </cell>
          <cell r="IQ406">
            <v>0</v>
          </cell>
          <cell r="IR406">
            <v>0</v>
          </cell>
          <cell r="IS406">
            <v>0</v>
          </cell>
          <cell r="IT406">
            <v>0</v>
          </cell>
          <cell r="IU406">
            <v>0</v>
          </cell>
          <cell r="IV406">
            <v>0</v>
          </cell>
          <cell r="IW406">
            <v>0</v>
          </cell>
          <cell r="IX406">
            <v>0</v>
          </cell>
          <cell r="IY406">
            <v>0</v>
          </cell>
          <cell r="IZ406">
            <v>0</v>
          </cell>
          <cell r="JA406">
            <v>0</v>
          </cell>
        </row>
        <row r="412">
          <cell r="L412">
            <v>0</v>
          </cell>
          <cell r="M412">
            <v>0</v>
          </cell>
          <cell r="N412">
            <v>0</v>
          </cell>
          <cell r="O412">
            <v>3.4344E-2</v>
          </cell>
          <cell r="P412">
            <v>2.0109591847499999</v>
          </cell>
          <cell r="Q412">
            <v>2.1629194095051001</v>
          </cell>
          <cell r="R412">
            <v>2.1952467214940299</v>
          </cell>
          <cell r="S412">
            <v>2.2277790251356637</v>
          </cell>
          <cell r="T412">
            <v>2.2605023903028072</v>
          </cell>
          <cell r="U412">
            <v>2.2934022472964992</v>
          </cell>
          <cell r="V412">
            <v>2.3264627247838576</v>
          </cell>
          <cell r="W412">
            <v>2.3596671861424952</v>
          </cell>
          <cell r="X412">
            <v>2.3916616134086435</v>
          </cell>
          <cell r="Y412">
            <v>2.411536099060219</v>
          </cell>
          <cell r="Z412">
            <v>2.4311999245327711</v>
          </cell>
          <cell r="AA412">
            <v>2.4508598503815846</v>
          </cell>
          <cell r="AB412">
            <v>2.4701091767376853</v>
          </cell>
          <cell r="AC412">
            <v>2.4891074078942785</v>
          </cell>
          <cell r="AD412">
            <v>2.2785427518173691</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cell r="BM412">
            <v>0</v>
          </cell>
          <cell r="BN412">
            <v>0</v>
          </cell>
          <cell r="BO412">
            <v>0</v>
          </cell>
          <cell r="BP412">
            <v>0</v>
          </cell>
          <cell r="BQ412">
            <v>0</v>
          </cell>
          <cell r="BR412">
            <v>0</v>
          </cell>
          <cell r="BS412">
            <v>0</v>
          </cell>
          <cell r="BT412">
            <v>0</v>
          </cell>
          <cell r="BU412">
            <v>0</v>
          </cell>
          <cell r="BV412">
            <v>0</v>
          </cell>
          <cell r="BW412">
            <v>0</v>
          </cell>
          <cell r="BX412">
            <v>0</v>
          </cell>
          <cell r="BY412">
            <v>0</v>
          </cell>
          <cell r="BZ412">
            <v>0</v>
          </cell>
          <cell r="CA412">
            <v>0</v>
          </cell>
          <cell r="CB412">
            <v>0</v>
          </cell>
          <cell r="CC412">
            <v>0</v>
          </cell>
          <cell r="CD412">
            <v>0</v>
          </cell>
          <cell r="CE412">
            <v>0</v>
          </cell>
          <cell r="CF412">
            <v>0</v>
          </cell>
          <cell r="CG412">
            <v>0</v>
          </cell>
          <cell r="CH412">
            <v>0</v>
          </cell>
          <cell r="CI412">
            <v>0</v>
          </cell>
          <cell r="CJ412">
            <v>0</v>
          </cell>
          <cell r="CK412">
            <v>0</v>
          </cell>
          <cell r="CL412">
            <v>0</v>
          </cell>
          <cell r="CM412">
            <v>0</v>
          </cell>
          <cell r="CN412">
            <v>0</v>
          </cell>
          <cell r="CO412">
            <v>0</v>
          </cell>
          <cell r="CP412">
            <v>0</v>
          </cell>
          <cell r="CQ412">
            <v>0</v>
          </cell>
          <cell r="CR412">
            <v>0</v>
          </cell>
          <cell r="CS412">
            <v>0</v>
          </cell>
          <cell r="CT412">
            <v>0</v>
          </cell>
          <cell r="CU412">
            <v>0</v>
          </cell>
          <cell r="CV412">
            <v>0</v>
          </cell>
          <cell r="CW412">
            <v>0</v>
          </cell>
          <cell r="CX412">
            <v>0</v>
          </cell>
          <cell r="CY412">
            <v>0</v>
          </cell>
          <cell r="CZ412">
            <v>0</v>
          </cell>
          <cell r="DA412">
            <v>0</v>
          </cell>
          <cell r="DB412">
            <v>0</v>
          </cell>
          <cell r="DC412">
            <v>0</v>
          </cell>
          <cell r="DD412">
            <v>0</v>
          </cell>
          <cell r="DE412">
            <v>0</v>
          </cell>
          <cell r="DF412">
            <v>0</v>
          </cell>
          <cell r="DG412">
            <v>0</v>
          </cell>
          <cell r="DH412">
            <v>0</v>
          </cell>
          <cell r="DI412">
            <v>0</v>
          </cell>
          <cell r="DJ412">
            <v>0</v>
          </cell>
          <cell r="DK412">
            <v>0</v>
          </cell>
          <cell r="DL412">
            <v>0</v>
          </cell>
          <cell r="DM412">
            <v>0</v>
          </cell>
          <cell r="DN412">
            <v>0</v>
          </cell>
          <cell r="DO412">
            <v>0</v>
          </cell>
          <cell r="DP412">
            <v>0</v>
          </cell>
          <cell r="DQ412">
            <v>0</v>
          </cell>
          <cell r="DR412">
            <v>0</v>
          </cell>
          <cell r="DS412">
            <v>0</v>
          </cell>
          <cell r="DT412">
            <v>0</v>
          </cell>
          <cell r="DU412">
            <v>0</v>
          </cell>
          <cell r="DV412">
            <v>0</v>
          </cell>
          <cell r="DW412">
            <v>0</v>
          </cell>
          <cell r="DX412">
            <v>0</v>
          </cell>
          <cell r="DY412">
            <v>0</v>
          </cell>
          <cell r="DZ412">
            <v>0</v>
          </cell>
          <cell r="EA412">
            <v>0</v>
          </cell>
          <cell r="EB412">
            <v>0</v>
          </cell>
          <cell r="EC412">
            <v>0</v>
          </cell>
          <cell r="ED412">
            <v>0</v>
          </cell>
          <cell r="EE412">
            <v>0</v>
          </cell>
          <cell r="EF412">
            <v>0</v>
          </cell>
          <cell r="EG412">
            <v>0</v>
          </cell>
          <cell r="EH412">
            <v>0</v>
          </cell>
          <cell r="EI412">
            <v>0</v>
          </cell>
          <cell r="EJ412">
            <v>0</v>
          </cell>
          <cell r="EK412">
            <v>0</v>
          </cell>
          <cell r="EL412">
            <v>0</v>
          </cell>
          <cell r="EM412">
            <v>0</v>
          </cell>
          <cell r="EN412">
            <v>0</v>
          </cell>
          <cell r="EO412">
            <v>0</v>
          </cell>
          <cell r="EP412">
            <v>0</v>
          </cell>
          <cell r="EQ412">
            <v>0</v>
          </cell>
          <cell r="ER412">
            <v>0</v>
          </cell>
          <cell r="ES412">
            <v>0</v>
          </cell>
          <cell r="ET412">
            <v>0</v>
          </cell>
          <cell r="EU412">
            <v>0</v>
          </cell>
          <cell r="EV412">
            <v>0</v>
          </cell>
          <cell r="EW412">
            <v>0</v>
          </cell>
          <cell r="EX412">
            <v>0</v>
          </cell>
          <cell r="EY412">
            <v>0</v>
          </cell>
          <cell r="EZ412">
            <v>0</v>
          </cell>
          <cell r="FA412">
            <v>0</v>
          </cell>
          <cell r="FB412">
            <v>0</v>
          </cell>
          <cell r="FC412">
            <v>0</v>
          </cell>
          <cell r="FD412">
            <v>0</v>
          </cell>
          <cell r="FE412">
            <v>0</v>
          </cell>
          <cell r="FF412">
            <v>0</v>
          </cell>
          <cell r="FG412">
            <v>0</v>
          </cell>
          <cell r="FH412">
            <v>0</v>
          </cell>
          <cell r="FI412">
            <v>0</v>
          </cell>
          <cell r="FJ412">
            <v>0</v>
          </cell>
          <cell r="FK412">
            <v>0</v>
          </cell>
          <cell r="FL412">
            <v>0</v>
          </cell>
          <cell r="FM412">
            <v>0</v>
          </cell>
          <cell r="FN412">
            <v>0</v>
          </cell>
          <cell r="FO412">
            <v>0</v>
          </cell>
          <cell r="FP412">
            <v>0</v>
          </cell>
          <cell r="FQ412">
            <v>0</v>
          </cell>
          <cell r="FR412">
            <v>0</v>
          </cell>
          <cell r="FS412">
            <v>0</v>
          </cell>
          <cell r="FT412">
            <v>0</v>
          </cell>
          <cell r="FU412">
            <v>0</v>
          </cell>
          <cell r="FV412">
            <v>0</v>
          </cell>
          <cell r="FW412">
            <v>0</v>
          </cell>
          <cell r="FX412">
            <v>0</v>
          </cell>
          <cell r="FY412">
            <v>0</v>
          </cell>
          <cell r="FZ412">
            <v>0</v>
          </cell>
          <cell r="GA412">
            <v>0</v>
          </cell>
          <cell r="GB412">
            <v>0</v>
          </cell>
          <cell r="GC412">
            <v>0</v>
          </cell>
          <cell r="GD412">
            <v>0</v>
          </cell>
          <cell r="GE412">
            <v>0</v>
          </cell>
          <cell r="GF412">
            <v>0</v>
          </cell>
          <cell r="GG412">
            <v>0</v>
          </cell>
          <cell r="GH412">
            <v>0</v>
          </cell>
          <cell r="GI412">
            <v>0</v>
          </cell>
          <cell r="GJ412">
            <v>0</v>
          </cell>
          <cell r="GK412">
            <v>0</v>
          </cell>
          <cell r="GL412">
            <v>0</v>
          </cell>
          <cell r="GM412">
            <v>0</v>
          </cell>
          <cell r="GN412">
            <v>0</v>
          </cell>
          <cell r="GO412">
            <v>0</v>
          </cell>
          <cell r="GP412">
            <v>0</v>
          </cell>
          <cell r="GQ412">
            <v>0</v>
          </cell>
          <cell r="GR412">
            <v>0</v>
          </cell>
          <cell r="GS412">
            <v>0</v>
          </cell>
          <cell r="GT412">
            <v>0</v>
          </cell>
          <cell r="GU412">
            <v>0</v>
          </cell>
          <cell r="GV412">
            <v>0</v>
          </cell>
          <cell r="GW412">
            <v>0</v>
          </cell>
          <cell r="GX412">
            <v>0</v>
          </cell>
          <cell r="GY412">
            <v>0</v>
          </cell>
          <cell r="GZ412">
            <v>0</v>
          </cell>
          <cell r="HA412">
            <v>0</v>
          </cell>
          <cell r="HB412">
            <v>0</v>
          </cell>
          <cell r="HC412">
            <v>0</v>
          </cell>
          <cell r="HD412">
            <v>0</v>
          </cell>
          <cell r="HE412">
            <v>0</v>
          </cell>
          <cell r="HF412">
            <v>0</v>
          </cell>
          <cell r="HG412">
            <v>0</v>
          </cell>
          <cell r="HH412">
            <v>0</v>
          </cell>
          <cell r="HI412">
            <v>0</v>
          </cell>
          <cell r="HJ412">
            <v>0</v>
          </cell>
          <cell r="HK412">
            <v>0</v>
          </cell>
          <cell r="HL412">
            <v>0</v>
          </cell>
          <cell r="HM412">
            <v>0</v>
          </cell>
          <cell r="HN412">
            <v>0</v>
          </cell>
          <cell r="HO412">
            <v>0</v>
          </cell>
          <cell r="HP412">
            <v>0</v>
          </cell>
          <cell r="HQ412">
            <v>0</v>
          </cell>
          <cell r="HR412">
            <v>0</v>
          </cell>
          <cell r="HS412">
            <v>0</v>
          </cell>
          <cell r="HT412">
            <v>0</v>
          </cell>
          <cell r="HU412">
            <v>0</v>
          </cell>
          <cell r="HV412">
            <v>0</v>
          </cell>
          <cell r="HW412">
            <v>0</v>
          </cell>
          <cell r="HX412">
            <v>0</v>
          </cell>
          <cell r="HY412">
            <v>0</v>
          </cell>
          <cell r="HZ412">
            <v>0</v>
          </cell>
          <cell r="IA412">
            <v>0</v>
          </cell>
          <cell r="IB412">
            <v>0</v>
          </cell>
          <cell r="IC412">
            <v>0</v>
          </cell>
          <cell r="ID412">
            <v>0</v>
          </cell>
          <cell r="IE412">
            <v>0</v>
          </cell>
          <cell r="IF412">
            <v>0</v>
          </cell>
          <cell r="IG412">
            <v>0</v>
          </cell>
          <cell r="IH412">
            <v>0</v>
          </cell>
          <cell r="II412">
            <v>0</v>
          </cell>
          <cell r="IJ412">
            <v>0</v>
          </cell>
          <cell r="IK412">
            <v>0</v>
          </cell>
          <cell r="IL412">
            <v>0</v>
          </cell>
          <cell r="IM412">
            <v>0</v>
          </cell>
          <cell r="IN412">
            <v>0</v>
          </cell>
          <cell r="IO412">
            <v>0</v>
          </cell>
          <cell r="IP412">
            <v>0</v>
          </cell>
          <cell r="IQ412">
            <v>0</v>
          </cell>
          <cell r="IR412">
            <v>0</v>
          </cell>
          <cell r="IS412">
            <v>0</v>
          </cell>
          <cell r="IT412">
            <v>0</v>
          </cell>
          <cell r="IU412">
            <v>0</v>
          </cell>
          <cell r="IV412">
            <v>0</v>
          </cell>
          <cell r="IW412">
            <v>0</v>
          </cell>
          <cell r="IX412">
            <v>0</v>
          </cell>
          <cell r="IY412">
            <v>0</v>
          </cell>
          <cell r="IZ412">
            <v>0</v>
          </cell>
          <cell r="JA412">
            <v>0</v>
          </cell>
        </row>
        <row r="415">
          <cell r="L415">
            <v>0</v>
          </cell>
          <cell r="M415">
            <v>0</v>
          </cell>
          <cell r="N415">
            <v>0</v>
          </cell>
          <cell r="O415">
            <v>2.8966200749999996E-3</v>
          </cell>
          <cell r="P415">
            <v>0.13995093292499999</v>
          </cell>
          <cell r="Q415">
            <v>0.16154455000000001</v>
          </cell>
          <cell r="R415">
            <v>0.16154454999999998</v>
          </cell>
          <cell r="S415">
            <v>0.16154454999999998</v>
          </cell>
          <cell r="T415">
            <v>0.164873666548182</v>
          </cell>
          <cell r="U415">
            <v>0.16574797162914565</v>
          </cell>
          <cell r="V415">
            <v>0.16663976281172854</v>
          </cell>
          <cell r="W415">
            <v>0.16754938981796311</v>
          </cell>
          <cell r="X415">
            <v>0.16838303415379627</v>
          </cell>
          <cell r="Y415">
            <v>0.16838319185685907</v>
          </cell>
          <cell r="Z415">
            <v>0.16839693273218467</v>
          </cell>
          <cell r="AA415">
            <v>0.16843991571373557</v>
          </cell>
          <cell r="AB415">
            <v>0.16848549427054774</v>
          </cell>
          <cell r="AC415">
            <v>0.16854654801003849</v>
          </cell>
          <cell r="AD415">
            <v>0.15320564848163365</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cell r="BM415">
            <v>0</v>
          </cell>
          <cell r="BN415">
            <v>0</v>
          </cell>
          <cell r="BO415">
            <v>0</v>
          </cell>
          <cell r="BP415">
            <v>0</v>
          </cell>
          <cell r="BQ415">
            <v>0</v>
          </cell>
          <cell r="BR415">
            <v>0</v>
          </cell>
          <cell r="BS415">
            <v>0</v>
          </cell>
          <cell r="BT415">
            <v>0</v>
          </cell>
          <cell r="BU415">
            <v>0</v>
          </cell>
          <cell r="BV415">
            <v>0</v>
          </cell>
          <cell r="BW415">
            <v>0</v>
          </cell>
          <cell r="BX415">
            <v>0</v>
          </cell>
          <cell r="BY415">
            <v>0</v>
          </cell>
          <cell r="BZ415">
            <v>0</v>
          </cell>
          <cell r="CA415">
            <v>0</v>
          </cell>
          <cell r="CB415">
            <v>0</v>
          </cell>
          <cell r="CC415">
            <v>0</v>
          </cell>
          <cell r="CD415">
            <v>0</v>
          </cell>
          <cell r="CE415">
            <v>0</v>
          </cell>
          <cell r="CF415">
            <v>0</v>
          </cell>
          <cell r="CG415">
            <v>0</v>
          </cell>
          <cell r="CH415">
            <v>0</v>
          </cell>
          <cell r="CI415">
            <v>0</v>
          </cell>
          <cell r="CJ415">
            <v>0</v>
          </cell>
          <cell r="CK415">
            <v>0</v>
          </cell>
          <cell r="CL415">
            <v>0</v>
          </cell>
          <cell r="CM415">
            <v>0</v>
          </cell>
          <cell r="CN415">
            <v>0</v>
          </cell>
          <cell r="CO415">
            <v>0</v>
          </cell>
          <cell r="CP415">
            <v>0</v>
          </cell>
          <cell r="CQ415">
            <v>0</v>
          </cell>
          <cell r="CR415">
            <v>0</v>
          </cell>
          <cell r="CS415">
            <v>0</v>
          </cell>
          <cell r="CT415">
            <v>0</v>
          </cell>
          <cell r="CU415">
            <v>0</v>
          </cell>
          <cell r="CV415">
            <v>0</v>
          </cell>
          <cell r="CW415">
            <v>0</v>
          </cell>
          <cell r="CX415">
            <v>0</v>
          </cell>
          <cell r="CY415">
            <v>0</v>
          </cell>
          <cell r="CZ415">
            <v>0</v>
          </cell>
          <cell r="DA415">
            <v>0</v>
          </cell>
          <cell r="DB415">
            <v>0</v>
          </cell>
          <cell r="DC415">
            <v>0</v>
          </cell>
          <cell r="DD415">
            <v>0</v>
          </cell>
          <cell r="DE415">
            <v>0</v>
          </cell>
          <cell r="DF415">
            <v>0</v>
          </cell>
          <cell r="DG415">
            <v>0</v>
          </cell>
          <cell r="DH415">
            <v>0</v>
          </cell>
          <cell r="DI415">
            <v>0</v>
          </cell>
          <cell r="DJ415">
            <v>0</v>
          </cell>
          <cell r="DK415">
            <v>0</v>
          </cell>
          <cell r="DL415">
            <v>0</v>
          </cell>
          <cell r="DM415">
            <v>0</v>
          </cell>
          <cell r="DN415">
            <v>0</v>
          </cell>
          <cell r="DO415">
            <v>0</v>
          </cell>
          <cell r="DP415">
            <v>0</v>
          </cell>
          <cell r="DQ415">
            <v>0</v>
          </cell>
          <cell r="DR415">
            <v>0</v>
          </cell>
          <cell r="DS415">
            <v>0</v>
          </cell>
          <cell r="DT415">
            <v>0</v>
          </cell>
          <cell r="DU415">
            <v>0</v>
          </cell>
          <cell r="DV415">
            <v>0</v>
          </cell>
          <cell r="DW415">
            <v>0</v>
          </cell>
          <cell r="DX415">
            <v>0</v>
          </cell>
          <cell r="DY415">
            <v>0</v>
          </cell>
          <cell r="DZ415">
            <v>0</v>
          </cell>
          <cell r="EA415">
            <v>0</v>
          </cell>
          <cell r="EB415">
            <v>0</v>
          </cell>
          <cell r="EC415">
            <v>0</v>
          </cell>
          <cell r="ED415">
            <v>0</v>
          </cell>
          <cell r="EE415">
            <v>0</v>
          </cell>
          <cell r="EF415">
            <v>0</v>
          </cell>
          <cell r="EG415">
            <v>0</v>
          </cell>
          <cell r="EH415">
            <v>0</v>
          </cell>
          <cell r="EI415">
            <v>0</v>
          </cell>
          <cell r="EJ415">
            <v>0</v>
          </cell>
          <cell r="EK415">
            <v>0</v>
          </cell>
          <cell r="EL415">
            <v>0</v>
          </cell>
          <cell r="EM415">
            <v>0</v>
          </cell>
          <cell r="EN415">
            <v>0</v>
          </cell>
          <cell r="EO415">
            <v>0</v>
          </cell>
          <cell r="EP415">
            <v>0</v>
          </cell>
          <cell r="EQ415">
            <v>0</v>
          </cell>
          <cell r="ER415">
            <v>0</v>
          </cell>
          <cell r="ES415">
            <v>0</v>
          </cell>
          <cell r="ET415">
            <v>0</v>
          </cell>
          <cell r="EU415">
            <v>0</v>
          </cell>
          <cell r="EV415">
            <v>0</v>
          </cell>
          <cell r="EW415">
            <v>0</v>
          </cell>
          <cell r="EX415">
            <v>0</v>
          </cell>
          <cell r="EY415">
            <v>0</v>
          </cell>
          <cell r="EZ415">
            <v>0</v>
          </cell>
          <cell r="FA415">
            <v>0</v>
          </cell>
          <cell r="FB415">
            <v>0</v>
          </cell>
          <cell r="FC415">
            <v>0</v>
          </cell>
          <cell r="FD415">
            <v>0</v>
          </cell>
          <cell r="FE415">
            <v>0</v>
          </cell>
          <cell r="FF415">
            <v>0</v>
          </cell>
          <cell r="FG415">
            <v>0</v>
          </cell>
          <cell r="FH415">
            <v>0</v>
          </cell>
          <cell r="FI415">
            <v>0</v>
          </cell>
          <cell r="FJ415">
            <v>0</v>
          </cell>
          <cell r="FK415">
            <v>0</v>
          </cell>
          <cell r="FL415">
            <v>0</v>
          </cell>
          <cell r="FM415">
            <v>0</v>
          </cell>
          <cell r="FN415">
            <v>0</v>
          </cell>
          <cell r="FO415">
            <v>0</v>
          </cell>
          <cell r="FP415">
            <v>0</v>
          </cell>
          <cell r="FQ415">
            <v>0</v>
          </cell>
          <cell r="FR415">
            <v>0</v>
          </cell>
          <cell r="FS415">
            <v>0</v>
          </cell>
          <cell r="FT415">
            <v>0</v>
          </cell>
          <cell r="FU415">
            <v>0</v>
          </cell>
          <cell r="FV415">
            <v>0</v>
          </cell>
          <cell r="FW415">
            <v>0</v>
          </cell>
          <cell r="FX415">
            <v>0</v>
          </cell>
          <cell r="FY415">
            <v>0</v>
          </cell>
          <cell r="FZ415">
            <v>0</v>
          </cell>
          <cell r="GA415">
            <v>0</v>
          </cell>
          <cell r="GB415">
            <v>0</v>
          </cell>
          <cell r="GC415">
            <v>0</v>
          </cell>
          <cell r="GD415">
            <v>0</v>
          </cell>
          <cell r="GE415">
            <v>0</v>
          </cell>
          <cell r="GF415">
            <v>0</v>
          </cell>
          <cell r="GG415">
            <v>0</v>
          </cell>
          <cell r="GH415">
            <v>0</v>
          </cell>
          <cell r="GI415">
            <v>0</v>
          </cell>
          <cell r="GJ415">
            <v>0</v>
          </cell>
          <cell r="GK415">
            <v>0</v>
          </cell>
          <cell r="GL415">
            <v>0</v>
          </cell>
          <cell r="GM415">
            <v>0</v>
          </cell>
          <cell r="GN415">
            <v>0</v>
          </cell>
          <cell r="GO415">
            <v>0</v>
          </cell>
          <cell r="GP415">
            <v>0</v>
          </cell>
          <cell r="GQ415">
            <v>0</v>
          </cell>
          <cell r="GR415">
            <v>0</v>
          </cell>
          <cell r="GS415">
            <v>0</v>
          </cell>
          <cell r="GT415">
            <v>0</v>
          </cell>
          <cell r="GU415">
            <v>0</v>
          </cell>
          <cell r="GV415">
            <v>0</v>
          </cell>
          <cell r="GW415">
            <v>0</v>
          </cell>
          <cell r="GX415">
            <v>0</v>
          </cell>
          <cell r="GY415">
            <v>0</v>
          </cell>
          <cell r="GZ415">
            <v>0</v>
          </cell>
          <cell r="HA415">
            <v>0</v>
          </cell>
          <cell r="HB415">
            <v>0</v>
          </cell>
          <cell r="HC415">
            <v>0</v>
          </cell>
          <cell r="HD415">
            <v>0</v>
          </cell>
          <cell r="HE415">
            <v>0</v>
          </cell>
          <cell r="HF415">
            <v>0</v>
          </cell>
          <cell r="HG415">
            <v>0</v>
          </cell>
          <cell r="HH415">
            <v>0</v>
          </cell>
          <cell r="HI415">
            <v>0</v>
          </cell>
          <cell r="HJ415">
            <v>0</v>
          </cell>
          <cell r="HK415">
            <v>0</v>
          </cell>
          <cell r="HL415">
            <v>0</v>
          </cell>
          <cell r="HM415">
            <v>0</v>
          </cell>
          <cell r="HN415">
            <v>0</v>
          </cell>
          <cell r="HO415">
            <v>0</v>
          </cell>
          <cell r="HP415">
            <v>0</v>
          </cell>
          <cell r="HQ415">
            <v>0</v>
          </cell>
          <cell r="HR415">
            <v>0</v>
          </cell>
          <cell r="HS415">
            <v>0</v>
          </cell>
          <cell r="HT415">
            <v>0</v>
          </cell>
          <cell r="HU415">
            <v>0</v>
          </cell>
          <cell r="HV415">
            <v>0</v>
          </cell>
          <cell r="HW415">
            <v>0</v>
          </cell>
          <cell r="HX415">
            <v>0</v>
          </cell>
          <cell r="HY415">
            <v>0</v>
          </cell>
          <cell r="HZ415">
            <v>0</v>
          </cell>
          <cell r="IA415">
            <v>0</v>
          </cell>
          <cell r="IB415">
            <v>0</v>
          </cell>
          <cell r="IC415">
            <v>0</v>
          </cell>
          <cell r="ID415">
            <v>0</v>
          </cell>
          <cell r="IE415">
            <v>0</v>
          </cell>
          <cell r="IF415">
            <v>0</v>
          </cell>
          <cell r="IG415">
            <v>0</v>
          </cell>
          <cell r="IH415">
            <v>0</v>
          </cell>
          <cell r="II415">
            <v>0</v>
          </cell>
          <cell r="IJ415">
            <v>0</v>
          </cell>
          <cell r="IK415">
            <v>0</v>
          </cell>
          <cell r="IL415">
            <v>0</v>
          </cell>
          <cell r="IM415">
            <v>0</v>
          </cell>
          <cell r="IN415">
            <v>0</v>
          </cell>
          <cell r="IO415">
            <v>0</v>
          </cell>
          <cell r="IP415">
            <v>0</v>
          </cell>
          <cell r="IQ415">
            <v>0</v>
          </cell>
          <cell r="IR415">
            <v>0</v>
          </cell>
          <cell r="IS415">
            <v>0</v>
          </cell>
          <cell r="IT415">
            <v>0</v>
          </cell>
          <cell r="IU415">
            <v>0</v>
          </cell>
          <cell r="IV415">
            <v>0</v>
          </cell>
          <cell r="IW415">
            <v>0</v>
          </cell>
          <cell r="IX415">
            <v>0</v>
          </cell>
          <cell r="IY415">
            <v>0</v>
          </cell>
          <cell r="IZ415">
            <v>0</v>
          </cell>
          <cell r="JA415">
            <v>0</v>
          </cell>
        </row>
        <row r="416">
          <cell r="L416">
            <v>0</v>
          </cell>
          <cell r="M416">
            <v>0</v>
          </cell>
          <cell r="N416">
            <v>0</v>
          </cell>
          <cell r="O416">
            <v>6.8687999999999996E-3</v>
          </cell>
          <cell r="P416">
            <v>0.39430572250000001</v>
          </cell>
          <cell r="Q416">
            <v>0.41578612255000003</v>
          </cell>
          <cell r="R416">
            <v>0.41372600310099994</v>
          </cell>
          <cell r="S416">
            <v>0.41162467730277491</v>
          </cell>
          <cell r="T416">
            <v>0.4094813333051</v>
          </cell>
          <cell r="U416">
            <v>0.40729511965530002</v>
          </cell>
          <cell r="V416">
            <v>0.40506518490069998</v>
          </cell>
          <cell r="W416">
            <v>0.40279063798617498</v>
          </cell>
          <cell r="X416">
            <v>0.40024714631414998</v>
          </cell>
          <cell r="Y416">
            <v>0.39565991428019998</v>
          </cell>
          <cell r="Z416">
            <v>0.39106481917800001</v>
          </cell>
          <cell r="AA416">
            <v>0.38649725160952497</v>
          </cell>
          <cell r="AB416">
            <v>0.381894955813875</v>
          </cell>
          <cell r="AC416">
            <v>0.37728645703049996</v>
          </cell>
          <cell r="AD416">
            <v>0.33859814998514992</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cell r="BM416">
            <v>0</v>
          </cell>
          <cell r="BN416">
            <v>0</v>
          </cell>
          <cell r="BO416">
            <v>0</v>
          </cell>
          <cell r="BP416">
            <v>0</v>
          </cell>
          <cell r="BQ416">
            <v>0</v>
          </cell>
          <cell r="BR416">
            <v>0</v>
          </cell>
          <cell r="BS416">
            <v>0</v>
          </cell>
          <cell r="BT416">
            <v>0</v>
          </cell>
          <cell r="BU416">
            <v>0</v>
          </cell>
          <cell r="BV416">
            <v>0</v>
          </cell>
          <cell r="BW416">
            <v>0</v>
          </cell>
          <cell r="BX416">
            <v>0</v>
          </cell>
          <cell r="BY416">
            <v>0</v>
          </cell>
          <cell r="BZ416">
            <v>0</v>
          </cell>
          <cell r="CA416">
            <v>0</v>
          </cell>
          <cell r="CB416">
            <v>0</v>
          </cell>
          <cell r="CC416">
            <v>0</v>
          </cell>
          <cell r="CD416">
            <v>0</v>
          </cell>
          <cell r="CE416">
            <v>0</v>
          </cell>
          <cell r="CF416">
            <v>0</v>
          </cell>
          <cell r="CG416">
            <v>0</v>
          </cell>
          <cell r="CH416">
            <v>0</v>
          </cell>
          <cell r="CI416">
            <v>0</v>
          </cell>
          <cell r="CJ416">
            <v>0</v>
          </cell>
          <cell r="CK416">
            <v>0</v>
          </cell>
          <cell r="CL416">
            <v>0</v>
          </cell>
          <cell r="CM416">
            <v>0</v>
          </cell>
          <cell r="CN416">
            <v>0</v>
          </cell>
          <cell r="CO416">
            <v>0</v>
          </cell>
          <cell r="CP416">
            <v>0</v>
          </cell>
          <cell r="CQ416">
            <v>0</v>
          </cell>
          <cell r="CR416">
            <v>0</v>
          </cell>
          <cell r="CS416">
            <v>0</v>
          </cell>
          <cell r="CT416">
            <v>0</v>
          </cell>
          <cell r="CU416">
            <v>0</v>
          </cell>
          <cell r="CV416">
            <v>0</v>
          </cell>
          <cell r="CW416">
            <v>0</v>
          </cell>
          <cell r="CX416">
            <v>0</v>
          </cell>
          <cell r="CY416">
            <v>0</v>
          </cell>
          <cell r="CZ416">
            <v>0</v>
          </cell>
          <cell r="DA416">
            <v>0</v>
          </cell>
          <cell r="DB416">
            <v>0</v>
          </cell>
          <cell r="DC416">
            <v>0</v>
          </cell>
          <cell r="DD416">
            <v>0</v>
          </cell>
          <cell r="DE416">
            <v>0</v>
          </cell>
          <cell r="DF416">
            <v>0</v>
          </cell>
          <cell r="DG416">
            <v>0</v>
          </cell>
          <cell r="DH416">
            <v>0</v>
          </cell>
          <cell r="DI416">
            <v>0</v>
          </cell>
          <cell r="DJ416">
            <v>0</v>
          </cell>
          <cell r="DK416">
            <v>0</v>
          </cell>
          <cell r="DL416">
            <v>0</v>
          </cell>
          <cell r="DM416">
            <v>0</v>
          </cell>
          <cell r="DN416">
            <v>0</v>
          </cell>
          <cell r="DO416">
            <v>0</v>
          </cell>
          <cell r="DP416">
            <v>0</v>
          </cell>
          <cell r="DQ416">
            <v>0</v>
          </cell>
          <cell r="DR416">
            <v>0</v>
          </cell>
          <cell r="DS416">
            <v>0</v>
          </cell>
          <cell r="DT416">
            <v>0</v>
          </cell>
          <cell r="DU416">
            <v>0</v>
          </cell>
          <cell r="DV416">
            <v>0</v>
          </cell>
          <cell r="DW416">
            <v>0</v>
          </cell>
          <cell r="DX416">
            <v>0</v>
          </cell>
          <cell r="DY416">
            <v>0</v>
          </cell>
          <cell r="DZ416">
            <v>0</v>
          </cell>
          <cell r="EA416">
            <v>0</v>
          </cell>
          <cell r="EB416">
            <v>0</v>
          </cell>
          <cell r="EC416">
            <v>0</v>
          </cell>
          <cell r="ED416">
            <v>0</v>
          </cell>
          <cell r="EE416">
            <v>0</v>
          </cell>
          <cell r="EF416">
            <v>0</v>
          </cell>
          <cell r="EG416">
            <v>0</v>
          </cell>
          <cell r="EH416">
            <v>0</v>
          </cell>
          <cell r="EI416">
            <v>0</v>
          </cell>
          <cell r="EJ416">
            <v>0</v>
          </cell>
          <cell r="EK416">
            <v>0</v>
          </cell>
          <cell r="EL416">
            <v>0</v>
          </cell>
          <cell r="EM416">
            <v>0</v>
          </cell>
          <cell r="EN416">
            <v>0</v>
          </cell>
          <cell r="EO416">
            <v>0</v>
          </cell>
          <cell r="EP416">
            <v>0</v>
          </cell>
          <cell r="EQ416">
            <v>0</v>
          </cell>
          <cell r="ER416">
            <v>0</v>
          </cell>
          <cell r="ES416">
            <v>0</v>
          </cell>
          <cell r="ET416">
            <v>0</v>
          </cell>
          <cell r="EU416">
            <v>0</v>
          </cell>
          <cell r="EV416">
            <v>0</v>
          </cell>
          <cell r="EW416">
            <v>0</v>
          </cell>
          <cell r="EX416">
            <v>0</v>
          </cell>
          <cell r="EY416">
            <v>0</v>
          </cell>
          <cell r="EZ416">
            <v>0</v>
          </cell>
          <cell r="FA416">
            <v>0</v>
          </cell>
          <cell r="FB416">
            <v>0</v>
          </cell>
          <cell r="FC416">
            <v>0</v>
          </cell>
          <cell r="FD416">
            <v>0</v>
          </cell>
          <cell r="FE416">
            <v>0</v>
          </cell>
          <cell r="FF416">
            <v>0</v>
          </cell>
          <cell r="FG416">
            <v>0</v>
          </cell>
          <cell r="FH416">
            <v>0</v>
          </cell>
          <cell r="FI416">
            <v>0</v>
          </cell>
          <cell r="FJ416">
            <v>0</v>
          </cell>
          <cell r="FK416">
            <v>0</v>
          </cell>
          <cell r="FL416">
            <v>0</v>
          </cell>
          <cell r="FM416">
            <v>0</v>
          </cell>
          <cell r="FN416">
            <v>0</v>
          </cell>
          <cell r="FO416">
            <v>0</v>
          </cell>
          <cell r="FP416">
            <v>0</v>
          </cell>
          <cell r="FQ416">
            <v>0</v>
          </cell>
          <cell r="FR416">
            <v>0</v>
          </cell>
          <cell r="FS416">
            <v>0</v>
          </cell>
          <cell r="FT416">
            <v>0</v>
          </cell>
          <cell r="FU416">
            <v>0</v>
          </cell>
          <cell r="FV416">
            <v>0</v>
          </cell>
          <cell r="FW416">
            <v>0</v>
          </cell>
          <cell r="FX416">
            <v>0</v>
          </cell>
          <cell r="FY416">
            <v>0</v>
          </cell>
          <cell r="FZ416">
            <v>0</v>
          </cell>
          <cell r="GA416">
            <v>0</v>
          </cell>
          <cell r="GB416">
            <v>0</v>
          </cell>
          <cell r="GC416">
            <v>0</v>
          </cell>
          <cell r="GD416">
            <v>0</v>
          </cell>
          <cell r="GE416">
            <v>0</v>
          </cell>
          <cell r="GF416">
            <v>0</v>
          </cell>
          <cell r="GG416">
            <v>0</v>
          </cell>
          <cell r="GH416">
            <v>0</v>
          </cell>
          <cell r="GI416">
            <v>0</v>
          </cell>
          <cell r="GJ416">
            <v>0</v>
          </cell>
          <cell r="GK416">
            <v>0</v>
          </cell>
          <cell r="GL416">
            <v>0</v>
          </cell>
          <cell r="GM416">
            <v>0</v>
          </cell>
          <cell r="GN416">
            <v>0</v>
          </cell>
          <cell r="GO416">
            <v>0</v>
          </cell>
          <cell r="GP416">
            <v>0</v>
          </cell>
          <cell r="GQ416">
            <v>0</v>
          </cell>
          <cell r="GR416">
            <v>0</v>
          </cell>
          <cell r="GS416">
            <v>0</v>
          </cell>
          <cell r="GT416">
            <v>0</v>
          </cell>
          <cell r="GU416">
            <v>0</v>
          </cell>
          <cell r="GV416">
            <v>0</v>
          </cell>
          <cell r="GW416">
            <v>0</v>
          </cell>
          <cell r="GX416">
            <v>0</v>
          </cell>
          <cell r="GY416">
            <v>0</v>
          </cell>
          <cell r="GZ416">
            <v>0</v>
          </cell>
          <cell r="HA416">
            <v>0</v>
          </cell>
          <cell r="HB416">
            <v>0</v>
          </cell>
          <cell r="HC416">
            <v>0</v>
          </cell>
          <cell r="HD416">
            <v>0</v>
          </cell>
          <cell r="HE416">
            <v>0</v>
          </cell>
          <cell r="HF416">
            <v>0</v>
          </cell>
          <cell r="HG416">
            <v>0</v>
          </cell>
          <cell r="HH416">
            <v>0</v>
          </cell>
          <cell r="HI416">
            <v>0</v>
          </cell>
          <cell r="HJ416">
            <v>0</v>
          </cell>
          <cell r="HK416">
            <v>0</v>
          </cell>
          <cell r="HL416">
            <v>0</v>
          </cell>
          <cell r="HM416">
            <v>0</v>
          </cell>
          <cell r="HN416">
            <v>0</v>
          </cell>
          <cell r="HO416">
            <v>0</v>
          </cell>
          <cell r="HP416">
            <v>0</v>
          </cell>
          <cell r="HQ416">
            <v>0</v>
          </cell>
          <cell r="HR416">
            <v>0</v>
          </cell>
          <cell r="HS416">
            <v>0</v>
          </cell>
          <cell r="HT416">
            <v>0</v>
          </cell>
          <cell r="HU416">
            <v>0</v>
          </cell>
          <cell r="HV416">
            <v>0</v>
          </cell>
          <cell r="HW416">
            <v>0</v>
          </cell>
          <cell r="HX416">
            <v>0</v>
          </cell>
          <cell r="HY416">
            <v>0</v>
          </cell>
          <cell r="HZ416">
            <v>0</v>
          </cell>
          <cell r="IA416">
            <v>0</v>
          </cell>
          <cell r="IB416">
            <v>0</v>
          </cell>
          <cell r="IC416">
            <v>0</v>
          </cell>
          <cell r="ID416">
            <v>0</v>
          </cell>
          <cell r="IE416">
            <v>0</v>
          </cell>
          <cell r="IF416">
            <v>0</v>
          </cell>
          <cell r="IG416">
            <v>0</v>
          </cell>
          <cell r="IH416">
            <v>0</v>
          </cell>
          <cell r="II416">
            <v>0</v>
          </cell>
          <cell r="IJ416">
            <v>0</v>
          </cell>
          <cell r="IK416">
            <v>0</v>
          </cell>
          <cell r="IL416">
            <v>0</v>
          </cell>
          <cell r="IM416">
            <v>0</v>
          </cell>
          <cell r="IN416">
            <v>0</v>
          </cell>
          <cell r="IO416">
            <v>0</v>
          </cell>
          <cell r="IP416">
            <v>0</v>
          </cell>
          <cell r="IQ416">
            <v>0</v>
          </cell>
          <cell r="IR416">
            <v>0</v>
          </cell>
          <cell r="IS416">
            <v>0</v>
          </cell>
          <cell r="IT416">
            <v>0</v>
          </cell>
          <cell r="IU416">
            <v>0</v>
          </cell>
          <cell r="IV416">
            <v>0</v>
          </cell>
          <cell r="IW416">
            <v>0</v>
          </cell>
          <cell r="IX416">
            <v>0</v>
          </cell>
          <cell r="IY416">
            <v>0</v>
          </cell>
          <cell r="IZ416">
            <v>0</v>
          </cell>
          <cell r="JA416">
            <v>0</v>
          </cell>
        </row>
        <row r="425">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cell r="BM425">
            <v>0</v>
          </cell>
          <cell r="BN425">
            <v>0</v>
          </cell>
          <cell r="BO425">
            <v>0</v>
          </cell>
          <cell r="BP425">
            <v>0</v>
          </cell>
          <cell r="BQ425">
            <v>0</v>
          </cell>
          <cell r="BR425">
            <v>0</v>
          </cell>
          <cell r="BS425">
            <v>0</v>
          </cell>
          <cell r="BT425">
            <v>0</v>
          </cell>
          <cell r="BU425">
            <v>0</v>
          </cell>
          <cell r="BV425">
            <v>0</v>
          </cell>
          <cell r="BW425">
            <v>0</v>
          </cell>
          <cell r="BX425">
            <v>0</v>
          </cell>
          <cell r="BY425">
            <v>0</v>
          </cell>
          <cell r="BZ425">
            <v>0</v>
          </cell>
          <cell r="CA425">
            <v>0</v>
          </cell>
          <cell r="CB425">
            <v>0</v>
          </cell>
          <cell r="CC425">
            <v>0</v>
          </cell>
          <cell r="CD425">
            <v>0</v>
          </cell>
          <cell r="CE425">
            <v>0</v>
          </cell>
          <cell r="CF425">
            <v>0</v>
          </cell>
          <cell r="CG425">
            <v>0</v>
          </cell>
          <cell r="CH425">
            <v>0</v>
          </cell>
          <cell r="CI425">
            <v>0</v>
          </cell>
          <cell r="CJ425">
            <v>0</v>
          </cell>
          <cell r="CK425">
            <v>0</v>
          </cell>
          <cell r="CL425">
            <v>0</v>
          </cell>
          <cell r="CM425">
            <v>0</v>
          </cell>
          <cell r="CN425">
            <v>0</v>
          </cell>
          <cell r="CO425">
            <v>0</v>
          </cell>
          <cell r="CP425">
            <v>0</v>
          </cell>
          <cell r="CQ425">
            <v>0</v>
          </cell>
          <cell r="CR425">
            <v>0</v>
          </cell>
          <cell r="CS425">
            <v>0</v>
          </cell>
          <cell r="CT425">
            <v>0</v>
          </cell>
          <cell r="CU425">
            <v>0</v>
          </cell>
          <cell r="CV425">
            <v>0</v>
          </cell>
          <cell r="CW425">
            <v>0</v>
          </cell>
          <cell r="CX425">
            <v>0</v>
          </cell>
          <cell r="CY425">
            <v>0</v>
          </cell>
          <cell r="CZ425">
            <v>0</v>
          </cell>
          <cell r="DA425">
            <v>0</v>
          </cell>
          <cell r="DB425">
            <v>0</v>
          </cell>
          <cell r="DC425">
            <v>0</v>
          </cell>
          <cell r="DD425">
            <v>0</v>
          </cell>
          <cell r="DE425">
            <v>0</v>
          </cell>
          <cell r="DF425">
            <v>0</v>
          </cell>
          <cell r="DG425">
            <v>0</v>
          </cell>
          <cell r="DH425">
            <v>0</v>
          </cell>
          <cell r="DI425">
            <v>0</v>
          </cell>
          <cell r="DJ425">
            <v>0</v>
          </cell>
          <cell r="DK425">
            <v>0</v>
          </cell>
          <cell r="DL425">
            <v>0</v>
          </cell>
          <cell r="DM425">
            <v>0</v>
          </cell>
          <cell r="DN425">
            <v>0</v>
          </cell>
          <cell r="DO425">
            <v>0</v>
          </cell>
          <cell r="DP425">
            <v>0</v>
          </cell>
          <cell r="DQ425">
            <v>0</v>
          </cell>
          <cell r="DR425">
            <v>0</v>
          </cell>
          <cell r="DS425">
            <v>0</v>
          </cell>
          <cell r="DT425">
            <v>0</v>
          </cell>
          <cell r="DU425">
            <v>0</v>
          </cell>
          <cell r="DV425">
            <v>0</v>
          </cell>
          <cell r="DW425">
            <v>0</v>
          </cell>
          <cell r="DX425">
            <v>0</v>
          </cell>
          <cell r="DY425">
            <v>0</v>
          </cell>
          <cell r="DZ425">
            <v>0</v>
          </cell>
          <cell r="EA425">
            <v>0</v>
          </cell>
          <cell r="EB425">
            <v>0</v>
          </cell>
          <cell r="EC425">
            <v>0</v>
          </cell>
          <cell r="ED425">
            <v>0</v>
          </cell>
          <cell r="EE425">
            <v>0</v>
          </cell>
          <cell r="EF425">
            <v>0</v>
          </cell>
          <cell r="EG425">
            <v>0</v>
          </cell>
          <cell r="EH425">
            <v>0</v>
          </cell>
          <cell r="EI425">
            <v>0</v>
          </cell>
          <cell r="EJ425">
            <v>0</v>
          </cell>
          <cell r="EK425">
            <v>0</v>
          </cell>
          <cell r="EL425">
            <v>0</v>
          </cell>
          <cell r="EM425">
            <v>0</v>
          </cell>
          <cell r="EN425">
            <v>0</v>
          </cell>
          <cell r="EO425">
            <v>0</v>
          </cell>
          <cell r="EP425">
            <v>0</v>
          </cell>
          <cell r="EQ425">
            <v>0</v>
          </cell>
          <cell r="ER425">
            <v>0</v>
          </cell>
          <cell r="ES425">
            <v>0</v>
          </cell>
          <cell r="ET425">
            <v>0</v>
          </cell>
          <cell r="EU425">
            <v>0</v>
          </cell>
          <cell r="EV425">
            <v>0</v>
          </cell>
          <cell r="EW425">
            <v>0</v>
          </cell>
          <cell r="EX425">
            <v>0</v>
          </cell>
          <cell r="EY425">
            <v>0</v>
          </cell>
          <cell r="EZ425">
            <v>0</v>
          </cell>
          <cell r="FA425">
            <v>0</v>
          </cell>
          <cell r="FB425">
            <v>0</v>
          </cell>
          <cell r="FC425">
            <v>0</v>
          </cell>
          <cell r="FD425">
            <v>0</v>
          </cell>
          <cell r="FE425">
            <v>0</v>
          </cell>
          <cell r="FF425">
            <v>0</v>
          </cell>
          <cell r="FG425">
            <v>0</v>
          </cell>
          <cell r="FH425">
            <v>0</v>
          </cell>
          <cell r="FI425">
            <v>0</v>
          </cell>
          <cell r="FJ425">
            <v>0</v>
          </cell>
          <cell r="FK425">
            <v>0</v>
          </cell>
          <cell r="FL425">
            <v>0</v>
          </cell>
          <cell r="FM425">
            <v>0</v>
          </cell>
          <cell r="FN425">
            <v>0</v>
          </cell>
          <cell r="FO425">
            <v>0</v>
          </cell>
          <cell r="FP425">
            <v>0</v>
          </cell>
          <cell r="FQ425">
            <v>0</v>
          </cell>
          <cell r="FR425">
            <v>0</v>
          </cell>
          <cell r="FS425">
            <v>0</v>
          </cell>
          <cell r="FT425">
            <v>0</v>
          </cell>
          <cell r="FU425">
            <v>0</v>
          </cell>
          <cell r="FV425">
            <v>0</v>
          </cell>
          <cell r="FW425">
            <v>0</v>
          </cell>
          <cell r="FX425">
            <v>0</v>
          </cell>
          <cell r="FY425">
            <v>0</v>
          </cell>
          <cell r="FZ425">
            <v>0</v>
          </cell>
          <cell r="GA425">
            <v>0</v>
          </cell>
          <cell r="GB425">
            <v>0</v>
          </cell>
          <cell r="GC425">
            <v>0</v>
          </cell>
          <cell r="GD425">
            <v>0</v>
          </cell>
          <cell r="GE425">
            <v>0</v>
          </cell>
          <cell r="GF425">
            <v>0</v>
          </cell>
          <cell r="GG425">
            <v>0</v>
          </cell>
          <cell r="GH425">
            <v>0</v>
          </cell>
          <cell r="GI425">
            <v>0</v>
          </cell>
          <cell r="GJ425">
            <v>0</v>
          </cell>
          <cell r="GK425">
            <v>0</v>
          </cell>
          <cell r="GL425">
            <v>0</v>
          </cell>
          <cell r="GM425">
            <v>0</v>
          </cell>
          <cell r="GN425">
            <v>0</v>
          </cell>
          <cell r="GO425">
            <v>0</v>
          </cell>
          <cell r="GP425">
            <v>0</v>
          </cell>
          <cell r="GQ425">
            <v>0</v>
          </cell>
          <cell r="GR425">
            <v>0</v>
          </cell>
          <cell r="GS425">
            <v>0</v>
          </cell>
          <cell r="GT425">
            <v>0</v>
          </cell>
          <cell r="GU425">
            <v>0</v>
          </cell>
          <cell r="GV425">
            <v>0</v>
          </cell>
          <cell r="GW425">
            <v>0</v>
          </cell>
          <cell r="GX425">
            <v>0</v>
          </cell>
          <cell r="GY425">
            <v>0</v>
          </cell>
          <cell r="GZ425">
            <v>0</v>
          </cell>
          <cell r="HA425">
            <v>0</v>
          </cell>
          <cell r="HB425">
            <v>0</v>
          </cell>
          <cell r="HC425">
            <v>0</v>
          </cell>
          <cell r="HD425">
            <v>0</v>
          </cell>
          <cell r="HE425">
            <v>0</v>
          </cell>
          <cell r="HF425">
            <v>0</v>
          </cell>
          <cell r="HG425">
            <v>0</v>
          </cell>
          <cell r="HH425">
            <v>0</v>
          </cell>
          <cell r="HI425">
            <v>0</v>
          </cell>
          <cell r="HJ425">
            <v>0</v>
          </cell>
          <cell r="HK425">
            <v>0</v>
          </cell>
          <cell r="HL425">
            <v>0</v>
          </cell>
          <cell r="HM425">
            <v>0</v>
          </cell>
          <cell r="HN425">
            <v>0</v>
          </cell>
          <cell r="HO425">
            <v>0</v>
          </cell>
          <cell r="HP425">
            <v>0</v>
          </cell>
          <cell r="HQ425">
            <v>0</v>
          </cell>
          <cell r="HR425">
            <v>0</v>
          </cell>
          <cell r="HS425">
            <v>0</v>
          </cell>
          <cell r="HT425">
            <v>0</v>
          </cell>
          <cell r="HU425">
            <v>0</v>
          </cell>
          <cell r="HV425">
            <v>0</v>
          </cell>
          <cell r="HW425">
            <v>0</v>
          </cell>
          <cell r="HX425">
            <v>0</v>
          </cell>
          <cell r="HY425">
            <v>0</v>
          </cell>
          <cell r="HZ425">
            <v>0</v>
          </cell>
          <cell r="IA425">
            <v>0</v>
          </cell>
          <cell r="IB425">
            <v>0</v>
          </cell>
          <cell r="IC425">
            <v>0</v>
          </cell>
          <cell r="ID425">
            <v>0</v>
          </cell>
          <cell r="IE425">
            <v>0</v>
          </cell>
          <cell r="IF425">
            <v>0</v>
          </cell>
          <cell r="IG425">
            <v>0</v>
          </cell>
          <cell r="IH425">
            <v>0</v>
          </cell>
          <cell r="II425">
            <v>0</v>
          </cell>
          <cell r="IJ425">
            <v>0</v>
          </cell>
          <cell r="IK425">
            <v>0</v>
          </cell>
          <cell r="IL425">
            <v>0</v>
          </cell>
          <cell r="IM425">
            <v>0</v>
          </cell>
          <cell r="IN425">
            <v>0</v>
          </cell>
          <cell r="IO425">
            <v>0</v>
          </cell>
          <cell r="IP425">
            <v>0</v>
          </cell>
          <cell r="IQ425">
            <v>0</v>
          </cell>
          <cell r="IR425">
            <v>0</v>
          </cell>
          <cell r="IS425">
            <v>0</v>
          </cell>
          <cell r="IT425">
            <v>0</v>
          </cell>
          <cell r="IU425">
            <v>0</v>
          </cell>
          <cell r="IV425">
            <v>0</v>
          </cell>
          <cell r="IW425">
            <v>0</v>
          </cell>
          <cell r="IX425">
            <v>0</v>
          </cell>
          <cell r="IY425">
            <v>0</v>
          </cell>
          <cell r="IZ425">
            <v>0</v>
          </cell>
          <cell r="JA425">
            <v>0</v>
          </cell>
        </row>
        <row r="426">
          <cell r="L426">
            <v>1</v>
          </cell>
          <cell r="M426">
            <v>1</v>
          </cell>
          <cell r="N426">
            <v>1</v>
          </cell>
          <cell r="O426">
            <v>1</v>
          </cell>
          <cell r="P426">
            <v>1</v>
          </cell>
          <cell r="Q426">
            <v>1</v>
          </cell>
          <cell r="R426">
            <v>1</v>
          </cell>
          <cell r="S426">
            <v>1</v>
          </cell>
          <cell r="T426">
            <v>1</v>
          </cell>
          <cell r="U426">
            <v>1</v>
          </cell>
          <cell r="V426">
            <v>1</v>
          </cell>
          <cell r="W426">
            <v>1</v>
          </cell>
          <cell r="X426">
            <v>1</v>
          </cell>
          <cell r="Y426">
            <v>1</v>
          </cell>
          <cell r="Z426">
            <v>1</v>
          </cell>
          <cell r="AA426">
            <v>1</v>
          </cell>
          <cell r="AB426">
            <v>1</v>
          </cell>
          <cell r="AC426">
            <v>1</v>
          </cell>
          <cell r="AD426">
            <v>1</v>
          </cell>
          <cell r="AE426">
            <v>1</v>
          </cell>
          <cell r="AF426">
            <v>1</v>
          </cell>
          <cell r="AG426">
            <v>1</v>
          </cell>
          <cell r="AH426">
            <v>1</v>
          </cell>
          <cell r="AI426">
            <v>1</v>
          </cell>
          <cell r="AJ426">
            <v>1</v>
          </cell>
          <cell r="AK426">
            <v>1</v>
          </cell>
          <cell r="AL426">
            <v>1</v>
          </cell>
          <cell r="AM426">
            <v>1</v>
          </cell>
          <cell r="AN426">
            <v>1</v>
          </cell>
          <cell r="AO426">
            <v>1</v>
          </cell>
          <cell r="AP426">
            <v>1</v>
          </cell>
          <cell r="AQ426">
            <v>1</v>
          </cell>
          <cell r="AR426">
            <v>1</v>
          </cell>
          <cell r="AS426">
            <v>1</v>
          </cell>
          <cell r="AT426">
            <v>1</v>
          </cell>
          <cell r="AU426">
            <v>1</v>
          </cell>
          <cell r="AV426">
            <v>1</v>
          </cell>
          <cell r="AW426">
            <v>1</v>
          </cell>
          <cell r="AX426">
            <v>1</v>
          </cell>
          <cell r="AY426">
            <v>1</v>
          </cell>
          <cell r="AZ426">
            <v>1</v>
          </cell>
          <cell r="BA426">
            <v>1</v>
          </cell>
          <cell r="BB426">
            <v>1</v>
          </cell>
          <cell r="BC426">
            <v>1</v>
          </cell>
          <cell r="BD426">
            <v>1</v>
          </cell>
          <cell r="BE426">
            <v>1</v>
          </cell>
          <cell r="BF426">
            <v>1</v>
          </cell>
          <cell r="BG426">
            <v>1</v>
          </cell>
          <cell r="BH426">
            <v>1</v>
          </cell>
          <cell r="BI426">
            <v>1</v>
          </cell>
          <cell r="BJ426">
            <v>1</v>
          </cell>
          <cell r="BK426">
            <v>1</v>
          </cell>
          <cell r="BL426">
            <v>1</v>
          </cell>
          <cell r="BM426">
            <v>1</v>
          </cell>
          <cell r="BN426">
            <v>1</v>
          </cell>
          <cell r="BO426">
            <v>1</v>
          </cell>
          <cell r="BP426">
            <v>1</v>
          </cell>
          <cell r="BQ426">
            <v>1</v>
          </cell>
          <cell r="BR426">
            <v>1</v>
          </cell>
          <cell r="BS426">
            <v>1</v>
          </cell>
          <cell r="BT426">
            <v>1</v>
          </cell>
          <cell r="BU426">
            <v>1</v>
          </cell>
          <cell r="BV426">
            <v>1</v>
          </cell>
          <cell r="BW426">
            <v>1</v>
          </cell>
          <cell r="BX426">
            <v>1</v>
          </cell>
          <cell r="BY426">
            <v>1</v>
          </cell>
          <cell r="BZ426">
            <v>1</v>
          </cell>
          <cell r="CA426">
            <v>1</v>
          </cell>
          <cell r="CB426">
            <v>1</v>
          </cell>
          <cell r="CC426">
            <v>1</v>
          </cell>
          <cell r="CD426">
            <v>1</v>
          </cell>
          <cell r="CE426">
            <v>1</v>
          </cell>
          <cell r="CF426">
            <v>1</v>
          </cell>
          <cell r="CG426">
            <v>1</v>
          </cell>
          <cell r="CH426">
            <v>1</v>
          </cell>
          <cell r="CI426">
            <v>1</v>
          </cell>
          <cell r="CJ426">
            <v>1</v>
          </cell>
          <cell r="CK426">
            <v>1</v>
          </cell>
          <cell r="CL426">
            <v>1</v>
          </cell>
          <cell r="CM426">
            <v>1</v>
          </cell>
          <cell r="CN426">
            <v>1</v>
          </cell>
          <cell r="CO426">
            <v>1</v>
          </cell>
          <cell r="CP426">
            <v>1</v>
          </cell>
          <cell r="CQ426">
            <v>1</v>
          </cell>
          <cell r="CR426">
            <v>1</v>
          </cell>
          <cell r="CS426">
            <v>1</v>
          </cell>
          <cell r="CT426">
            <v>1</v>
          </cell>
          <cell r="CU426">
            <v>1</v>
          </cell>
          <cell r="CV426">
            <v>1</v>
          </cell>
          <cell r="CW426">
            <v>1</v>
          </cell>
          <cell r="CX426">
            <v>1</v>
          </cell>
          <cell r="CY426">
            <v>1</v>
          </cell>
          <cell r="CZ426">
            <v>1</v>
          </cell>
          <cell r="DA426">
            <v>1</v>
          </cell>
          <cell r="DB426">
            <v>1</v>
          </cell>
          <cell r="DC426">
            <v>1</v>
          </cell>
          <cell r="DD426">
            <v>1</v>
          </cell>
          <cell r="DE426">
            <v>1</v>
          </cell>
          <cell r="DF426">
            <v>1</v>
          </cell>
          <cell r="DG426">
            <v>1</v>
          </cell>
          <cell r="DH426">
            <v>1</v>
          </cell>
          <cell r="DI426">
            <v>1</v>
          </cell>
          <cell r="DJ426">
            <v>1</v>
          </cell>
          <cell r="DK426">
            <v>1</v>
          </cell>
          <cell r="DL426">
            <v>1</v>
          </cell>
          <cell r="DM426">
            <v>1</v>
          </cell>
          <cell r="DN426">
            <v>1</v>
          </cell>
          <cell r="DO426">
            <v>1</v>
          </cell>
          <cell r="DP426">
            <v>1</v>
          </cell>
          <cell r="DQ426">
            <v>1</v>
          </cell>
          <cell r="DR426">
            <v>1</v>
          </cell>
          <cell r="DS426">
            <v>1</v>
          </cell>
          <cell r="DT426">
            <v>1</v>
          </cell>
          <cell r="DU426">
            <v>1</v>
          </cell>
          <cell r="DV426">
            <v>1</v>
          </cell>
          <cell r="DW426">
            <v>1</v>
          </cell>
          <cell r="DX426">
            <v>1</v>
          </cell>
          <cell r="DY426">
            <v>1</v>
          </cell>
          <cell r="DZ426">
            <v>1</v>
          </cell>
          <cell r="EA426">
            <v>1</v>
          </cell>
          <cell r="EB426">
            <v>1</v>
          </cell>
          <cell r="EC426">
            <v>1</v>
          </cell>
          <cell r="ED426">
            <v>1</v>
          </cell>
          <cell r="EE426">
            <v>1</v>
          </cell>
          <cell r="EF426">
            <v>1</v>
          </cell>
          <cell r="EG426">
            <v>1</v>
          </cell>
          <cell r="EH426">
            <v>1</v>
          </cell>
          <cell r="EI426">
            <v>1</v>
          </cell>
          <cell r="EJ426">
            <v>1</v>
          </cell>
          <cell r="EK426">
            <v>1</v>
          </cell>
          <cell r="EL426">
            <v>1</v>
          </cell>
          <cell r="EM426">
            <v>1</v>
          </cell>
          <cell r="EN426">
            <v>1</v>
          </cell>
          <cell r="EO426">
            <v>1</v>
          </cell>
          <cell r="EP426">
            <v>1</v>
          </cell>
          <cell r="EQ426">
            <v>1</v>
          </cell>
          <cell r="ER426">
            <v>1</v>
          </cell>
          <cell r="ES426">
            <v>1</v>
          </cell>
          <cell r="ET426">
            <v>1</v>
          </cell>
          <cell r="EU426">
            <v>1</v>
          </cell>
          <cell r="EV426">
            <v>1</v>
          </cell>
          <cell r="EW426">
            <v>1</v>
          </cell>
          <cell r="EX426">
            <v>1</v>
          </cell>
          <cell r="EY426">
            <v>1</v>
          </cell>
          <cell r="EZ426">
            <v>1</v>
          </cell>
          <cell r="FA426">
            <v>1</v>
          </cell>
          <cell r="FB426">
            <v>1</v>
          </cell>
          <cell r="FC426">
            <v>1</v>
          </cell>
          <cell r="FD426">
            <v>1</v>
          </cell>
          <cell r="FE426">
            <v>1</v>
          </cell>
          <cell r="FF426">
            <v>1</v>
          </cell>
          <cell r="FG426">
            <v>1</v>
          </cell>
          <cell r="FH426">
            <v>1</v>
          </cell>
          <cell r="FI426">
            <v>1</v>
          </cell>
          <cell r="FJ426">
            <v>1</v>
          </cell>
          <cell r="FK426">
            <v>1</v>
          </cell>
          <cell r="FL426">
            <v>1</v>
          </cell>
          <cell r="FM426">
            <v>1</v>
          </cell>
          <cell r="FN426">
            <v>1</v>
          </cell>
          <cell r="FO426">
            <v>1</v>
          </cell>
          <cell r="FP426">
            <v>1</v>
          </cell>
          <cell r="FQ426">
            <v>1</v>
          </cell>
          <cell r="FR426">
            <v>1</v>
          </cell>
          <cell r="FS426">
            <v>1</v>
          </cell>
          <cell r="FT426">
            <v>1</v>
          </cell>
          <cell r="FU426">
            <v>1</v>
          </cell>
          <cell r="FV426">
            <v>1</v>
          </cell>
          <cell r="FW426">
            <v>1</v>
          </cell>
          <cell r="FX426">
            <v>1</v>
          </cell>
          <cell r="FY426">
            <v>1</v>
          </cell>
          <cell r="FZ426">
            <v>1</v>
          </cell>
          <cell r="GA426">
            <v>1</v>
          </cell>
          <cell r="GB426">
            <v>1</v>
          </cell>
          <cell r="GC426">
            <v>1</v>
          </cell>
          <cell r="GD426">
            <v>1</v>
          </cell>
          <cell r="GE426">
            <v>1</v>
          </cell>
          <cell r="GF426">
            <v>1</v>
          </cell>
          <cell r="GG426">
            <v>1</v>
          </cell>
          <cell r="GH426">
            <v>1</v>
          </cell>
          <cell r="GI426">
            <v>1</v>
          </cell>
          <cell r="GJ426">
            <v>1</v>
          </cell>
          <cell r="GK426">
            <v>1</v>
          </cell>
          <cell r="GL426">
            <v>1</v>
          </cell>
          <cell r="GM426">
            <v>1</v>
          </cell>
          <cell r="GN426">
            <v>1</v>
          </cell>
          <cell r="GO426">
            <v>1</v>
          </cell>
          <cell r="GP426">
            <v>1</v>
          </cell>
          <cell r="GQ426">
            <v>1</v>
          </cell>
          <cell r="GR426">
            <v>1</v>
          </cell>
          <cell r="GS426">
            <v>1</v>
          </cell>
          <cell r="GT426">
            <v>1</v>
          </cell>
          <cell r="GU426">
            <v>1</v>
          </cell>
          <cell r="GV426">
            <v>1</v>
          </cell>
          <cell r="GW426">
            <v>1</v>
          </cell>
          <cell r="GX426">
            <v>1</v>
          </cell>
          <cell r="GY426">
            <v>1</v>
          </cell>
          <cell r="GZ426">
            <v>1</v>
          </cell>
          <cell r="HA426">
            <v>1</v>
          </cell>
          <cell r="HB426">
            <v>1</v>
          </cell>
          <cell r="HC426">
            <v>1</v>
          </cell>
          <cell r="HD426">
            <v>1</v>
          </cell>
          <cell r="HE426">
            <v>1</v>
          </cell>
          <cell r="HF426">
            <v>1</v>
          </cell>
          <cell r="HG426">
            <v>1</v>
          </cell>
          <cell r="HH426">
            <v>1</v>
          </cell>
          <cell r="HI426">
            <v>1</v>
          </cell>
          <cell r="HJ426">
            <v>1</v>
          </cell>
          <cell r="HK426">
            <v>1</v>
          </cell>
          <cell r="HL426">
            <v>1</v>
          </cell>
          <cell r="HM426">
            <v>1</v>
          </cell>
          <cell r="HN426">
            <v>1</v>
          </cell>
          <cell r="HO426">
            <v>1</v>
          </cell>
          <cell r="HP426">
            <v>1</v>
          </cell>
          <cell r="HQ426">
            <v>1</v>
          </cell>
          <cell r="HR426">
            <v>1</v>
          </cell>
          <cell r="HS426">
            <v>1</v>
          </cell>
          <cell r="HT426">
            <v>1</v>
          </cell>
          <cell r="HU426">
            <v>1</v>
          </cell>
          <cell r="HV426">
            <v>1</v>
          </cell>
          <cell r="HW426">
            <v>1</v>
          </cell>
          <cell r="HX426">
            <v>1</v>
          </cell>
          <cell r="HY426">
            <v>1</v>
          </cell>
          <cell r="HZ426">
            <v>1</v>
          </cell>
          <cell r="IA426">
            <v>1</v>
          </cell>
          <cell r="IB426">
            <v>1</v>
          </cell>
          <cell r="IC426">
            <v>1</v>
          </cell>
          <cell r="ID426">
            <v>1</v>
          </cell>
          <cell r="IE426">
            <v>1</v>
          </cell>
          <cell r="IF426">
            <v>1</v>
          </cell>
          <cell r="IG426">
            <v>1</v>
          </cell>
          <cell r="IH426">
            <v>1</v>
          </cell>
          <cell r="II426">
            <v>1</v>
          </cell>
          <cell r="IJ426">
            <v>1</v>
          </cell>
          <cell r="IK426">
            <v>1</v>
          </cell>
          <cell r="IL426">
            <v>1</v>
          </cell>
          <cell r="IM426">
            <v>1</v>
          </cell>
          <cell r="IN426">
            <v>1</v>
          </cell>
          <cell r="IO426">
            <v>1</v>
          </cell>
          <cell r="IP426">
            <v>1</v>
          </cell>
          <cell r="IQ426">
            <v>1</v>
          </cell>
          <cell r="IR426">
            <v>1</v>
          </cell>
          <cell r="IS426">
            <v>1</v>
          </cell>
          <cell r="IT426">
            <v>1</v>
          </cell>
          <cell r="IU426">
            <v>1</v>
          </cell>
          <cell r="IV426">
            <v>1</v>
          </cell>
          <cell r="IW426">
            <v>1</v>
          </cell>
          <cell r="IX426">
            <v>1</v>
          </cell>
          <cell r="IY426">
            <v>1</v>
          </cell>
          <cell r="IZ426">
            <v>1</v>
          </cell>
          <cell r="JA426">
            <v>1</v>
          </cell>
        </row>
        <row r="482">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cell r="BM482">
            <v>0</v>
          </cell>
          <cell r="BN482">
            <v>0</v>
          </cell>
          <cell r="BO482">
            <v>0</v>
          </cell>
          <cell r="BP482">
            <v>0</v>
          </cell>
          <cell r="BQ482">
            <v>0</v>
          </cell>
          <cell r="BR482">
            <v>0</v>
          </cell>
          <cell r="BS482">
            <v>0</v>
          </cell>
          <cell r="BT482">
            <v>0</v>
          </cell>
          <cell r="BU482">
            <v>0</v>
          </cell>
          <cell r="BV482">
            <v>0</v>
          </cell>
          <cell r="BW482">
            <v>0</v>
          </cell>
          <cell r="BX482">
            <v>0</v>
          </cell>
          <cell r="BY482">
            <v>0</v>
          </cell>
          <cell r="BZ482">
            <v>0</v>
          </cell>
          <cell r="CA482">
            <v>0</v>
          </cell>
          <cell r="CB482">
            <v>0</v>
          </cell>
          <cell r="CC482">
            <v>0</v>
          </cell>
          <cell r="CD482">
            <v>0</v>
          </cell>
          <cell r="CE482">
            <v>0</v>
          </cell>
          <cell r="CF482">
            <v>0</v>
          </cell>
          <cell r="CG482">
            <v>0</v>
          </cell>
          <cell r="CH482">
            <v>0</v>
          </cell>
          <cell r="CI482">
            <v>0</v>
          </cell>
          <cell r="CJ482">
            <v>0</v>
          </cell>
          <cell r="CK482">
            <v>0</v>
          </cell>
          <cell r="CL482">
            <v>0</v>
          </cell>
          <cell r="CM482">
            <v>0</v>
          </cell>
          <cell r="CN482">
            <v>0</v>
          </cell>
          <cell r="CO482">
            <v>0</v>
          </cell>
          <cell r="CP482">
            <v>0</v>
          </cell>
          <cell r="CQ482">
            <v>0</v>
          </cell>
          <cell r="CR482">
            <v>0</v>
          </cell>
          <cell r="CS482">
            <v>0</v>
          </cell>
          <cell r="CT482">
            <v>0</v>
          </cell>
          <cell r="CU482">
            <v>0</v>
          </cell>
          <cell r="CV482">
            <v>0</v>
          </cell>
          <cell r="CW482">
            <v>0</v>
          </cell>
          <cell r="CX482">
            <v>0</v>
          </cell>
          <cell r="CY482">
            <v>0</v>
          </cell>
          <cell r="CZ482">
            <v>0</v>
          </cell>
          <cell r="DA482">
            <v>0</v>
          </cell>
          <cell r="DB482">
            <v>0</v>
          </cell>
          <cell r="DC482">
            <v>0</v>
          </cell>
          <cell r="DD482">
            <v>0</v>
          </cell>
          <cell r="DE482">
            <v>0</v>
          </cell>
          <cell r="DF482">
            <v>0</v>
          </cell>
          <cell r="DG482">
            <v>0</v>
          </cell>
          <cell r="DH482">
            <v>0</v>
          </cell>
          <cell r="DI482">
            <v>0</v>
          </cell>
          <cell r="DJ482">
            <v>0</v>
          </cell>
          <cell r="DK482">
            <v>0</v>
          </cell>
          <cell r="DL482">
            <v>0</v>
          </cell>
          <cell r="DM482">
            <v>0</v>
          </cell>
          <cell r="DN482">
            <v>0</v>
          </cell>
          <cell r="DO482">
            <v>0</v>
          </cell>
          <cell r="DP482">
            <v>0</v>
          </cell>
          <cell r="DQ482">
            <v>0</v>
          </cell>
          <cell r="DR482">
            <v>0</v>
          </cell>
          <cell r="DS482">
            <v>0</v>
          </cell>
          <cell r="DT482">
            <v>0</v>
          </cell>
          <cell r="DU482">
            <v>0</v>
          </cell>
          <cell r="DV482">
            <v>0</v>
          </cell>
          <cell r="DW482">
            <v>0</v>
          </cell>
          <cell r="DX482">
            <v>0</v>
          </cell>
          <cell r="DY482">
            <v>0</v>
          </cell>
          <cell r="DZ482">
            <v>0</v>
          </cell>
          <cell r="EA482">
            <v>0</v>
          </cell>
          <cell r="EB482">
            <v>0</v>
          </cell>
          <cell r="EC482">
            <v>0</v>
          </cell>
          <cell r="ED482">
            <v>0</v>
          </cell>
          <cell r="EE482">
            <v>0</v>
          </cell>
          <cell r="EF482">
            <v>0</v>
          </cell>
          <cell r="EG482">
            <v>0</v>
          </cell>
          <cell r="EH482">
            <v>0</v>
          </cell>
          <cell r="EI482">
            <v>0</v>
          </cell>
          <cell r="EJ482">
            <v>0</v>
          </cell>
          <cell r="EK482">
            <v>0</v>
          </cell>
          <cell r="EL482">
            <v>0</v>
          </cell>
          <cell r="EM482">
            <v>0</v>
          </cell>
          <cell r="EN482">
            <v>0</v>
          </cell>
          <cell r="EO482">
            <v>0</v>
          </cell>
          <cell r="EP482">
            <v>0</v>
          </cell>
          <cell r="EQ482">
            <v>0</v>
          </cell>
          <cell r="ER482">
            <v>0</v>
          </cell>
          <cell r="ES482">
            <v>0</v>
          </cell>
          <cell r="ET482">
            <v>0</v>
          </cell>
          <cell r="EU482">
            <v>0</v>
          </cell>
          <cell r="EV482">
            <v>0</v>
          </cell>
          <cell r="EW482">
            <v>0</v>
          </cell>
          <cell r="EX482">
            <v>0</v>
          </cell>
          <cell r="EY482">
            <v>0</v>
          </cell>
          <cell r="EZ482">
            <v>0</v>
          </cell>
          <cell r="FA482">
            <v>0</v>
          </cell>
          <cell r="FB482">
            <v>0</v>
          </cell>
          <cell r="FC482">
            <v>0</v>
          </cell>
          <cell r="FD482">
            <v>0</v>
          </cell>
          <cell r="FE482">
            <v>0</v>
          </cell>
          <cell r="FF482">
            <v>0</v>
          </cell>
          <cell r="FG482">
            <v>0</v>
          </cell>
          <cell r="FH482">
            <v>0</v>
          </cell>
          <cell r="FI482">
            <v>0</v>
          </cell>
          <cell r="FJ482">
            <v>0</v>
          </cell>
          <cell r="FK482">
            <v>0</v>
          </cell>
          <cell r="FL482">
            <v>0</v>
          </cell>
          <cell r="FM482">
            <v>0</v>
          </cell>
          <cell r="FN482">
            <v>0</v>
          </cell>
          <cell r="FO482">
            <v>0</v>
          </cell>
          <cell r="FP482">
            <v>0</v>
          </cell>
          <cell r="FQ482">
            <v>0</v>
          </cell>
          <cell r="FR482">
            <v>0</v>
          </cell>
          <cell r="FS482">
            <v>0</v>
          </cell>
          <cell r="FT482">
            <v>0</v>
          </cell>
          <cell r="FU482">
            <v>0</v>
          </cell>
          <cell r="FV482">
            <v>0</v>
          </cell>
          <cell r="FW482">
            <v>0</v>
          </cell>
          <cell r="FX482">
            <v>0</v>
          </cell>
          <cell r="FY482">
            <v>0</v>
          </cell>
          <cell r="FZ482">
            <v>0</v>
          </cell>
          <cell r="GA482">
            <v>0</v>
          </cell>
          <cell r="GB482">
            <v>0</v>
          </cell>
          <cell r="GC482">
            <v>0</v>
          </cell>
          <cell r="GD482">
            <v>0</v>
          </cell>
          <cell r="GE482">
            <v>0</v>
          </cell>
          <cell r="GF482">
            <v>0</v>
          </cell>
          <cell r="GG482">
            <v>0</v>
          </cell>
          <cell r="GH482">
            <v>0</v>
          </cell>
          <cell r="GI482">
            <v>0</v>
          </cell>
          <cell r="GJ482">
            <v>0</v>
          </cell>
          <cell r="GK482">
            <v>0</v>
          </cell>
          <cell r="GL482">
            <v>0</v>
          </cell>
          <cell r="GM482">
            <v>0</v>
          </cell>
          <cell r="GN482">
            <v>0</v>
          </cell>
          <cell r="GO482">
            <v>0</v>
          </cell>
          <cell r="GP482">
            <v>0</v>
          </cell>
          <cell r="GQ482">
            <v>0</v>
          </cell>
          <cell r="GR482">
            <v>0</v>
          </cell>
          <cell r="GS482">
            <v>0</v>
          </cell>
          <cell r="GT482">
            <v>0</v>
          </cell>
          <cell r="GU482">
            <v>0</v>
          </cell>
          <cell r="GV482">
            <v>0</v>
          </cell>
          <cell r="GW482">
            <v>0</v>
          </cell>
          <cell r="GX482">
            <v>0</v>
          </cell>
          <cell r="GY482">
            <v>0</v>
          </cell>
          <cell r="GZ482">
            <v>0</v>
          </cell>
          <cell r="HA482">
            <v>0</v>
          </cell>
          <cell r="HB482">
            <v>0</v>
          </cell>
          <cell r="HC482">
            <v>0</v>
          </cell>
          <cell r="HD482">
            <v>0</v>
          </cell>
          <cell r="HE482">
            <v>0</v>
          </cell>
          <cell r="HF482">
            <v>0</v>
          </cell>
          <cell r="HG482">
            <v>0</v>
          </cell>
          <cell r="HH482">
            <v>0</v>
          </cell>
          <cell r="HI482">
            <v>0</v>
          </cell>
          <cell r="HJ482">
            <v>0</v>
          </cell>
          <cell r="HK482">
            <v>0</v>
          </cell>
          <cell r="HL482">
            <v>0</v>
          </cell>
          <cell r="HM482">
            <v>0</v>
          </cell>
          <cell r="HN482">
            <v>0</v>
          </cell>
          <cell r="HO482">
            <v>0</v>
          </cell>
          <cell r="HP482">
            <v>0</v>
          </cell>
          <cell r="HQ482">
            <v>0</v>
          </cell>
          <cell r="HR482">
            <v>0</v>
          </cell>
          <cell r="HS482">
            <v>0</v>
          </cell>
          <cell r="HT482">
            <v>0</v>
          </cell>
          <cell r="HU482">
            <v>0</v>
          </cell>
          <cell r="HV482">
            <v>0</v>
          </cell>
          <cell r="HW482">
            <v>0</v>
          </cell>
          <cell r="HX482">
            <v>0</v>
          </cell>
          <cell r="HY482">
            <v>0</v>
          </cell>
          <cell r="HZ482">
            <v>0</v>
          </cell>
          <cell r="IA482">
            <v>0</v>
          </cell>
          <cell r="IB482">
            <v>0</v>
          </cell>
          <cell r="IC482">
            <v>0</v>
          </cell>
          <cell r="ID482">
            <v>0</v>
          </cell>
          <cell r="IE482">
            <v>0</v>
          </cell>
          <cell r="IF482">
            <v>0</v>
          </cell>
          <cell r="IG482">
            <v>0</v>
          </cell>
          <cell r="IH482">
            <v>0</v>
          </cell>
          <cell r="II482">
            <v>0</v>
          </cell>
          <cell r="IJ482">
            <v>0</v>
          </cell>
          <cell r="IK482">
            <v>0</v>
          </cell>
          <cell r="IL482">
            <v>0</v>
          </cell>
          <cell r="IM482">
            <v>0</v>
          </cell>
          <cell r="IN482">
            <v>0</v>
          </cell>
          <cell r="IO482">
            <v>0</v>
          </cell>
          <cell r="IP482">
            <v>0</v>
          </cell>
          <cell r="IQ482">
            <v>0</v>
          </cell>
          <cell r="IR482">
            <v>0</v>
          </cell>
          <cell r="IS482">
            <v>0</v>
          </cell>
          <cell r="IT482">
            <v>0</v>
          </cell>
          <cell r="IU482">
            <v>0</v>
          </cell>
          <cell r="IV482">
            <v>0</v>
          </cell>
          <cell r="IW482">
            <v>0</v>
          </cell>
          <cell r="IX482">
            <v>0</v>
          </cell>
          <cell r="IY482">
            <v>0</v>
          </cell>
          <cell r="IZ482">
            <v>0</v>
          </cell>
          <cell r="JA482">
            <v>0</v>
          </cell>
        </row>
        <row r="483">
          <cell r="L483">
            <v>0</v>
          </cell>
          <cell r="M483">
            <v>0</v>
          </cell>
          <cell r="N483">
            <v>0</v>
          </cell>
          <cell r="O483">
            <v>0</v>
          </cell>
          <cell r="P483">
            <v>0</v>
          </cell>
          <cell r="Q483">
            <v>0</v>
          </cell>
          <cell r="R483">
            <v>0</v>
          </cell>
          <cell r="S483">
            <v>0</v>
          </cell>
          <cell r="T483">
            <v>0</v>
          </cell>
          <cell r="U483">
            <v>0</v>
          </cell>
          <cell r="V483">
            <v>0</v>
          </cell>
          <cell r="W483">
            <v>0</v>
          </cell>
          <cell r="X483">
            <v>0</v>
          </cell>
          <cell r="Y483">
            <v>0</v>
          </cell>
          <cell r="Z483">
            <v>0</v>
          </cell>
          <cell r="AA483">
            <v>0</v>
          </cell>
          <cell r="AB483">
            <v>0</v>
          </cell>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cell r="BM483">
            <v>0</v>
          </cell>
          <cell r="BN483">
            <v>0</v>
          </cell>
          <cell r="BO483">
            <v>0</v>
          </cell>
          <cell r="BP483">
            <v>0</v>
          </cell>
          <cell r="BQ483">
            <v>0</v>
          </cell>
          <cell r="BR483">
            <v>0</v>
          </cell>
          <cell r="BS483">
            <v>0</v>
          </cell>
          <cell r="BT483">
            <v>0</v>
          </cell>
          <cell r="BU483">
            <v>0</v>
          </cell>
          <cell r="BV483">
            <v>0</v>
          </cell>
          <cell r="BW483">
            <v>0</v>
          </cell>
          <cell r="BX483">
            <v>0</v>
          </cell>
          <cell r="BY483">
            <v>0</v>
          </cell>
          <cell r="BZ483">
            <v>0</v>
          </cell>
          <cell r="CA483">
            <v>0</v>
          </cell>
          <cell r="CB483">
            <v>0</v>
          </cell>
          <cell r="CC483">
            <v>0</v>
          </cell>
          <cell r="CD483">
            <v>0</v>
          </cell>
          <cell r="CE483">
            <v>0</v>
          </cell>
          <cell r="CF483">
            <v>0</v>
          </cell>
          <cell r="CG483">
            <v>0</v>
          </cell>
          <cell r="CH483">
            <v>0</v>
          </cell>
          <cell r="CI483">
            <v>0</v>
          </cell>
          <cell r="CJ483">
            <v>0</v>
          </cell>
          <cell r="CK483">
            <v>0</v>
          </cell>
          <cell r="CL483">
            <v>0</v>
          </cell>
          <cell r="CM483">
            <v>0</v>
          </cell>
          <cell r="CN483">
            <v>0</v>
          </cell>
          <cell r="CO483">
            <v>0</v>
          </cell>
          <cell r="CP483">
            <v>0</v>
          </cell>
          <cell r="CQ483">
            <v>0</v>
          </cell>
          <cell r="CR483">
            <v>0</v>
          </cell>
          <cell r="CS483">
            <v>0</v>
          </cell>
          <cell r="CT483">
            <v>0</v>
          </cell>
          <cell r="CU483">
            <v>0</v>
          </cell>
          <cell r="CV483">
            <v>0</v>
          </cell>
          <cell r="CW483">
            <v>0</v>
          </cell>
          <cell r="CX483">
            <v>0</v>
          </cell>
          <cell r="CY483">
            <v>0</v>
          </cell>
          <cell r="CZ483">
            <v>0</v>
          </cell>
          <cell r="DA483">
            <v>0</v>
          </cell>
          <cell r="DB483">
            <v>0</v>
          </cell>
          <cell r="DC483">
            <v>0</v>
          </cell>
          <cell r="DD483">
            <v>0</v>
          </cell>
          <cell r="DE483">
            <v>0</v>
          </cell>
          <cell r="DF483">
            <v>0</v>
          </cell>
          <cell r="DG483">
            <v>0</v>
          </cell>
          <cell r="DH483">
            <v>0</v>
          </cell>
          <cell r="DI483">
            <v>0</v>
          </cell>
          <cell r="DJ483">
            <v>0</v>
          </cell>
          <cell r="DK483">
            <v>0</v>
          </cell>
          <cell r="DL483">
            <v>0</v>
          </cell>
          <cell r="DM483">
            <v>0</v>
          </cell>
          <cell r="DN483">
            <v>0</v>
          </cell>
          <cell r="DO483">
            <v>0</v>
          </cell>
          <cell r="DP483">
            <v>0</v>
          </cell>
          <cell r="DQ483">
            <v>0</v>
          </cell>
          <cell r="DR483">
            <v>0</v>
          </cell>
          <cell r="DS483">
            <v>0</v>
          </cell>
          <cell r="DT483">
            <v>0</v>
          </cell>
          <cell r="DU483">
            <v>0</v>
          </cell>
          <cell r="DV483">
            <v>0</v>
          </cell>
          <cell r="DW483">
            <v>0</v>
          </cell>
          <cell r="DX483">
            <v>0</v>
          </cell>
          <cell r="DY483">
            <v>0</v>
          </cell>
          <cell r="DZ483">
            <v>0</v>
          </cell>
          <cell r="EA483">
            <v>0</v>
          </cell>
          <cell r="EB483">
            <v>0</v>
          </cell>
          <cell r="EC483">
            <v>0</v>
          </cell>
          <cell r="ED483">
            <v>0</v>
          </cell>
          <cell r="EE483">
            <v>0</v>
          </cell>
          <cell r="EF483">
            <v>0</v>
          </cell>
          <cell r="EG483">
            <v>0</v>
          </cell>
          <cell r="EH483">
            <v>0</v>
          </cell>
          <cell r="EI483">
            <v>0</v>
          </cell>
          <cell r="EJ483">
            <v>0</v>
          </cell>
          <cell r="EK483">
            <v>0</v>
          </cell>
          <cell r="EL483">
            <v>0</v>
          </cell>
          <cell r="EM483">
            <v>0</v>
          </cell>
          <cell r="EN483">
            <v>0</v>
          </cell>
          <cell r="EO483">
            <v>0</v>
          </cell>
          <cell r="EP483">
            <v>0</v>
          </cell>
          <cell r="EQ483">
            <v>0</v>
          </cell>
          <cell r="ER483">
            <v>0</v>
          </cell>
          <cell r="ES483">
            <v>0</v>
          </cell>
          <cell r="ET483">
            <v>0</v>
          </cell>
          <cell r="EU483">
            <v>0</v>
          </cell>
          <cell r="EV483">
            <v>0</v>
          </cell>
          <cell r="EW483">
            <v>0</v>
          </cell>
          <cell r="EX483">
            <v>0</v>
          </cell>
          <cell r="EY483">
            <v>0</v>
          </cell>
          <cell r="EZ483">
            <v>0</v>
          </cell>
          <cell r="FA483">
            <v>0</v>
          </cell>
          <cell r="FB483">
            <v>0</v>
          </cell>
          <cell r="FC483">
            <v>0</v>
          </cell>
          <cell r="FD483">
            <v>0</v>
          </cell>
          <cell r="FE483">
            <v>0</v>
          </cell>
          <cell r="FF483">
            <v>0</v>
          </cell>
          <cell r="FG483">
            <v>0</v>
          </cell>
          <cell r="FH483">
            <v>0</v>
          </cell>
          <cell r="FI483">
            <v>0</v>
          </cell>
          <cell r="FJ483">
            <v>0</v>
          </cell>
          <cell r="FK483">
            <v>0</v>
          </cell>
          <cell r="FL483">
            <v>0</v>
          </cell>
          <cell r="FM483">
            <v>0</v>
          </cell>
          <cell r="FN483">
            <v>0</v>
          </cell>
          <cell r="FO483">
            <v>0</v>
          </cell>
          <cell r="FP483">
            <v>0</v>
          </cell>
          <cell r="FQ483">
            <v>0</v>
          </cell>
          <cell r="FR483">
            <v>0</v>
          </cell>
          <cell r="FS483">
            <v>0</v>
          </cell>
          <cell r="FT483">
            <v>0</v>
          </cell>
          <cell r="FU483">
            <v>0</v>
          </cell>
          <cell r="FV483">
            <v>0</v>
          </cell>
          <cell r="FW483">
            <v>0</v>
          </cell>
          <cell r="FX483">
            <v>0</v>
          </cell>
          <cell r="FY483">
            <v>0</v>
          </cell>
          <cell r="FZ483">
            <v>0</v>
          </cell>
          <cell r="GA483">
            <v>0</v>
          </cell>
          <cell r="GB483">
            <v>0</v>
          </cell>
          <cell r="GC483">
            <v>0</v>
          </cell>
          <cell r="GD483">
            <v>0</v>
          </cell>
          <cell r="GE483">
            <v>0</v>
          </cell>
          <cell r="GF483">
            <v>0</v>
          </cell>
          <cell r="GG483">
            <v>0</v>
          </cell>
          <cell r="GH483">
            <v>0</v>
          </cell>
          <cell r="GI483">
            <v>0</v>
          </cell>
          <cell r="GJ483">
            <v>0</v>
          </cell>
          <cell r="GK483">
            <v>0</v>
          </cell>
          <cell r="GL483">
            <v>0</v>
          </cell>
          <cell r="GM483">
            <v>0</v>
          </cell>
          <cell r="GN483">
            <v>0</v>
          </cell>
          <cell r="GO483">
            <v>0</v>
          </cell>
          <cell r="GP483">
            <v>0</v>
          </cell>
          <cell r="GQ483">
            <v>0</v>
          </cell>
          <cell r="GR483">
            <v>0</v>
          </cell>
          <cell r="GS483">
            <v>0</v>
          </cell>
          <cell r="GT483">
            <v>0</v>
          </cell>
          <cell r="GU483">
            <v>0</v>
          </cell>
          <cell r="GV483">
            <v>0</v>
          </cell>
          <cell r="GW483">
            <v>0</v>
          </cell>
          <cell r="GX483">
            <v>0</v>
          </cell>
          <cell r="GY483">
            <v>0</v>
          </cell>
          <cell r="GZ483">
            <v>0</v>
          </cell>
          <cell r="HA483">
            <v>0</v>
          </cell>
          <cell r="HB483">
            <v>0</v>
          </cell>
          <cell r="HC483">
            <v>0</v>
          </cell>
          <cell r="HD483">
            <v>0</v>
          </cell>
          <cell r="HE483">
            <v>0</v>
          </cell>
          <cell r="HF483">
            <v>0</v>
          </cell>
          <cell r="HG483">
            <v>0</v>
          </cell>
          <cell r="HH483">
            <v>0</v>
          </cell>
          <cell r="HI483">
            <v>0</v>
          </cell>
          <cell r="HJ483">
            <v>0</v>
          </cell>
          <cell r="HK483">
            <v>0</v>
          </cell>
          <cell r="HL483">
            <v>0</v>
          </cell>
          <cell r="HM483">
            <v>0</v>
          </cell>
          <cell r="HN483">
            <v>0</v>
          </cell>
          <cell r="HO483">
            <v>0</v>
          </cell>
          <cell r="HP483">
            <v>0</v>
          </cell>
          <cell r="HQ483">
            <v>0</v>
          </cell>
          <cell r="HR483">
            <v>0</v>
          </cell>
          <cell r="HS483">
            <v>0</v>
          </cell>
          <cell r="HT483">
            <v>0</v>
          </cell>
          <cell r="HU483">
            <v>0</v>
          </cell>
          <cell r="HV483">
            <v>0</v>
          </cell>
          <cell r="HW483">
            <v>0</v>
          </cell>
          <cell r="HX483">
            <v>0</v>
          </cell>
          <cell r="HY483">
            <v>0</v>
          </cell>
          <cell r="HZ483">
            <v>0</v>
          </cell>
          <cell r="IA483">
            <v>0</v>
          </cell>
          <cell r="IB483">
            <v>0</v>
          </cell>
          <cell r="IC483">
            <v>0</v>
          </cell>
          <cell r="ID483">
            <v>0</v>
          </cell>
          <cell r="IE483">
            <v>0</v>
          </cell>
          <cell r="IF483">
            <v>0</v>
          </cell>
          <cell r="IG483">
            <v>0</v>
          </cell>
          <cell r="IH483">
            <v>0</v>
          </cell>
          <cell r="II483">
            <v>0</v>
          </cell>
          <cell r="IJ483">
            <v>0</v>
          </cell>
          <cell r="IK483">
            <v>0</v>
          </cell>
          <cell r="IL483">
            <v>0</v>
          </cell>
          <cell r="IM483">
            <v>0</v>
          </cell>
          <cell r="IN483">
            <v>0</v>
          </cell>
          <cell r="IO483">
            <v>0</v>
          </cell>
          <cell r="IP483">
            <v>0</v>
          </cell>
          <cell r="IQ483">
            <v>0</v>
          </cell>
          <cell r="IR483">
            <v>0</v>
          </cell>
          <cell r="IS483">
            <v>0</v>
          </cell>
          <cell r="IT483">
            <v>0</v>
          </cell>
          <cell r="IU483">
            <v>0</v>
          </cell>
          <cell r="IV483">
            <v>0</v>
          </cell>
          <cell r="IW483">
            <v>0</v>
          </cell>
          <cell r="IX483">
            <v>0</v>
          </cell>
          <cell r="IY483">
            <v>0</v>
          </cell>
          <cell r="IZ483">
            <v>0</v>
          </cell>
          <cell r="JA483">
            <v>0</v>
          </cell>
        </row>
        <row r="498">
          <cell r="L498">
            <v>0.72973067919998869</v>
          </cell>
          <cell r="M498">
            <v>0.65652211519999071</v>
          </cell>
          <cell r="N498">
            <v>0.42757896959999897</v>
          </cell>
          <cell r="O498">
            <v>0.72932112079999456</v>
          </cell>
          <cell r="P498">
            <v>1.0612682039999868</v>
          </cell>
          <cell r="Q498">
            <v>0.78839991999998915</v>
          </cell>
          <cell r="R498">
            <v>0.80416787744415785</v>
          </cell>
          <cell r="S498">
            <v>0.82025123581215098</v>
          </cell>
          <cell r="T498">
            <v>0.83665631254231698</v>
          </cell>
          <cell r="U498">
            <v>0.85338943531191092</v>
          </cell>
          <cell r="V498">
            <v>0.87045720825015849</v>
          </cell>
          <cell r="W498">
            <v>0.88786636859271084</v>
          </cell>
          <cell r="X498">
            <v>0.90562363309734906</v>
          </cell>
          <cell r="Y498">
            <v>0.92373615879711224</v>
          </cell>
          <cell r="Z498">
            <v>0.942210887706878</v>
          </cell>
          <cell r="AA498">
            <v>0.96105509972719005</v>
          </cell>
          <cell r="AB498">
            <v>0.98027620786511704</v>
          </cell>
          <cell r="AC498">
            <v>0.99988172751727689</v>
          </cell>
          <cell r="AD498">
            <v>1.0198793686205505</v>
          </cell>
          <cell r="AE498">
            <v>1.0402769537403884</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cell r="BM498">
            <v>0</v>
          </cell>
          <cell r="BN498">
            <v>0</v>
          </cell>
          <cell r="BO498">
            <v>0</v>
          </cell>
          <cell r="BP498">
            <v>0</v>
          </cell>
          <cell r="BQ498">
            <v>0</v>
          </cell>
          <cell r="BR498">
            <v>0</v>
          </cell>
          <cell r="BS498">
            <v>0</v>
          </cell>
          <cell r="BT498">
            <v>0</v>
          </cell>
          <cell r="BU498">
            <v>0</v>
          </cell>
          <cell r="BV498">
            <v>0</v>
          </cell>
          <cell r="BW498">
            <v>0</v>
          </cell>
          <cell r="BX498">
            <v>0</v>
          </cell>
          <cell r="BY498">
            <v>0</v>
          </cell>
          <cell r="BZ498">
            <v>0</v>
          </cell>
          <cell r="CA498">
            <v>0</v>
          </cell>
          <cell r="CB498">
            <v>0</v>
          </cell>
          <cell r="CC498">
            <v>0</v>
          </cell>
          <cell r="CD498">
            <v>0</v>
          </cell>
          <cell r="CE498">
            <v>0</v>
          </cell>
          <cell r="CF498">
            <v>0</v>
          </cell>
          <cell r="CG498">
            <v>0</v>
          </cell>
          <cell r="CH498">
            <v>0</v>
          </cell>
          <cell r="CI498">
            <v>0</v>
          </cell>
          <cell r="CJ498">
            <v>0</v>
          </cell>
          <cell r="CK498">
            <v>0</v>
          </cell>
          <cell r="CL498">
            <v>0</v>
          </cell>
          <cell r="CM498">
            <v>0</v>
          </cell>
          <cell r="CN498">
            <v>0</v>
          </cell>
          <cell r="CO498">
            <v>0</v>
          </cell>
          <cell r="CP498">
            <v>0</v>
          </cell>
          <cell r="CQ498">
            <v>0</v>
          </cell>
          <cell r="CR498">
            <v>0</v>
          </cell>
          <cell r="CS498">
            <v>0</v>
          </cell>
          <cell r="CT498">
            <v>0</v>
          </cell>
          <cell r="CU498">
            <v>0</v>
          </cell>
          <cell r="CV498">
            <v>0</v>
          </cell>
          <cell r="CW498">
            <v>0</v>
          </cell>
          <cell r="CX498">
            <v>0</v>
          </cell>
          <cell r="CY498">
            <v>0</v>
          </cell>
          <cell r="CZ498">
            <v>0</v>
          </cell>
          <cell r="DA498">
            <v>0</v>
          </cell>
          <cell r="DB498">
            <v>0</v>
          </cell>
          <cell r="DC498">
            <v>0</v>
          </cell>
          <cell r="DD498">
            <v>0</v>
          </cell>
          <cell r="DE498">
            <v>0</v>
          </cell>
          <cell r="DF498">
            <v>0</v>
          </cell>
          <cell r="DG498">
            <v>0</v>
          </cell>
          <cell r="DH498">
            <v>0</v>
          </cell>
          <cell r="DI498">
            <v>0</v>
          </cell>
          <cell r="DJ498">
            <v>0</v>
          </cell>
          <cell r="DK498">
            <v>0</v>
          </cell>
          <cell r="DL498">
            <v>0</v>
          </cell>
          <cell r="DM498">
            <v>0</v>
          </cell>
          <cell r="DN498">
            <v>0</v>
          </cell>
          <cell r="DO498">
            <v>0</v>
          </cell>
          <cell r="DP498">
            <v>0</v>
          </cell>
          <cell r="DQ498">
            <v>0</v>
          </cell>
          <cell r="DR498">
            <v>0</v>
          </cell>
          <cell r="DS498">
            <v>0</v>
          </cell>
          <cell r="DT498">
            <v>0</v>
          </cell>
          <cell r="DU498">
            <v>0</v>
          </cell>
          <cell r="DV498">
            <v>0</v>
          </cell>
          <cell r="DW498">
            <v>0</v>
          </cell>
          <cell r="DX498">
            <v>0</v>
          </cell>
          <cell r="DY498">
            <v>0</v>
          </cell>
          <cell r="DZ498">
            <v>0</v>
          </cell>
          <cell r="EA498">
            <v>0</v>
          </cell>
          <cell r="EB498">
            <v>0</v>
          </cell>
          <cell r="EC498">
            <v>0</v>
          </cell>
          <cell r="ED498">
            <v>0</v>
          </cell>
          <cell r="EE498">
            <v>0</v>
          </cell>
          <cell r="EF498">
            <v>0</v>
          </cell>
          <cell r="EG498">
            <v>0</v>
          </cell>
          <cell r="EH498">
            <v>0</v>
          </cell>
          <cell r="EI498">
            <v>0</v>
          </cell>
          <cell r="EJ498">
            <v>0</v>
          </cell>
          <cell r="EK498">
            <v>0</v>
          </cell>
          <cell r="EL498">
            <v>0</v>
          </cell>
          <cell r="EM498">
            <v>0</v>
          </cell>
          <cell r="EN498">
            <v>0</v>
          </cell>
          <cell r="EO498">
            <v>0</v>
          </cell>
          <cell r="EP498">
            <v>0</v>
          </cell>
          <cell r="EQ498">
            <v>0</v>
          </cell>
          <cell r="ER498">
            <v>0</v>
          </cell>
          <cell r="ES498">
            <v>0</v>
          </cell>
          <cell r="ET498">
            <v>0</v>
          </cell>
          <cell r="EU498">
            <v>0</v>
          </cell>
          <cell r="EV498">
            <v>0</v>
          </cell>
          <cell r="EW498">
            <v>0</v>
          </cell>
          <cell r="EX498">
            <v>0</v>
          </cell>
          <cell r="EY498">
            <v>0</v>
          </cell>
          <cell r="EZ498">
            <v>0</v>
          </cell>
          <cell r="FA498">
            <v>0</v>
          </cell>
          <cell r="FB498">
            <v>0</v>
          </cell>
          <cell r="FC498">
            <v>0</v>
          </cell>
          <cell r="FD498">
            <v>0</v>
          </cell>
          <cell r="FE498">
            <v>0</v>
          </cell>
          <cell r="FF498">
            <v>0</v>
          </cell>
          <cell r="FG498">
            <v>0</v>
          </cell>
          <cell r="FH498">
            <v>0</v>
          </cell>
          <cell r="FI498">
            <v>0</v>
          </cell>
          <cell r="FJ498">
            <v>0</v>
          </cell>
          <cell r="FK498">
            <v>0</v>
          </cell>
          <cell r="FL498">
            <v>0</v>
          </cell>
          <cell r="FM498">
            <v>0</v>
          </cell>
          <cell r="FN498">
            <v>0</v>
          </cell>
          <cell r="FO498">
            <v>0</v>
          </cell>
          <cell r="FP498">
            <v>0</v>
          </cell>
          <cell r="FQ498">
            <v>0</v>
          </cell>
          <cell r="FR498">
            <v>0</v>
          </cell>
          <cell r="FS498">
            <v>0</v>
          </cell>
          <cell r="FT498">
            <v>0</v>
          </cell>
          <cell r="FU498">
            <v>0</v>
          </cell>
          <cell r="FV498">
            <v>0</v>
          </cell>
          <cell r="FW498">
            <v>0</v>
          </cell>
          <cell r="FX498">
            <v>0</v>
          </cell>
          <cell r="FY498">
            <v>0</v>
          </cell>
          <cell r="FZ498">
            <v>0</v>
          </cell>
          <cell r="GA498">
            <v>0</v>
          </cell>
          <cell r="GB498">
            <v>0</v>
          </cell>
          <cell r="GC498">
            <v>0</v>
          </cell>
          <cell r="GD498">
            <v>0</v>
          </cell>
          <cell r="GE498">
            <v>0</v>
          </cell>
          <cell r="GF498">
            <v>0</v>
          </cell>
          <cell r="GG498">
            <v>0</v>
          </cell>
          <cell r="GH498">
            <v>0</v>
          </cell>
          <cell r="GI498">
            <v>0</v>
          </cell>
          <cell r="GJ498">
            <v>0</v>
          </cell>
          <cell r="GK498">
            <v>0</v>
          </cell>
          <cell r="GL498">
            <v>0</v>
          </cell>
          <cell r="GM498">
            <v>0</v>
          </cell>
          <cell r="GN498">
            <v>0</v>
          </cell>
          <cell r="GO498">
            <v>0</v>
          </cell>
          <cell r="GP498">
            <v>0</v>
          </cell>
          <cell r="GQ498">
            <v>0</v>
          </cell>
          <cell r="GR498">
            <v>0</v>
          </cell>
          <cell r="GS498">
            <v>0</v>
          </cell>
          <cell r="GT498">
            <v>0</v>
          </cell>
          <cell r="GU498">
            <v>0</v>
          </cell>
          <cell r="GV498">
            <v>0</v>
          </cell>
          <cell r="GW498">
            <v>0</v>
          </cell>
          <cell r="GX498">
            <v>0</v>
          </cell>
          <cell r="GY498">
            <v>0</v>
          </cell>
          <cell r="GZ498">
            <v>0</v>
          </cell>
          <cell r="HA498">
            <v>0</v>
          </cell>
          <cell r="HB498">
            <v>0</v>
          </cell>
          <cell r="HC498">
            <v>0</v>
          </cell>
          <cell r="HD498">
            <v>0</v>
          </cell>
          <cell r="HE498">
            <v>0</v>
          </cell>
          <cell r="HF498">
            <v>0</v>
          </cell>
          <cell r="HG498">
            <v>0</v>
          </cell>
          <cell r="HH498">
            <v>0</v>
          </cell>
          <cell r="HI498">
            <v>0</v>
          </cell>
          <cell r="HJ498">
            <v>0</v>
          </cell>
          <cell r="HK498">
            <v>0</v>
          </cell>
          <cell r="HL498">
            <v>0</v>
          </cell>
          <cell r="HM498">
            <v>0</v>
          </cell>
          <cell r="HN498">
            <v>0</v>
          </cell>
          <cell r="HO498">
            <v>0</v>
          </cell>
          <cell r="HP498">
            <v>0</v>
          </cell>
          <cell r="HQ498">
            <v>0</v>
          </cell>
          <cell r="HR498">
            <v>0</v>
          </cell>
          <cell r="HS498">
            <v>0</v>
          </cell>
          <cell r="HT498">
            <v>0</v>
          </cell>
          <cell r="HU498">
            <v>0</v>
          </cell>
          <cell r="HV498">
            <v>0</v>
          </cell>
          <cell r="HW498">
            <v>0</v>
          </cell>
          <cell r="HX498">
            <v>0</v>
          </cell>
          <cell r="HY498">
            <v>0</v>
          </cell>
          <cell r="HZ498">
            <v>0</v>
          </cell>
          <cell r="IA498">
            <v>0</v>
          </cell>
          <cell r="IB498">
            <v>0</v>
          </cell>
          <cell r="IC498">
            <v>0</v>
          </cell>
          <cell r="ID498">
            <v>0</v>
          </cell>
          <cell r="IE498">
            <v>0</v>
          </cell>
          <cell r="IF498">
            <v>0</v>
          </cell>
          <cell r="IG498">
            <v>0</v>
          </cell>
          <cell r="IH498">
            <v>0</v>
          </cell>
          <cell r="II498">
            <v>0</v>
          </cell>
          <cell r="IJ498">
            <v>0</v>
          </cell>
          <cell r="IK498">
            <v>0</v>
          </cell>
          <cell r="IL498">
            <v>0</v>
          </cell>
          <cell r="IM498">
            <v>0</v>
          </cell>
          <cell r="IN498">
            <v>0</v>
          </cell>
          <cell r="IO498">
            <v>0</v>
          </cell>
          <cell r="IP498">
            <v>0</v>
          </cell>
          <cell r="IQ498">
            <v>0</v>
          </cell>
          <cell r="IR498">
            <v>0</v>
          </cell>
          <cell r="IS498">
            <v>0</v>
          </cell>
          <cell r="IT498">
            <v>0</v>
          </cell>
          <cell r="IU498">
            <v>0</v>
          </cell>
          <cell r="IV498">
            <v>0</v>
          </cell>
          <cell r="IW498">
            <v>0</v>
          </cell>
          <cell r="IX498">
            <v>0</v>
          </cell>
          <cell r="IY498">
            <v>0</v>
          </cell>
          <cell r="IZ498">
            <v>0</v>
          </cell>
          <cell r="JA498">
            <v>0</v>
          </cell>
        </row>
        <row r="510">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cell r="BM510">
            <v>0</v>
          </cell>
          <cell r="BN510">
            <v>0</v>
          </cell>
          <cell r="BO510">
            <v>0</v>
          </cell>
          <cell r="BP510">
            <v>0</v>
          </cell>
          <cell r="BQ510">
            <v>0</v>
          </cell>
          <cell r="BR510">
            <v>0</v>
          </cell>
          <cell r="BS510">
            <v>0</v>
          </cell>
          <cell r="BT510">
            <v>0</v>
          </cell>
          <cell r="BU510">
            <v>0</v>
          </cell>
          <cell r="BV510">
            <v>0</v>
          </cell>
          <cell r="BW510">
            <v>0</v>
          </cell>
          <cell r="BX510">
            <v>0</v>
          </cell>
          <cell r="BY510">
            <v>0</v>
          </cell>
          <cell r="BZ510">
            <v>0</v>
          </cell>
          <cell r="CA510">
            <v>0</v>
          </cell>
          <cell r="CB510">
            <v>0</v>
          </cell>
          <cell r="CC510">
            <v>0</v>
          </cell>
          <cell r="CD510">
            <v>0</v>
          </cell>
          <cell r="CE510">
            <v>0</v>
          </cell>
          <cell r="CF510">
            <v>0</v>
          </cell>
          <cell r="CG510">
            <v>0</v>
          </cell>
          <cell r="CH510">
            <v>0</v>
          </cell>
          <cell r="CI510">
            <v>0</v>
          </cell>
          <cell r="CJ510">
            <v>0</v>
          </cell>
          <cell r="CK510">
            <v>0</v>
          </cell>
          <cell r="CL510">
            <v>0</v>
          </cell>
          <cell r="CM510">
            <v>0</v>
          </cell>
          <cell r="CN510">
            <v>0</v>
          </cell>
          <cell r="CO510">
            <v>0</v>
          </cell>
          <cell r="CP510">
            <v>0</v>
          </cell>
          <cell r="CQ510">
            <v>0</v>
          </cell>
          <cell r="CR510">
            <v>0</v>
          </cell>
          <cell r="CS510">
            <v>0</v>
          </cell>
          <cell r="CT510">
            <v>0</v>
          </cell>
          <cell r="CU510">
            <v>0</v>
          </cell>
          <cell r="CV510">
            <v>0</v>
          </cell>
          <cell r="CW510">
            <v>0</v>
          </cell>
          <cell r="CX510">
            <v>0</v>
          </cell>
          <cell r="CY510">
            <v>0</v>
          </cell>
          <cell r="CZ510">
            <v>0</v>
          </cell>
          <cell r="DA510">
            <v>0</v>
          </cell>
          <cell r="DB510">
            <v>0</v>
          </cell>
          <cell r="DC510">
            <v>0</v>
          </cell>
          <cell r="DD510">
            <v>0</v>
          </cell>
          <cell r="DE510">
            <v>0</v>
          </cell>
          <cell r="DF510">
            <v>0</v>
          </cell>
          <cell r="DG510">
            <v>0</v>
          </cell>
          <cell r="DH510">
            <v>0</v>
          </cell>
          <cell r="DI510">
            <v>0</v>
          </cell>
          <cell r="DJ510">
            <v>0</v>
          </cell>
          <cell r="DK510">
            <v>0</v>
          </cell>
          <cell r="DL510">
            <v>0</v>
          </cell>
          <cell r="DM510">
            <v>0</v>
          </cell>
          <cell r="DN510">
            <v>0</v>
          </cell>
          <cell r="DO510">
            <v>0</v>
          </cell>
          <cell r="DP510">
            <v>0</v>
          </cell>
          <cell r="DQ510">
            <v>0</v>
          </cell>
          <cell r="DR510">
            <v>0</v>
          </cell>
          <cell r="DS510">
            <v>0</v>
          </cell>
          <cell r="DT510">
            <v>0</v>
          </cell>
          <cell r="DU510">
            <v>0</v>
          </cell>
          <cell r="DV510">
            <v>0</v>
          </cell>
          <cell r="DW510">
            <v>0</v>
          </cell>
          <cell r="DX510">
            <v>0</v>
          </cell>
          <cell r="DY510">
            <v>0</v>
          </cell>
          <cell r="DZ510">
            <v>0</v>
          </cell>
          <cell r="EA510">
            <v>0</v>
          </cell>
          <cell r="EB510">
            <v>0</v>
          </cell>
          <cell r="EC510">
            <v>0</v>
          </cell>
          <cell r="ED510">
            <v>0</v>
          </cell>
          <cell r="EE510">
            <v>0</v>
          </cell>
          <cell r="EF510">
            <v>0</v>
          </cell>
          <cell r="EG510">
            <v>0</v>
          </cell>
          <cell r="EH510">
            <v>0</v>
          </cell>
          <cell r="EI510">
            <v>0</v>
          </cell>
          <cell r="EJ510">
            <v>0</v>
          </cell>
          <cell r="EK510">
            <v>0</v>
          </cell>
          <cell r="EL510">
            <v>0</v>
          </cell>
          <cell r="EM510">
            <v>0</v>
          </cell>
          <cell r="EN510">
            <v>0</v>
          </cell>
          <cell r="EO510">
            <v>0</v>
          </cell>
          <cell r="EP510">
            <v>0</v>
          </cell>
          <cell r="EQ510">
            <v>0</v>
          </cell>
          <cell r="ER510">
            <v>0</v>
          </cell>
          <cell r="ES510">
            <v>0</v>
          </cell>
          <cell r="ET510">
            <v>0</v>
          </cell>
          <cell r="EU510">
            <v>0</v>
          </cell>
          <cell r="EV510">
            <v>0</v>
          </cell>
          <cell r="EW510">
            <v>0</v>
          </cell>
          <cell r="EX510">
            <v>0</v>
          </cell>
          <cell r="EY510">
            <v>0</v>
          </cell>
          <cell r="EZ510">
            <v>0</v>
          </cell>
          <cell r="FA510">
            <v>0</v>
          </cell>
          <cell r="FB510">
            <v>0</v>
          </cell>
          <cell r="FC510">
            <v>0</v>
          </cell>
          <cell r="FD510">
            <v>0</v>
          </cell>
          <cell r="FE510">
            <v>0</v>
          </cell>
          <cell r="FF510">
            <v>0</v>
          </cell>
          <cell r="FG510">
            <v>0</v>
          </cell>
          <cell r="FH510">
            <v>0</v>
          </cell>
          <cell r="FI510">
            <v>0</v>
          </cell>
          <cell r="FJ510">
            <v>0</v>
          </cell>
          <cell r="FK510">
            <v>0</v>
          </cell>
          <cell r="FL510">
            <v>0</v>
          </cell>
          <cell r="FM510">
            <v>0</v>
          </cell>
          <cell r="FN510">
            <v>0</v>
          </cell>
          <cell r="FO510">
            <v>0</v>
          </cell>
          <cell r="FP510">
            <v>0</v>
          </cell>
          <cell r="FQ510">
            <v>0</v>
          </cell>
          <cell r="FR510">
            <v>0</v>
          </cell>
          <cell r="FS510">
            <v>0</v>
          </cell>
          <cell r="FT510">
            <v>0</v>
          </cell>
          <cell r="FU510">
            <v>0</v>
          </cell>
          <cell r="FV510">
            <v>0</v>
          </cell>
          <cell r="FW510">
            <v>0</v>
          </cell>
          <cell r="FX510">
            <v>0</v>
          </cell>
          <cell r="FY510">
            <v>0</v>
          </cell>
          <cell r="FZ510">
            <v>0</v>
          </cell>
          <cell r="GA510">
            <v>0</v>
          </cell>
          <cell r="GB510">
            <v>0</v>
          </cell>
          <cell r="GC510">
            <v>0</v>
          </cell>
          <cell r="GD510">
            <v>0</v>
          </cell>
          <cell r="GE510">
            <v>0</v>
          </cell>
          <cell r="GF510">
            <v>0</v>
          </cell>
          <cell r="GG510">
            <v>0</v>
          </cell>
          <cell r="GH510">
            <v>0</v>
          </cell>
          <cell r="GI510">
            <v>0</v>
          </cell>
          <cell r="GJ510">
            <v>0</v>
          </cell>
          <cell r="GK510">
            <v>0</v>
          </cell>
          <cell r="GL510">
            <v>0</v>
          </cell>
          <cell r="GM510">
            <v>0</v>
          </cell>
          <cell r="GN510">
            <v>0</v>
          </cell>
          <cell r="GO510">
            <v>0</v>
          </cell>
          <cell r="GP510">
            <v>0</v>
          </cell>
          <cell r="GQ510">
            <v>0</v>
          </cell>
          <cell r="GR510">
            <v>0</v>
          </cell>
          <cell r="GS510">
            <v>0</v>
          </cell>
          <cell r="GT510">
            <v>0</v>
          </cell>
          <cell r="GU510">
            <v>0</v>
          </cell>
          <cell r="GV510">
            <v>0</v>
          </cell>
          <cell r="GW510">
            <v>0</v>
          </cell>
          <cell r="GX510">
            <v>0</v>
          </cell>
          <cell r="GY510">
            <v>0</v>
          </cell>
          <cell r="GZ510">
            <v>0</v>
          </cell>
          <cell r="HA510">
            <v>0</v>
          </cell>
          <cell r="HB510">
            <v>0</v>
          </cell>
          <cell r="HC510">
            <v>0</v>
          </cell>
          <cell r="HD510">
            <v>0</v>
          </cell>
          <cell r="HE510">
            <v>0</v>
          </cell>
          <cell r="HF510">
            <v>0</v>
          </cell>
          <cell r="HG510">
            <v>0</v>
          </cell>
          <cell r="HH510">
            <v>0</v>
          </cell>
          <cell r="HI510">
            <v>0</v>
          </cell>
          <cell r="HJ510">
            <v>0</v>
          </cell>
          <cell r="HK510">
            <v>0</v>
          </cell>
          <cell r="HL510">
            <v>0</v>
          </cell>
          <cell r="HM510">
            <v>0</v>
          </cell>
          <cell r="HN510">
            <v>0</v>
          </cell>
          <cell r="HO510">
            <v>0</v>
          </cell>
          <cell r="HP510">
            <v>0</v>
          </cell>
          <cell r="HQ510">
            <v>0</v>
          </cell>
          <cell r="HR510">
            <v>0</v>
          </cell>
          <cell r="HS510">
            <v>0</v>
          </cell>
          <cell r="HT510">
            <v>0</v>
          </cell>
          <cell r="HU510">
            <v>0</v>
          </cell>
          <cell r="HV510">
            <v>0</v>
          </cell>
          <cell r="HW510">
            <v>0</v>
          </cell>
          <cell r="HX510">
            <v>0</v>
          </cell>
          <cell r="HY510">
            <v>0</v>
          </cell>
          <cell r="HZ510">
            <v>0</v>
          </cell>
          <cell r="IA510">
            <v>0</v>
          </cell>
          <cell r="IB510">
            <v>0</v>
          </cell>
          <cell r="IC510">
            <v>0</v>
          </cell>
          <cell r="ID510">
            <v>0</v>
          </cell>
          <cell r="IE510">
            <v>0</v>
          </cell>
          <cell r="IF510">
            <v>0</v>
          </cell>
          <cell r="IG510">
            <v>0</v>
          </cell>
          <cell r="IH510">
            <v>0</v>
          </cell>
          <cell r="II510">
            <v>0</v>
          </cell>
          <cell r="IJ510">
            <v>0</v>
          </cell>
          <cell r="IK510">
            <v>0</v>
          </cell>
          <cell r="IL510">
            <v>0</v>
          </cell>
          <cell r="IM510">
            <v>0</v>
          </cell>
          <cell r="IN510">
            <v>0</v>
          </cell>
          <cell r="IO510">
            <v>0</v>
          </cell>
          <cell r="IP510">
            <v>0</v>
          </cell>
          <cell r="IQ510">
            <v>0</v>
          </cell>
          <cell r="IR510">
            <v>0</v>
          </cell>
          <cell r="IS510">
            <v>0</v>
          </cell>
          <cell r="IT510">
            <v>0</v>
          </cell>
          <cell r="IU510">
            <v>0</v>
          </cell>
          <cell r="IV510">
            <v>0</v>
          </cell>
          <cell r="IW510">
            <v>0</v>
          </cell>
          <cell r="IX510">
            <v>0</v>
          </cell>
          <cell r="IY510">
            <v>0</v>
          </cell>
          <cell r="IZ510">
            <v>0</v>
          </cell>
          <cell r="JA510">
            <v>0</v>
          </cell>
        </row>
        <row r="522">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cell r="BM522">
            <v>0</v>
          </cell>
          <cell r="BN522">
            <v>0</v>
          </cell>
          <cell r="BO522">
            <v>0</v>
          </cell>
          <cell r="BP522">
            <v>0</v>
          </cell>
          <cell r="BQ522">
            <v>0</v>
          </cell>
          <cell r="BR522">
            <v>0</v>
          </cell>
          <cell r="BS522">
            <v>0</v>
          </cell>
          <cell r="BT522">
            <v>0</v>
          </cell>
          <cell r="BU522">
            <v>0</v>
          </cell>
          <cell r="BV522">
            <v>0</v>
          </cell>
          <cell r="BW522">
            <v>0</v>
          </cell>
          <cell r="BX522">
            <v>0</v>
          </cell>
          <cell r="BY522">
            <v>0</v>
          </cell>
          <cell r="BZ522">
            <v>0</v>
          </cell>
          <cell r="CA522">
            <v>0</v>
          </cell>
          <cell r="CB522">
            <v>0</v>
          </cell>
          <cell r="CC522">
            <v>0</v>
          </cell>
          <cell r="CD522">
            <v>0</v>
          </cell>
          <cell r="CE522">
            <v>0</v>
          </cell>
          <cell r="CF522">
            <v>0</v>
          </cell>
          <cell r="CG522">
            <v>0</v>
          </cell>
          <cell r="CH522">
            <v>0</v>
          </cell>
          <cell r="CI522">
            <v>0</v>
          </cell>
          <cell r="CJ522">
            <v>0</v>
          </cell>
          <cell r="CK522">
            <v>0</v>
          </cell>
          <cell r="CL522">
            <v>0</v>
          </cell>
          <cell r="CM522">
            <v>0</v>
          </cell>
          <cell r="CN522">
            <v>0</v>
          </cell>
          <cell r="CO522">
            <v>0</v>
          </cell>
          <cell r="CP522">
            <v>0</v>
          </cell>
          <cell r="CQ522">
            <v>0</v>
          </cell>
          <cell r="CR522">
            <v>0</v>
          </cell>
          <cell r="CS522">
            <v>0</v>
          </cell>
          <cell r="CT522">
            <v>0</v>
          </cell>
          <cell r="CU522">
            <v>0</v>
          </cell>
          <cell r="CV522">
            <v>0</v>
          </cell>
          <cell r="CW522">
            <v>0</v>
          </cell>
          <cell r="CX522">
            <v>0</v>
          </cell>
          <cell r="CY522">
            <v>0</v>
          </cell>
          <cell r="CZ522">
            <v>0</v>
          </cell>
          <cell r="DA522">
            <v>0</v>
          </cell>
          <cell r="DB522">
            <v>0</v>
          </cell>
          <cell r="DC522">
            <v>0</v>
          </cell>
          <cell r="DD522">
            <v>0</v>
          </cell>
          <cell r="DE522">
            <v>0</v>
          </cell>
          <cell r="DF522">
            <v>0</v>
          </cell>
          <cell r="DG522">
            <v>0</v>
          </cell>
          <cell r="DH522">
            <v>0</v>
          </cell>
          <cell r="DI522">
            <v>0</v>
          </cell>
          <cell r="DJ522">
            <v>0</v>
          </cell>
          <cell r="DK522">
            <v>0</v>
          </cell>
          <cell r="DL522">
            <v>0</v>
          </cell>
          <cell r="DM522">
            <v>0</v>
          </cell>
          <cell r="DN522">
            <v>0</v>
          </cell>
          <cell r="DO522">
            <v>0</v>
          </cell>
          <cell r="DP522">
            <v>0</v>
          </cell>
          <cell r="DQ522">
            <v>0</v>
          </cell>
          <cell r="DR522">
            <v>0</v>
          </cell>
          <cell r="DS522">
            <v>0</v>
          </cell>
          <cell r="DT522">
            <v>0</v>
          </cell>
          <cell r="DU522">
            <v>0</v>
          </cell>
          <cell r="DV522">
            <v>0</v>
          </cell>
          <cell r="DW522">
            <v>0</v>
          </cell>
          <cell r="DX522">
            <v>0</v>
          </cell>
          <cell r="DY522">
            <v>0</v>
          </cell>
          <cell r="DZ522">
            <v>0</v>
          </cell>
          <cell r="EA522">
            <v>0</v>
          </cell>
          <cell r="EB522">
            <v>0</v>
          </cell>
          <cell r="EC522">
            <v>0</v>
          </cell>
          <cell r="ED522">
            <v>0</v>
          </cell>
          <cell r="EE522">
            <v>0</v>
          </cell>
          <cell r="EF522">
            <v>0</v>
          </cell>
          <cell r="EG522">
            <v>0</v>
          </cell>
          <cell r="EH522">
            <v>0</v>
          </cell>
          <cell r="EI522">
            <v>0</v>
          </cell>
          <cell r="EJ522">
            <v>0</v>
          </cell>
          <cell r="EK522">
            <v>0</v>
          </cell>
          <cell r="EL522">
            <v>0</v>
          </cell>
          <cell r="EM522">
            <v>0</v>
          </cell>
          <cell r="EN522">
            <v>0</v>
          </cell>
          <cell r="EO522">
            <v>0</v>
          </cell>
          <cell r="EP522">
            <v>0</v>
          </cell>
          <cell r="EQ522">
            <v>0</v>
          </cell>
          <cell r="ER522">
            <v>0</v>
          </cell>
          <cell r="ES522">
            <v>0</v>
          </cell>
          <cell r="ET522">
            <v>0</v>
          </cell>
          <cell r="EU522">
            <v>0</v>
          </cell>
          <cell r="EV522">
            <v>0</v>
          </cell>
          <cell r="EW522">
            <v>0</v>
          </cell>
          <cell r="EX522">
            <v>0</v>
          </cell>
          <cell r="EY522">
            <v>0</v>
          </cell>
          <cell r="EZ522">
            <v>0</v>
          </cell>
          <cell r="FA522">
            <v>0</v>
          </cell>
          <cell r="FB522">
            <v>0</v>
          </cell>
          <cell r="FC522">
            <v>0</v>
          </cell>
          <cell r="FD522">
            <v>0</v>
          </cell>
          <cell r="FE522">
            <v>0</v>
          </cell>
          <cell r="FF522">
            <v>0</v>
          </cell>
          <cell r="FG522">
            <v>0</v>
          </cell>
          <cell r="FH522">
            <v>0</v>
          </cell>
          <cell r="FI522">
            <v>0</v>
          </cell>
          <cell r="FJ522">
            <v>0</v>
          </cell>
          <cell r="FK522">
            <v>0</v>
          </cell>
          <cell r="FL522">
            <v>0</v>
          </cell>
          <cell r="FM522">
            <v>0</v>
          </cell>
          <cell r="FN522">
            <v>0</v>
          </cell>
          <cell r="FO522">
            <v>0</v>
          </cell>
          <cell r="FP522">
            <v>0</v>
          </cell>
          <cell r="FQ522">
            <v>0</v>
          </cell>
          <cell r="FR522">
            <v>0</v>
          </cell>
          <cell r="FS522">
            <v>0</v>
          </cell>
          <cell r="FT522">
            <v>0</v>
          </cell>
          <cell r="FU522">
            <v>0</v>
          </cell>
          <cell r="FV522">
            <v>0</v>
          </cell>
          <cell r="FW522">
            <v>0</v>
          </cell>
          <cell r="FX522">
            <v>0</v>
          </cell>
          <cell r="FY522">
            <v>0</v>
          </cell>
          <cell r="FZ522">
            <v>0</v>
          </cell>
          <cell r="GA522">
            <v>0</v>
          </cell>
          <cell r="GB522">
            <v>0</v>
          </cell>
          <cell r="GC522">
            <v>0</v>
          </cell>
          <cell r="GD522">
            <v>0</v>
          </cell>
          <cell r="GE522">
            <v>0</v>
          </cell>
          <cell r="GF522">
            <v>0</v>
          </cell>
          <cell r="GG522">
            <v>0</v>
          </cell>
          <cell r="GH522">
            <v>0</v>
          </cell>
          <cell r="GI522">
            <v>0</v>
          </cell>
          <cell r="GJ522">
            <v>0</v>
          </cell>
          <cell r="GK522">
            <v>0</v>
          </cell>
          <cell r="GL522">
            <v>0</v>
          </cell>
          <cell r="GM522">
            <v>0</v>
          </cell>
          <cell r="GN522">
            <v>0</v>
          </cell>
          <cell r="GO522">
            <v>0</v>
          </cell>
          <cell r="GP522">
            <v>0</v>
          </cell>
          <cell r="GQ522">
            <v>0</v>
          </cell>
          <cell r="GR522">
            <v>0</v>
          </cell>
          <cell r="GS522">
            <v>0</v>
          </cell>
          <cell r="GT522">
            <v>0</v>
          </cell>
          <cell r="GU522">
            <v>0</v>
          </cell>
          <cell r="GV522">
            <v>0</v>
          </cell>
          <cell r="GW522">
            <v>0</v>
          </cell>
          <cell r="GX522">
            <v>0</v>
          </cell>
          <cell r="GY522">
            <v>0</v>
          </cell>
          <cell r="GZ522">
            <v>0</v>
          </cell>
          <cell r="HA522">
            <v>0</v>
          </cell>
          <cell r="HB522">
            <v>0</v>
          </cell>
          <cell r="HC522">
            <v>0</v>
          </cell>
          <cell r="HD522">
            <v>0</v>
          </cell>
          <cell r="HE522">
            <v>0</v>
          </cell>
          <cell r="HF522">
            <v>0</v>
          </cell>
          <cell r="HG522">
            <v>0</v>
          </cell>
          <cell r="HH522">
            <v>0</v>
          </cell>
          <cell r="HI522">
            <v>0</v>
          </cell>
          <cell r="HJ522">
            <v>0</v>
          </cell>
          <cell r="HK522">
            <v>0</v>
          </cell>
          <cell r="HL522">
            <v>0</v>
          </cell>
          <cell r="HM522">
            <v>0</v>
          </cell>
          <cell r="HN522">
            <v>0</v>
          </cell>
          <cell r="HO522">
            <v>0</v>
          </cell>
          <cell r="HP522">
            <v>0</v>
          </cell>
          <cell r="HQ522">
            <v>0</v>
          </cell>
          <cell r="HR522">
            <v>0</v>
          </cell>
          <cell r="HS522">
            <v>0</v>
          </cell>
          <cell r="HT522">
            <v>0</v>
          </cell>
          <cell r="HU522">
            <v>0</v>
          </cell>
          <cell r="HV522">
            <v>0</v>
          </cell>
          <cell r="HW522">
            <v>0</v>
          </cell>
          <cell r="HX522">
            <v>0</v>
          </cell>
          <cell r="HY522">
            <v>0</v>
          </cell>
          <cell r="HZ522">
            <v>0</v>
          </cell>
          <cell r="IA522">
            <v>0</v>
          </cell>
          <cell r="IB522">
            <v>0</v>
          </cell>
          <cell r="IC522">
            <v>0</v>
          </cell>
          <cell r="ID522">
            <v>0</v>
          </cell>
          <cell r="IE522">
            <v>0</v>
          </cell>
          <cell r="IF522">
            <v>0</v>
          </cell>
          <cell r="IG522">
            <v>0</v>
          </cell>
          <cell r="IH522">
            <v>0</v>
          </cell>
          <cell r="II522">
            <v>0</v>
          </cell>
          <cell r="IJ522">
            <v>0</v>
          </cell>
          <cell r="IK522">
            <v>0</v>
          </cell>
          <cell r="IL522">
            <v>0</v>
          </cell>
          <cell r="IM522">
            <v>0</v>
          </cell>
          <cell r="IN522">
            <v>0</v>
          </cell>
          <cell r="IO522">
            <v>0</v>
          </cell>
          <cell r="IP522">
            <v>0</v>
          </cell>
          <cell r="IQ522">
            <v>0</v>
          </cell>
          <cell r="IR522">
            <v>0</v>
          </cell>
          <cell r="IS522">
            <v>0</v>
          </cell>
          <cell r="IT522">
            <v>0</v>
          </cell>
          <cell r="IU522">
            <v>0</v>
          </cell>
          <cell r="IV522">
            <v>0</v>
          </cell>
          <cell r="IW522">
            <v>0</v>
          </cell>
          <cell r="IX522">
            <v>0</v>
          </cell>
          <cell r="IY522">
            <v>0</v>
          </cell>
          <cell r="IZ522">
            <v>0</v>
          </cell>
          <cell r="JA522">
            <v>0</v>
          </cell>
        </row>
        <row r="543">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v>0</v>
          </cell>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cell r="BM543">
            <v>0</v>
          </cell>
          <cell r="BN543">
            <v>0</v>
          </cell>
          <cell r="BO543">
            <v>0</v>
          </cell>
          <cell r="BP543">
            <v>0</v>
          </cell>
          <cell r="BQ543">
            <v>0</v>
          </cell>
          <cell r="BR543">
            <v>0</v>
          </cell>
          <cell r="BS543">
            <v>0</v>
          </cell>
          <cell r="BT543">
            <v>0</v>
          </cell>
          <cell r="BU543">
            <v>0</v>
          </cell>
          <cell r="BV543">
            <v>0</v>
          </cell>
          <cell r="BW543">
            <v>0</v>
          </cell>
          <cell r="BX543">
            <v>0</v>
          </cell>
          <cell r="BY543">
            <v>0</v>
          </cell>
          <cell r="BZ543">
            <v>0</v>
          </cell>
          <cell r="CA543">
            <v>0</v>
          </cell>
          <cell r="CB543">
            <v>0</v>
          </cell>
          <cell r="CC543">
            <v>0</v>
          </cell>
          <cell r="CD543">
            <v>0</v>
          </cell>
          <cell r="CE543">
            <v>0</v>
          </cell>
          <cell r="CF543">
            <v>0</v>
          </cell>
          <cell r="CG543">
            <v>0</v>
          </cell>
          <cell r="CH543">
            <v>0</v>
          </cell>
          <cell r="CI543">
            <v>0</v>
          </cell>
          <cell r="CJ543">
            <v>0</v>
          </cell>
          <cell r="CK543">
            <v>0</v>
          </cell>
          <cell r="CL543">
            <v>0</v>
          </cell>
          <cell r="CM543">
            <v>0</v>
          </cell>
          <cell r="CN543">
            <v>0</v>
          </cell>
          <cell r="CO543">
            <v>0</v>
          </cell>
          <cell r="CP543">
            <v>0</v>
          </cell>
          <cell r="CQ543">
            <v>0</v>
          </cell>
          <cell r="CR543">
            <v>0</v>
          </cell>
          <cell r="CS543">
            <v>0</v>
          </cell>
          <cell r="CT543">
            <v>0</v>
          </cell>
          <cell r="CU543">
            <v>0</v>
          </cell>
          <cell r="CV543">
            <v>0</v>
          </cell>
          <cell r="CW543">
            <v>0</v>
          </cell>
          <cell r="CX543">
            <v>0</v>
          </cell>
          <cell r="CY543">
            <v>0</v>
          </cell>
          <cell r="CZ543">
            <v>0</v>
          </cell>
          <cell r="DA543">
            <v>0</v>
          </cell>
          <cell r="DB543">
            <v>0</v>
          </cell>
          <cell r="DC543">
            <v>0</v>
          </cell>
          <cell r="DD543">
            <v>0</v>
          </cell>
          <cell r="DE543">
            <v>0</v>
          </cell>
          <cell r="DF543">
            <v>0</v>
          </cell>
          <cell r="DG543">
            <v>0</v>
          </cell>
          <cell r="DH543">
            <v>0</v>
          </cell>
          <cell r="DI543">
            <v>0</v>
          </cell>
          <cell r="DJ543">
            <v>0</v>
          </cell>
          <cell r="DK543">
            <v>0</v>
          </cell>
          <cell r="DL543">
            <v>0</v>
          </cell>
          <cell r="DM543">
            <v>0</v>
          </cell>
          <cell r="DN543">
            <v>0</v>
          </cell>
          <cell r="DO543">
            <v>0</v>
          </cell>
          <cell r="DP543">
            <v>0</v>
          </cell>
          <cell r="DQ543">
            <v>0</v>
          </cell>
          <cell r="DR543">
            <v>0</v>
          </cell>
          <cell r="DS543">
            <v>0</v>
          </cell>
          <cell r="DT543">
            <v>0</v>
          </cell>
          <cell r="DU543">
            <v>0</v>
          </cell>
          <cell r="DV543">
            <v>0</v>
          </cell>
          <cell r="DW543">
            <v>0</v>
          </cell>
          <cell r="DX543">
            <v>0</v>
          </cell>
          <cell r="DY543">
            <v>0</v>
          </cell>
          <cell r="DZ543">
            <v>0</v>
          </cell>
          <cell r="EA543">
            <v>0</v>
          </cell>
          <cell r="EB543">
            <v>0</v>
          </cell>
          <cell r="EC543">
            <v>0</v>
          </cell>
          <cell r="ED543">
            <v>0</v>
          </cell>
          <cell r="EE543">
            <v>0</v>
          </cell>
          <cell r="EF543">
            <v>0</v>
          </cell>
          <cell r="EG543">
            <v>0</v>
          </cell>
          <cell r="EH543">
            <v>0</v>
          </cell>
          <cell r="EI543">
            <v>0</v>
          </cell>
          <cell r="EJ543">
            <v>0</v>
          </cell>
          <cell r="EK543">
            <v>0</v>
          </cell>
          <cell r="EL543">
            <v>0</v>
          </cell>
          <cell r="EM543">
            <v>0</v>
          </cell>
          <cell r="EN543">
            <v>0</v>
          </cell>
          <cell r="EO543">
            <v>0</v>
          </cell>
          <cell r="EP543">
            <v>0</v>
          </cell>
          <cell r="EQ543">
            <v>0</v>
          </cell>
          <cell r="ER543">
            <v>0</v>
          </cell>
          <cell r="ES543">
            <v>0</v>
          </cell>
          <cell r="ET543">
            <v>0</v>
          </cell>
          <cell r="EU543">
            <v>0</v>
          </cell>
          <cell r="EV543">
            <v>0</v>
          </cell>
          <cell r="EW543">
            <v>0</v>
          </cell>
          <cell r="EX543">
            <v>0</v>
          </cell>
          <cell r="EY543">
            <v>0</v>
          </cell>
          <cell r="EZ543">
            <v>0</v>
          </cell>
          <cell r="FA543">
            <v>0</v>
          </cell>
          <cell r="FB543">
            <v>0</v>
          </cell>
          <cell r="FC543">
            <v>0</v>
          </cell>
          <cell r="FD543">
            <v>0</v>
          </cell>
          <cell r="FE543">
            <v>0</v>
          </cell>
          <cell r="FF543">
            <v>0</v>
          </cell>
          <cell r="FG543">
            <v>0</v>
          </cell>
          <cell r="FH543">
            <v>0</v>
          </cell>
          <cell r="FI543">
            <v>0</v>
          </cell>
          <cell r="FJ543">
            <v>0</v>
          </cell>
          <cell r="FK543">
            <v>0</v>
          </cell>
          <cell r="FL543">
            <v>0</v>
          </cell>
          <cell r="FM543">
            <v>0</v>
          </cell>
          <cell r="FN543">
            <v>0</v>
          </cell>
          <cell r="FO543">
            <v>0</v>
          </cell>
          <cell r="FP543">
            <v>0</v>
          </cell>
          <cell r="FQ543">
            <v>0</v>
          </cell>
          <cell r="FR543">
            <v>0</v>
          </cell>
          <cell r="FS543">
            <v>0</v>
          </cell>
          <cell r="FT543">
            <v>0</v>
          </cell>
          <cell r="FU543">
            <v>0</v>
          </cell>
          <cell r="FV543">
            <v>0</v>
          </cell>
          <cell r="FW543">
            <v>0</v>
          </cell>
          <cell r="FX543">
            <v>0</v>
          </cell>
          <cell r="FY543">
            <v>0</v>
          </cell>
          <cell r="FZ543">
            <v>0</v>
          </cell>
          <cell r="GA543">
            <v>0</v>
          </cell>
          <cell r="GB543">
            <v>0</v>
          </cell>
          <cell r="GC543">
            <v>0</v>
          </cell>
          <cell r="GD543">
            <v>0</v>
          </cell>
          <cell r="GE543">
            <v>0</v>
          </cell>
          <cell r="GF543">
            <v>0</v>
          </cell>
          <cell r="GG543">
            <v>0</v>
          </cell>
          <cell r="GH543">
            <v>0</v>
          </cell>
          <cell r="GI543">
            <v>0</v>
          </cell>
          <cell r="GJ543">
            <v>0</v>
          </cell>
          <cell r="GK543">
            <v>0</v>
          </cell>
          <cell r="GL543">
            <v>0</v>
          </cell>
          <cell r="GM543">
            <v>0</v>
          </cell>
          <cell r="GN543">
            <v>0</v>
          </cell>
          <cell r="GO543">
            <v>0</v>
          </cell>
          <cell r="GP543">
            <v>0</v>
          </cell>
          <cell r="GQ543">
            <v>0</v>
          </cell>
          <cell r="GR543">
            <v>0</v>
          </cell>
          <cell r="GS543">
            <v>0</v>
          </cell>
          <cell r="GT543">
            <v>0</v>
          </cell>
          <cell r="GU543">
            <v>0</v>
          </cell>
          <cell r="GV543">
            <v>0</v>
          </cell>
          <cell r="GW543">
            <v>0</v>
          </cell>
          <cell r="GX543">
            <v>0</v>
          </cell>
          <cell r="GY543">
            <v>0</v>
          </cell>
          <cell r="GZ543">
            <v>0</v>
          </cell>
          <cell r="HA543">
            <v>0</v>
          </cell>
          <cell r="HB543">
            <v>0</v>
          </cell>
          <cell r="HC543">
            <v>0</v>
          </cell>
          <cell r="HD543">
            <v>0</v>
          </cell>
          <cell r="HE543">
            <v>0</v>
          </cell>
          <cell r="HF543">
            <v>0</v>
          </cell>
          <cell r="HG543">
            <v>0</v>
          </cell>
          <cell r="HH543">
            <v>0</v>
          </cell>
          <cell r="HI543">
            <v>0</v>
          </cell>
          <cell r="HJ543">
            <v>0</v>
          </cell>
          <cell r="HK543">
            <v>0</v>
          </cell>
          <cell r="HL543">
            <v>0</v>
          </cell>
          <cell r="HM543">
            <v>0</v>
          </cell>
          <cell r="HN543">
            <v>0</v>
          </cell>
          <cell r="HO543">
            <v>0</v>
          </cell>
          <cell r="HP543">
            <v>0</v>
          </cell>
          <cell r="HQ543">
            <v>0</v>
          </cell>
          <cell r="HR543">
            <v>0</v>
          </cell>
          <cell r="HS543">
            <v>0</v>
          </cell>
          <cell r="HT543">
            <v>0</v>
          </cell>
          <cell r="HU543">
            <v>0</v>
          </cell>
          <cell r="HV543">
            <v>0</v>
          </cell>
          <cell r="HW543">
            <v>0</v>
          </cell>
          <cell r="HX543">
            <v>0</v>
          </cell>
          <cell r="HY543">
            <v>0</v>
          </cell>
          <cell r="HZ543">
            <v>0</v>
          </cell>
          <cell r="IA543">
            <v>0</v>
          </cell>
          <cell r="IB543">
            <v>0</v>
          </cell>
          <cell r="IC543">
            <v>0</v>
          </cell>
          <cell r="ID543">
            <v>0</v>
          </cell>
          <cell r="IE543">
            <v>0</v>
          </cell>
          <cell r="IF543">
            <v>0</v>
          </cell>
          <cell r="IG543">
            <v>0</v>
          </cell>
          <cell r="IH543">
            <v>0</v>
          </cell>
          <cell r="II543">
            <v>0</v>
          </cell>
          <cell r="IJ543">
            <v>0</v>
          </cell>
          <cell r="IK543">
            <v>0</v>
          </cell>
          <cell r="IL543">
            <v>0</v>
          </cell>
          <cell r="IM543">
            <v>0</v>
          </cell>
          <cell r="IN543">
            <v>0</v>
          </cell>
          <cell r="IO543">
            <v>0</v>
          </cell>
          <cell r="IP543">
            <v>0</v>
          </cell>
          <cell r="IQ543">
            <v>0</v>
          </cell>
          <cell r="IR543">
            <v>0</v>
          </cell>
          <cell r="IS543">
            <v>0</v>
          </cell>
          <cell r="IT543">
            <v>0</v>
          </cell>
          <cell r="IU543">
            <v>0</v>
          </cell>
          <cell r="IV543">
            <v>0</v>
          </cell>
          <cell r="IW543">
            <v>0</v>
          </cell>
          <cell r="IX543">
            <v>0</v>
          </cell>
          <cell r="IY543">
            <v>0</v>
          </cell>
          <cell r="IZ543">
            <v>0</v>
          </cell>
          <cell r="JA543">
            <v>0</v>
          </cell>
        </row>
      </sheetData>
      <sheetData sheetId="4">
        <row r="11">
          <cell r="L11">
            <v>0</v>
          </cell>
          <cell r="M11">
            <v>0</v>
          </cell>
          <cell r="N11">
            <v>0</v>
          </cell>
          <cell r="O11">
            <v>1.1091347960833805E-3</v>
          </cell>
          <cell r="P11">
            <v>6.4044380969761824E-2</v>
          </cell>
          <cell r="Q11">
            <v>7.2505030636774936E-2</v>
          </cell>
          <cell r="R11">
            <v>7.8172963769877396E-2</v>
          </cell>
          <cell r="S11">
            <v>8.4802203339111537E-2</v>
          </cell>
          <cell r="T11">
            <v>9.2659973230391865E-2</v>
          </cell>
          <cell r="U11">
            <v>0.102122655781304</v>
          </cell>
          <cell r="V11">
            <v>0.11373786902950299</v>
          </cell>
          <cell r="W11">
            <v>0.12833434381874681</v>
          </cell>
          <cell r="X11">
            <v>0.14714660126424622</v>
          </cell>
          <cell r="Y11">
            <v>0.17157087237137683</v>
          </cell>
          <cell r="Z11">
            <v>0.20594734713877999</v>
          </cell>
          <cell r="AA11">
            <v>0.25793799336101625</v>
          </cell>
          <cell r="AB11">
            <v>0.34566465787827577</v>
          </cell>
          <cell r="AC11">
            <v>0.52533779078360343</v>
          </cell>
          <cell r="AD11">
            <v>1.0000000000000004</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5">
          <cell r="I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cell r="EQ15">
            <v>0</v>
          </cell>
          <cell r="ER15">
            <v>0</v>
          </cell>
          <cell r="ES15">
            <v>0</v>
          </cell>
          <cell r="ET15">
            <v>0</v>
          </cell>
          <cell r="EU15">
            <v>0</v>
          </cell>
          <cell r="EV15">
            <v>0</v>
          </cell>
          <cell r="EW15">
            <v>0</v>
          </cell>
          <cell r="EX15">
            <v>0</v>
          </cell>
          <cell r="EY15">
            <v>0</v>
          </cell>
          <cell r="EZ15">
            <v>0</v>
          </cell>
          <cell r="FA15">
            <v>0</v>
          </cell>
          <cell r="FB15">
            <v>0</v>
          </cell>
          <cell r="FC15">
            <v>0</v>
          </cell>
          <cell r="FD15">
            <v>0</v>
          </cell>
          <cell r="FE15">
            <v>0</v>
          </cell>
          <cell r="FF15">
            <v>0</v>
          </cell>
          <cell r="FG15">
            <v>0</v>
          </cell>
          <cell r="FH15">
            <v>0</v>
          </cell>
          <cell r="FI15">
            <v>0</v>
          </cell>
          <cell r="FJ15">
            <v>0</v>
          </cell>
          <cell r="FK15">
            <v>0</v>
          </cell>
          <cell r="FL15">
            <v>0</v>
          </cell>
          <cell r="FM15">
            <v>0</v>
          </cell>
          <cell r="FN15">
            <v>0</v>
          </cell>
          <cell r="FO15">
            <v>0</v>
          </cell>
          <cell r="FP15">
            <v>0</v>
          </cell>
          <cell r="FQ15">
            <v>0</v>
          </cell>
          <cell r="FR15">
            <v>0</v>
          </cell>
          <cell r="FS15">
            <v>0</v>
          </cell>
          <cell r="FT15">
            <v>0</v>
          </cell>
          <cell r="FU15">
            <v>0</v>
          </cell>
          <cell r="FV15">
            <v>0</v>
          </cell>
          <cell r="FW15">
            <v>0</v>
          </cell>
          <cell r="FX15">
            <v>0</v>
          </cell>
          <cell r="FY15">
            <v>0</v>
          </cell>
          <cell r="FZ15">
            <v>0</v>
          </cell>
          <cell r="GA15">
            <v>0</v>
          </cell>
          <cell r="GB15">
            <v>0</v>
          </cell>
          <cell r="GC15">
            <v>0</v>
          </cell>
          <cell r="GD15">
            <v>0</v>
          </cell>
          <cell r="GE15">
            <v>0</v>
          </cell>
          <cell r="GF15">
            <v>0</v>
          </cell>
          <cell r="GG15">
            <v>0</v>
          </cell>
          <cell r="GH15">
            <v>0</v>
          </cell>
          <cell r="GI15">
            <v>0</v>
          </cell>
          <cell r="GJ15">
            <v>0</v>
          </cell>
          <cell r="GK15">
            <v>0</v>
          </cell>
          <cell r="GL15">
            <v>0</v>
          </cell>
          <cell r="GM15">
            <v>0</v>
          </cell>
          <cell r="GN15">
            <v>0</v>
          </cell>
          <cell r="GO15">
            <v>0</v>
          </cell>
          <cell r="GP15">
            <v>0</v>
          </cell>
          <cell r="GQ15">
            <v>0</v>
          </cell>
          <cell r="GR15">
            <v>0</v>
          </cell>
          <cell r="GS15">
            <v>0</v>
          </cell>
          <cell r="GT15">
            <v>0</v>
          </cell>
          <cell r="GU15">
            <v>0</v>
          </cell>
          <cell r="GV15">
            <v>0</v>
          </cell>
          <cell r="GW15">
            <v>0</v>
          </cell>
          <cell r="GX15">
            <v>0</v>
          </cell>
          <cell r="GY15">
            <v>0</v>
          </cell>
          <cell r="GZ15">
            <v>0</v>
          </cell>
          <cell r="HA15">
            <v>0</v>
          </cell>
          <cell r="HB15">
            <v>0</v>
          </cell>
          <cell r="HC15">
            <v>0</v>
          </cell>
          <cell r="HD15">
            <v>0</v>
          </cell>
          <cell r="HE15">
            <v>0</v>
          </cell>
          <cell r="HF15">
            <v>0</v>
          </cell>
          <cell r="HG15">
            <v>0</v>
          </cell>
          <cell r="HH15">
            <v>0</v>
          </cell>
          <cell r="HI15">
            <v>0</v>
          </cell>
          <cell r="HJ15">
            <v>0</v>
          </cell>
          <cell r="HK15">
            <v>0</v>
          </cell>
          <cell r="HL15">
            <v>0</v>
          </cell>
          <cell r="HM15">
            <v>0</v>
          </cell>
          <cell r="HN15">
            <v>0</v>
          </cell>
          <cell r="HO15">
            <v>0</v>
          </cell>
          <cell r="HP15">
            <v>0</v>
          </cell>
          <cell r="HQ15">
            <v>0</v>
          </cell>
          <cell r="HR15">
            <v>0</v>
          </cell>
          <cell r="HS15">
            <v>0</v>
          </cell>
          <cell r="HT15">
            <v>0</v>
          </cell>
          <cell r="HU15">
            <v>0</v>
          </cell>
          <cell r="HV15">
            <v>0</v>
          </cell>
          <cell r="HW15">
            <v>0</v>
          </cell>
          <cell r="HX15">
            <v>0</v>
          </cell>
          <cell r="HY15">
            <v>0</v>
          </cell>
          <cell r="HZ15">
            <v>0</v>
          </cell>
          <cell r="IA15">
            <v>0</v>
          </cell>
          <cell r="IB15">
            <v>0</v>
          </cell>
          <cell r="IC15">
            <v>0</v>
          </cell>
          <cell r="ID15">
            <v>0</v>
          </cell>
          <cell r="IE15">
            <v>0</v>
          </cell>
          <cell r="IF15">
            <v>0</v>
          </cell>
          <cell r="IG15">
            <v>0</v>
          </cell>
          <cell r="IH15">
            <v>0</v>
          </cell>
          <cell r="II15">
            <v>0</v>
          </cell>
          <cell r="IJ15">
            <v>0</v>
          </cell>
          <cell r="IK15">
            <v>0</v>
          </cell>
          <cell r="IL15">
            <v>0</v>
          </cell>
          <cell r="IM15">
            <v>0</v>
          </cell>
          <cell r="IN15">
            <v>0</v>
          </cell>
          <cell r="IO15">
            <v>0</v>
          </cell>
          <cell r="IP15">
            <v>0</v>
          </cell>
          <cell r="IQ15">
            <v>0</v>
          </cell>
          <cell r="IR15">
            <v>0</v>
          </cell>
          <cell r="IS15">
            <v>0</v>
          </cell>
          <cell r="IT15">
            <v>0</v>
          </cell>
          <cell r="IU15">
            <v>0</v>
          </cell>
          <cell r="IV15">
            <v>0</v>
          </cell>
          <cell r="IW15">
            <v>0</v>
          </cell>
          <cell r="IX15">
            <v>0</v>
          </cell>
          <cell r="IY15">
            <v>0</v>
          </cell>
          <cell r="IZ15">
            <v>0</v>
          </cell>
          <cell r="JA15">
            <v>0</v>
          </cell>
        </row>
        <row r="16">
          <cell r="I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cell r="EQ16">
            <v>0</v>
          </cell>
          <cell r="ER16">
            <v>0</v>
          </cell>
          <cell r="ES16">
            <v>0</v>
          </cell>
          <cell r="ET16">
            <v>0</v>
          </cell>
          <cell r="EU16">
            <v>0</v>
          </cell>
          <cell r="EV16">
            <v>0</v>
          </cell>
          <cell r="EW16">
            <v>0</v>
          </cell>
          <cell r="EX16">
            <v>0</v>
          </cell>
          <cell r="EY16">
            <v>0</v>
          </cell>
          <cell r="EZ16">
            <v>0</v>
          </cell>
          <cell r="FA16">
            <v>0</v>
          </cell>
          <cell r="FB16">
            <v>0</v>
          </cell>
          <cell r="FC16">
            <v>0</v>
          </cell>
          <cell r="FD16">
            <v>0</v>
          </cell>
          <cell r="FE16">
            <v>0</v>
          </cell>
          <cell r="FF16">
            <v>0</v>
          </cell>
          <cell r="FG16">
            <v>0</v>
          </cell>
          <cell r="FH16">
            <v>0</v>
          </cell>
          <cell r="FI16">
            <v>0</v>
          </cell>
          <cell r="FJ16">
            <v>0</v>
          </cell>
          <cell r="FK16">
            <v>0</v>
          </cell>
          <cell r="FL16">
            <v>0</v>
          </cell>
          <cell r="FM16">
            <v>0</v>
          </cell>
          <cell r="FN16">
            <v>0</v>
          </cell>
          <cell r="FO16">
            <v>0</v>
          </cell>
          <cell r="FP16">
            <v>0</v>
          </cell>
          <cell r="FQ16">
            <v>0</v>
          </cell>
          <cell r="FR16">
            <v>0</v>
          </cell>
          <cell r="FS16">
            <v>0</v>
          </cell>
          <cell r="FT16">
            <v>0</v>
          </cell>
          <cell r="FU16">
            <v>0</v>
          </cell>
          <cell r="FV16">
            <v>0</v>
          </cell>
          <cell r="FW16">
            <v>0</v>
          </cell>
          <cell r="FX16">
            <v>0</v>
          </cell>
          <cell r="FY16">
            <v>0</v>
          </cell>
          <cell r="FZ16">
            <v>0</v>
          </cell>
          <cell r="GA16">
            <v>0</v>
          </cell>
          <cell r="GB16">
            <v>0</v>
          </cell>
          <cell r="GC16">
            <v>0</v>
          </cell>
          <cell r="GD16">
            <v>0</v>
          </cell>
          <cell r="GE16">
            <v>0</v>
          </cell>
          <cell r="GF16">
            <v>0</v>
          </cell>
          <cell r="GG16">
            <v>0</v>
          </cell>
          <cell r="GH16">
            <v>0</v>
          </cell>
          <cell r="GI16">
            <v>0</v>
          </cell>
          <cell r="GJ16">
            <v>0</v>
          </cell>
          <cell r="GK16">
            <v>0</v>
          </cell>
          <cell r="GL16">
            <v>0</v>
          </cell>
          <cell r="GM16">
            <v>0</v>
          </cell>
          <cell r="GN16">
            <v>0</v>
          </cell>
          <cell r="GO16">
            <v>0</v>
          </cell>
          <cell r="GP16">
            <v>0</v>
          </cell>
          <cell r="GQ16">
            <v>0</v>
          </cell>
          <cell r="GR16">
            <v>0</v>
          </cell>
          <cell r="GS16">
            <v>0</v>
          </cell>
          <cell r="GT16">
            <v>0</v>
          </cell>
          <cell r="GU16">
            <v>0</v>
          </cell>
          <cell r="GV16">
            <v>0</v>
          </cell>
          <cell r="GW16">
            <v>0</v>
          </cell>
          <cell r="GX16">
            <v>0</v>
          </cell>
          <cell r="GY16">
            <v>0</v>
          </cell>
          <cell r="GZ16">
            <v>0</v>
          </cell>
          <cell r="HA16">
            <v>0</v>
          </cell>
          <cell r="HB16">
            <v>0</v>
          </cell>
          <cell r="HC16">
            <v>0</v>
          </cell>
          <cell r="HD16">
            <v>0</v>
          </cell>
          <cell r="HE16">
            <v>0</v>
          </cell>
          <cell r="HF16">
            <v>0</v>
          </cell>
          <cell r="HG16">
            <v>0</v>
          </cell>
          <cell r="HH16">
            <v>0</v>
          </cell>
          <cell r="HI16">
            <v>0</v>
          </cell>
          <cell r="HJ16">
            <v>0</v>
          </cell>
          <cell r="HK16">
            <v>0</v>
          </cell>
          <cell r="HL16">
            <v>0</v>
          </cell>
          <cell r="HM16">
            <v>0</v>
          </cell>
          <cell r="HN16">
            <v>0</v>
          </cell>
          <cell r="HO16">
            <v>0</v>
          </cell>
          <cell r="HP16">
            <v>0</v>
          </cell>
          <cell r="HQ16">
            <v>0</v>
          </cell>
          <cell r="HR16">
            <v>0</v>
          </cell>
          <cell r="HS16">
            <v>0</v>
          </cell>
          <cell r="HT16">
            <v>0</v>
          </cell>
          <cell r="HU16">
            <v>0</v>
          </cell>
          <cell r="HV16">
            <v>0</v>
          </cell>
          <cell r="HW16">
            <v>0</v>
          </cell>
          <cell r="HX16">
            <v>0</v>
          </cell>
          <cell r="HY16">
            <v>0</v>
          </cell>
          <cell r="HZ16">
            <v>0</v>
          </cell>
          <cell r="IA16">
            <v>0</v>
          </cell>
          <cell r="IB16">
            <v>0</v>
          </cell>
          <cell r="IC16">
            <v>0</v>
          </cell>
          <cell r="ID16">
            <v>0</v>
          </cell>
          <cell r="IE16">
            <v>0</v>
          </cell>
          <cell r="IF16">
            <v>0</v>
          </cell>
          <cell r="IG16">
            <v>0</v>
          </cell>
          <cell r="IH16">
            <v>0</v>
          </cell>
          <cell r="II16">
            <v>0</v>
          </cell>
          <cell r="IJ16">
            <v>0</v>
          </cell>
          <cell r="IK16">
            <v>0</v>
          </cell>
          <cell r="IL16">
            <v>0</v>
          </cell>
          <cell r="IM16">
            <v>0</v>
          </cell>
          <cell r="IN16">
            <v>0</v>
          </cell>
          <cell r="IO16">
            <v>0</v>
          </cell>
          <cell r="IP16">
            <v>0</v>
          </cell>
          <cell r="IQ16">
            <v>0</v>
          </cell>
          <cell r="IR16">
            <v>0</v>
          </cell>
          <cell r="IS16">
            <v>0</v>
          </cell>
          <cell r="IT16">
            <v>0</v>
          </cell>
          <cell r="IU16">
            <v>0</v>
          </cell>
          <cell r="IV16">
            <v>0</v>
          </cell>
          <cell r="IW16">
            <v>0</v>
          </cell>
          <cell r="IX16">
            <v>0</v>
          </cell>
          <cell r="IY16">
            <v>0</v>
          </cell>
          <cell r="IZ16">
            <v>0</v>
          </cell>
          <cell r="JA16">
            <v>0</v>
          </cell>
        </row>
        <row r="17">
          <cell r="I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I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I19">
            <v>10.770374</v>
          </cell>
          <cell r="L19">
            <v>0</v>
          </cell>
          <cell r="M19">
            <v>0</v>
          </cell>
          <cell r="N19">
            <v>0</v>
          </cell>
          <cell r="O19">
            <v>7.7208690000000004</v>
          </cell>
          <cell r="P19">
            <v>1.8969009999999999</v>
          </cell>
          <cell r="Q19">
            <v>9.4848000000000002E-2</v>
          </cell>
          <cell r="R19">
            <v>5.9811999999999997E-2</v>
          </cell>
          <cell r="S19">
            <v>6.4681000000000002E-2</v>
          </cell>
          <cell r="T19">
            <v>8.2790000000000002E-2</v>
          </cell>
          <cell r="U19">
            <v>0.103032</v>
          </cell>
          <cell r="V19">
            <v>0.11045000000000001</v>
          </cell>
          <cell r="W19">
            <v>0.13347899999999999</v>
          </cell>
          <cell r="X19">
            <v>0.15234900000000001</v>
          </cell>
          <cell r="Y19">
            <v>0.16131699999999999</v>
          </cell>
          <cell r="Z19">
            <v>0.18984599999999999</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I20">
            <v>8.8065260000000034</v>
          </cell>
          <cell r="L20">
            <v>0</v>
          </cell>
          <cell r="M20">
            <v>0</v>
          </cell>
          <cell r="N20">
            <v>0</v>
          </cell>
          <cell r="O20">
            <v>6.2535680000000005</v>
          </cell>
          <cell r="P20">
            <v>1.588031</v>
          </cell>
          <cell r="Q20">
            <v>7.9405000000000003E-2</v>
          </cell>
          <cell r="R20">
            <v>5.0074E-2</v>
          </cell>
          <cell r="S20">
            <v>5.4148000000000002E-2</v>
          </cell>
          <cell r="T20">
            <v>6.9309999999999997E-2</v>
          </cell>
          <cell r="U20">
            <v>8.6255999999999999E-2</v>
          </cell>
          <cell r="V20">
            <v>9.2465000000000006E-2</v>
          </cell>
          <cell r="W20">
            <v>0.111744</v>
          </cell>
          <cell r="X20">
            <v>0.12754099999999999</v>
          </cell>
          <cell r="Y20">
            <v>0.135051</v>
          </cell>
          <cell r="Z20">
            <v>0.15893299999999999</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1">
          <cell r="I21">
            <v>98.949945999999997</v>
          </cell>
          <cell r="L21">
            <v>0</v>
          </cell>
          <cell r="M21">
            <v>0</v>
          </cell>
          <cell r="N21">
            <v>0</v>
          </cell>
          <cell r="O21">
            <v>98.949945999999997</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cell r="EQ21">
            <v>0</v>
          </cell>
          <cell r="ER21">
            <v>0</v>
          </cell>
          <cell r="ES21">
            <v>0</v>
          </cell>
          <cell r="ET21">
            <v>0</v>
          </cell>
          <cell r="EU21">
            <v>0</v>
          </cell>
          <cell r="EV21">
            <v>0</v>
          </cell>
          <cell r="EW21">
            <v>0</v>
          </cell>
          <cell r="EX21">
            <v>0</v>
          </cell>
          <cell r="EY21">
            <v>0</v>
          </cell>
          <cell r="EZ21">
            <v>0</v>
          </cell>
          <cell r="FA21">
            <v>0</v>
          </cell>
          <cell r="FB21">
            <v>0</v>
          </cell>
          <cell r="FC21">
            <v>0</v>
          </cell>
          <cell r="FD21">
            <v>0</v>
          </cell>
          <cell r="FE21">
            <v>0</v>
          </cell>
          <cell r="FF21">
            <v>0</v>
          </cell>
          <cell r="FG21">
            <v>0</v>
          </cell>
          <cell r="FH21">
            <v>0</v>
          </cell>
          <cell r="FI21">
            <v>0</v>
          </cell>
          <cell r="FJ21">
            <v>0</v>
          </cell>
          <cell r="FK21">
            <v>0</v>
          </cell>
          <cell r="FL21">
            <v>0</v>
          </cell>
          <cell r="FM21">
            <v>0</v>
          </cell>
          <cell r="FN21">
            <v>0</v>
          </cell>
          <cell r="FO21">
            <v>0</v>
          </cell>
          <cell r="FP21">
            <v>0</v>
          </cell>
          <cell r="FQ21">
            <v>0</v>
          </cell>
          <cell r="FR21">
            <v>0</v>
          </cell>
          <cell r="FS21">
            <v>0</v>
          </cell>
          <cell r="FT21">
            <v>0</v>
          </cell>
          <cell r="FU21">
            <v>0</v>
          </cell>
          <cell r="FV21">
            <v>0</v>
          </cell>
          <cell r="FW21">
            <v>0</v>
          </cell>
          <cell r="FX21">
            <v>0</v>
          </cell>
          <cell r="FY21">
            <v>0</v>
          </cell>
          <cell r="FZ21">
            <v>0</v>
          </cell>
          <cell r="GA21">
            <v>0</v>
          </cell>
          <cell r="GB21">
            <v>0</v>
          </cell>
          <cell r="GC21">
            <v>0</v>
          </cell>
          <cell r="GD21">
            <v>0</v>
          </cell>
          <cell r="GE21">
            <v>0</v>
          </cell>
          <cell r="GF21">
            <v>0</v>
          </cell>
          <cell r="GG21">
            <v>0</v>
          </cell>
          <cell r="GH21">
            <v>0</v>
          </cell>
          <cell r="GI21">
            <v>0</v>
          </cell>
          <cell r="GJ21">
            <v>0</v>
          </cell>
          <cell r="GK21">
            <v>0</v>
          </cell>
          <cell r="GL21">
            <v>0</v>
          </cell>
          <cell r="GM21">
            <v>0</v>
          </cell>
          <cell r="GN21">
            <v>0</v>
          </cell>
          <cell r="GO21">
            <v>0</v>
          </cell>
          <cell r="GP21">
            <v>0</v>
          </cell>
          <cell r="GQ21">
            <v>0</v>
          </cell>
          <cell r="GR21">
            <v>0</v>
          </cell>
          <cell r="GS21">
            <v>0</v>
          </cell>
          <cell r="GT21">
            <v>0</v>
          </cell>
          <cell r="GU21">
            <v>0</v>
          </cell>
          <cell r="GV21">
            <v>0</v>
          </cell>
          <cell r="GW21">
            <v>0</v>
          </cell>
          <cell r="GX21">
            <v>0</v>
          </cell>
          <cell r="GY21">
            <v>0</v>
          </cell>
          <cell r="GZ21">
            <v>0</v>
          </cell>
          <cell r="HA21">
            <v>0</v>
          </cell>
          <cell r="HB21">
            <v>0</v>
          </cell>
          <cell r="HC21">
            <v>0</v>
          </cell>
          <cell r="HD21">
            <v>0</v>
          </cell>
          <cell r="HE21">
            <v>0</v>
          </cell>
          <cell r="HF21">
            <v>0</v>
          </cell>
          <cell r="HG21">
            <v>0</v>
          </cell>
          <cell r="HH21">
            <v>0</v>
          </cell>
          <cell r="HI21">
            <v>0</v>
          </cell>
          <cell r="HJ21">
            <v>0</v>
          </cell>
          <cell r="HK21">
            <v>0</v>
          </cell>
          <cell r="HL21">
            <v>0</v>
          </cell>
          <cell r="HM21">
            <v>0</v>
          </cell>
          <cell r="HN21">
            <v>0</v>
          </cell>
          <cell r="HO21">
            <v>0</v>
          </cell>
          <cell r="HP21">
            <v>0</v>
          </cell>
          <cell r="HQ21">
            <v>0</v>
          </cell>
          <cell r="HR21">
            <v>0</v>
          </cell>
          <cell r="HS21">
            <v>0</v>
          </cell>
          <cell r="HT21">
            <v>0</v>
          </cell>
          <cell r="HU21">
            <v>0</v>
          </cell>
          <cell r="HV21">
            <v>0</v>
          </cell>
          <cell r="HW21">
            <v>0</v>
          </cell>
          <cell r="HX21">
            <v>0</v>
          </cell>
          <cell r="HY21">
            <v>0</v>
          </cell>
          <cell r="HZ21">
            <v>0</v>
          </cell>
          <cell r="IA21">
            <v>0</v>
          </cell>
          <cell r="IB21">
            <v>0</v>
          </cell>
          <cell r="IC21">
            <v>0</v>
          </cell>
          <cell r="ID21">
            <v>0</v>
          </cell>
          <cell r="IE21">
            <v>0</v>
          </cell>
          <cell r="IF21">
            <v>0</v>
          </cell>
          <cell r="IG21">
            <v>0</v>
          </cell>
          <cell r="IH21">
            <v>0</v>
          </cell>
          <cell r="II21">
            <v>0</v>
          </cell>
          <cell r="IJ21">
            <v>0</v>
          </cell>
          <cell r="IK21">
            <v>0</v>
          </cell>
          <cell r="IL21">
            <v>0</v>
          </cell>
          <cell r="IM21">
            <v>0</v>
          </cell>
          <cell r="IN21">
            <v>0</v>
          </cell>
          <cell r="IO21">
            <v>0</v>
          </cell>
          <cell r="IP21">
            <v>0</v>
          </cell>
          <cell r="IQ21">
            <v>0</v>
          </cell>
          <cell r="IR21">
            <v>0</v>
          </cell>
          <cell r="IS21">
            <v>0</v>
          </cell>
          <cell r="IT21">
            <v>0</v>
          </cell>
          <cell r="IU21">
            <v>0</v>
          </cell>
          <cell r="IV21">
            <v>0</v>
          </cell>
          <cell r="IW21">
            <v>0</v>
          </cell>
          <cell r="IX21">
            <v>0</v>
          </cell>
          <cell r="IY21">
            <v>0</v>
          </cell>
          <cell r="IZ21">
            <v>0</v>
          </cell>
          <cell r="JA21">
            <v>0</v>
          </cell>
        </row>
        <row r="22">
          <cell r="I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cell r="EQ22">
            <v>0</v>
          </cell>
          <cell r="ER22">
            <v>0</v>
          </cell>
          <cell r="ES22">
            <v>0</v>
          </cell>
          <cell r="ET22">
            <v>0</v>
          </cell>
          <cell r="EU22">
            <v>0</v>
          </cell>
          <cell r="EV22">
            <v>0</v>
          </cell>
          <cell r="EW22">
            <v>0</v>
          </cell>
          <cell r="EX22">
            <v>0</v>
          </cell>
          <cell r="EY22">
            <v>0</v>
          </cell>
          <cell r="EZ22">
            <v>0</v>
          </cell>
          <cell r="FA22">
            <v>0</v>
          </cell>
          <cell r="FB22">
            <v>0</v>
          </cell>
          <cell r="FC22">
            <v>0</v>
          </cell>
          <cell r="FD22">
            <v>0</v>
          </cell>
          <cell r="FE22">
            <v>0</v>
          </cell>
          <cell r="FF22">
            <v>0</v>
          </cell>
          <cell r="FG22">
            <v>0</v>
          </cell>
          <cell r="FH22">
            <v>0</v>
          </cell>
          <cell r="FI22">
            <v>0</v>
          </cell>
          <cell r="FJ22">
            <v>0</v>
          </cell>
          <cell r="FK22">
            <v>0</v>
          </cell>
          <cell r="FL22">
            <v>0</v>
          </cell>
          <cell r="FM22">
            <v>0</v>
          </cell>
          <cell r="FN22">
            <v>0</v>
          </cell>
          <cell r="FO22">
            <v>0</v>
          </cell>
          <cell r="FP22">
            <v>0</v>
          </cell>
          <cell r="FQ22">
            <v>0</v>
          </cell>
          <cell r="FR22">
            <v>0</v>
          </cell>
          <cell r="FS22">
            <v>0</v>
          </cell>
          <cell r="FT22">
            <v>0</v>
          </cell>
          <cell r="FU22">
            <v>0</v>
          </cell>
          <cell r="FV22">
            <v>0</v>
          </cell>
          <cell r="FW22">
            <v>0</v>
          </cell>
          <cell r="FX22">
            <v>0</v>
          </cell>
          <cell r="FY22">
            <v>0</v>
          </cell>
          <cell r="FZ22">
            <v>0</v>
          </cell>
          <cell r="GA22">
            <v>0</v>
          </cell>
          <cell r="GB22">
            <v>0</v>
          </cell>
          <cell r="GC22">
            <v>0</v>
          </cell>
          <cell r="GD22">
            <v>0</v>
          </cell>
          <cell r="GE22">
            <v>0</v>
          </cell>
          <cell r="GF22">
            <v>0</v>
          </cell>
          <cell r="GG22">
            <v>0</v>
          </cell>
          <cell r="GH22">
            <v>0</v>
          </cell>
          <cell r="GI22">
            <v>0</v>
          </cell>
          <cell r="GJ22">
            <v>0</v>
          </cell>
          <cell r="GK22">
            <v>0</v>
          </cell>
          <cell r="GL22">
            <v>0</v>
          </cell>
          <cell r="GM22">
            <v>0</v>
          </cell>
          <cell r="GN22">
            <v>0</v>
          </cell>
          <cell r="GO22">
            <v>0</v>
          </cell>
          <cell r="GP22">
            <v>0</v>
          </cell>
          <cell r="GQ22">
            <v>0</v>
          </cell>
          <cell r="GR22">
            <v>0</v>
          </cell>
          <cell r="GS22">
            <v>0</v>
          </cell>
          <cell r="GT22">
            <v>0</v>
          </cell>
          <cell r="GU22">
            <v>0</v>
          </cell>
          <cell r="GV22">
            <v>0</v>
          </cell>
          <cell r="GW22">
            <v>0</v>
          </cell>
          <cell r="GX22">
            <v>0</v>
          </cell>
          <cell r="GY22">
            <v>0</v>
          </cell>
          <cell r="GZ22">
            <v>0</v>
          </cell>
          <cell r="HA22">
            <v>0</v>
          </cell>
          <cell r="HB22">
            <v>0</v>
          </cell>
          <cell r="HC22">
            <v>0</v>
          </cell>
          <cell r="HD22">
            <v>0</v>
          </cell>
          <cell r="HE22">
            <v>0</v>
          </cell>
          <cell r="HF22">
            <v>0</v>
          </cell>
          <cell r="HG22">
            <v>0</v>
          </cell>
          <cell r="HH22">
            <v>0</v>
          </cell>
          <cell r="HI22">
            <v>0</v>
          </cell>
          <cell r="HJ22">
            <v>0</v>
          </cell>
          <cell r="HK22">
            <v>0</v>
          </cell>
          <cell r="HL22">
            <v>0</v>
          </cell>
          <cell r="HM22">
            <v>0</v>
          </cell>
          <cell r="HN22">
            <v>0</v>
          </cell>
          <cell r="HO22">
            <v>0</v>
          </cell>
          <cell r="HP22">
            <v>0</v>
          </cell>
          <cell r="HQ22">
            <v>0</v>
          </cell>
          <cell r="HR22">
            <v>0</v>
          </cell>
          <cell r="HS22">
            <v>0</v>
          </cell>
          <cell r="HT22">
            <v>0</v>
          </cell>
          <cell r="HU22">
            <v>0</v>
          </cell>
          <cell r="HV22">
            <v>0</v>
          </cell>
          <cell r="HW22">
            <v>0</v>
          </cell>
          <cell r="HX22">
            <v>0</v>
          </cell>
          <cell r="HY22">
            <v>0</v>
          </cell>
          <cell r="HZ22">
            <v>0</v>
          </cell>
          <cell r="IA22">
            <v>0</v>
          </cell>
          <cell r="IB22">
            <v>0</v>
          </cell>
          <cell r="IC22">
            <v>0</v>
          </cell>
          <cell r="ID22">
            <v>0</v>
          </cell>
          <cell r="IE22">
            <v>0</v>
          </cell>
          <cell r="IF22">
            <v>0</v>
          </cell>
          <cell r="IG22">
            <v>0</v>
          </cell>
          <cell r="IH22">
            <v>0</v>
          </cell>
          <cell r="II22">
            <v>0</v>
          </cell>
          <cell r="IJ22">
            <v>0</v>
          </cell>
          <cell r="IK22">
            <v>0</v>
          </cell>
          <cell r="IL22">
            <v>0</v>
          </cell>
          <cell r="IM22">
            <v>0</v>
          </cell>
          <cell r="IN22">
            <v>0</v>
          </cell>
          <cell r="IO22">
            <v>0</v>
          </cell>
          <cell r="IP22">
            <v>0</v>
          </cell>
          <cell r="IQ22">
            <v>0</v>
          </cell>
          <cell r="IR22">
            <v>0</v>
          </cell>
          <cell r="IS22">
            <v>0</v>
          </cell>
          <cell r="IT22">
            <v>0</v>
          </cell>
          <cell r="IU22">
            <v>0</v>
          </cell>
          <cell r="IV22">
            <v>0</v>
          </cell>
          <cell r="IW22">
            <v>0</v>
          </cell>
          <cell r="IX22">
            <v>0</v>
          </cell>
          <cell r="IY22">
            <v>0</v>
          </cell>
          <cell r="IZ22">
            <v>0</v>
          </cell>
          <cell r="JA22">
            <v>0</v>
          </cell>
        </row>
        <row r="23">
          <cell r="I23">
            <v>7.0437750000000001</v>
          </cell>
          <cell r="L23">
            <v>0</v>
          </cell>
          <cell r="M23">
            <v>0</v>
          </cell>
          <cell r="N23">
            <v>0</v>
          </cell>
          <cell r="O23">
            <v>7.0437750000000001</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I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I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30">
          <cell r="E30" t="str">
            <v>Expense</v>
          </cell>
          <cell r="F30">
            <v>0</v>
          </cell>
          <cell r="G30">
            <v>0</v>
          </cell>
          <cell r="H30">
            <v>0</v>
          </cell>
          <cell r="I30" t="str">
            <v>na</v>
          </cell>
          <cell r="L30">
            <v>1</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0</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cell r="EQ30">
            <v>0</v>
          </cell>
          <cell r="ER30">
            <v>0</v>
          </cell>
          <cell r="ES30">
            <v>0</v>
          </cell>
          <cell r="ET30">
            <v>0</v>
          </cell>
          <cell r="EU30">
            <v>0</v>
          </cell>
          <cell r="EV30">
            <v>0</v>
          </cell>
          <cell r="EW30">
            <v>0</v>
          </cell>
          <cell r="EX30">
            <v>0</v>
          </cell>
          <cell r="EY30">
            <v>0</v>
          </cell>
          <cell r="EZ30">
            <v>0</v>
          </cell>
          <cell r="FA30">
            <v>0</v>
          </cell>
          <cell r="FB30">
            <v>0</v>
          </cell>
          <cell r="FC30">
            <v>0</v>
          </cell>
          <cell r="FD30">
            <v>0</v>
          </cell>
          <cell r="FE30">
            <v>0</v>
          </cell>
          <cell r="FF30">
            <v>0</v>
          </cell>
          <cell r="FG30">
            <v>0</v>
          </cell>
          <cell r="FH30">
            <v>0</v>
          </cell>
          <cell r="FI30">
            <v>0</v>
          </cell>
          <cell r="FJ30">
            <v>0</v>
          </cell>
          <cell r="FK30">
            <v>0</v>
          </cell>
          <cell r="FL30">
            <v>0</v>
          </cell>
          <cell r="FM30">
            <v>0</v>
          </cell>
          <cell r="FN30">
            <v>0</v>
          </cell>
          <cell r="FO30">
            <v>0</v>
          </cell>
          <cell r="FP30">
            <v>0</v>
          </cell>
          <cell r="FQ30">
            <v>0</v>
          </cell>
          <cell r="FR30">
            <v>0</v>
          </cell>
          <cell r="FS30">
            <v>0</v>
          </cell>
          <cell r="FT30">
            <v>0</v>
          </cell>
          <cell r="FU30">
            <v>0</v>
          </cell>
          <cell r="FV30">
            <v>0</v>
          </cell>
          <cell r="FW30">
            <v>0</v>
          </cell>
          <cell r="FX30">
            <v>0</v>
          </cell>
          <cell r="FY30">
            <v>0</v>
          </cell>
          <cell r="FZ30">
            <v>0</v>
          </cell>
          <cell r="GA30">
            <v>0</v>
          </cell>
          <cell r="GB30">
            <v>0</v>
          </cell>
          <cell r="GC30">
            <v>0</v>
          </cell>
          <cell r="GD30">
            <v>0</v>
          </cell>
          <cell r="GE30">
            <v>0</v>
          </cell>
          <cell r="GF30">
            <v>0</v>
          </cell>
          <cell r="GG30">
            <v>0</v>
          </cell>
          <cell r="GH30">
            <v>0</v>
          </cell>
          <cell r="GI30">
            <v>0</v>
          </cell>
          <cell r="GJ30">
            <v>0</v>
          </cell>
          <cell r="GK30">
            <v>0</v>
          </cell>
          <cell r="GL30">
            <v>0</v>
          </cell>
          <cell r="GM30">
            <v>0</v>
          </cell>
          <cell r="GN30">
            <v>0</v>
          </cell>
          <cell r="GO30">
            <v>0</v>
          </cell>
          <cell r="GP30">
            <v>0</v>
          </cell>
          <cell r="GQ30">
            <v>0</v>
          </cell>
          <cell r="GR30">
            <v>0</v>
          </cell>
          <cell r="GS30">
            <v>0</v>
          </cell>
          <cell r="GT30">
            <v>0</v>
          </cell>
          <cell r="GU30">
            <v>0</v>
          </cell>
          <cell r="GV30">
            <v>0</v>
          </cell>
          <cell r="GW30">
            <v>0</v>
          </cell>
          <cell r="GX30">
            <v>0</v>
          </cell>
          <cell r="GY30">
            <v>0</v>
          </cell>
          <cell r="GZ30">
            <v>0</v>
          </cell>
          <cell r="HA30">
            <v>0</v>
          </cell>
          <cell r="HB30">
            <v>0</v>
          </cell>
          <cell r="HC30">
            <v>0</v>
          </cell>
          <cell r="HD30">
            <v>0</v>
          </cell>
          <cell r="HE30">
            <v>0</v>
          </cell>
          <cell r="HF30">
            <v>0</v>
          </cell>
          <cell r="HG30">
            <v>0</v>
          </cell>
          <cell r="HH30">
            <v>0</v>
          </cell>
          <cell r="HI30">
            <v>0</v>
          </cell>
          <cell r="HJ30">
            <v>0</v>
          </cell>
          <cell r="HK30">
            <v>0</v>
          </cell>
          <cell r="HL30">
            <v>0</v>
          </cell>
          <cell r="HM30">
            <v>0</v>
          </cell>
          <cell r="HN30">
            <v>0</v>
          </cell>
          <cell r="HO30">
            <v>0</v>
          </cell>
          <cell r="HP30">
            <v>0</v>
          </cell>
          <cell r="HQ30">
            <v>0</v>
          </cell>
          <cell r="HR30">
            <v>0</v>
          </cell>
          <cell r="HS30">
            <v>0</v>
          </cell>
          <cell r="HT30">
            <v>0</v>
          </cell>
          <cell r="HU30">
            <v>0</v>
          </cell>
          <cell r="HV30">
            <v>0</v>
          </cell>
          <cell r="HW30">
            <v>0</v>
          </cell>
          <cell r="HX30">
            <v>0</v>
          </cell>
          <cell r="HY30">
            <v>0</v>
          </cell>
          <cell r="HZ30">
            <v>0</v>
          </cell>
          <cell r="IA30">
            <v>0</v>
          </cell>
          <cell r="IB30">
            <v>0</v>
          </cell>
          <cell r="IC30">
            <v>0</v>
          </cell>
          <cell r="ID30">
            <v>0</v>
          </cell>
          <cell r="IE30">
            <v>0</v>
          </cell>
          <cell r="IF30">
            <v>0</v>
          </cell>
          <cell r="IG30">
            <v>0</v>
          </cell>
          <cell r="IH30">
            <v>0</v>
          </cell>
          <cell r="II30">
            <v>0</v>
          </cell>
          <cell r="IJ30">
            <v>0</v>
          </cell>
          <cell r="IK30">
            <v>0</v>
          </cell>
          <cell r="IL30">
            <v>0</v>
          </cell>
          <cell r="IM30">
            <v>0</v>
          </cell>
          <cell r="IN30">
            <v>0</v>
          </cell>
          <cell r="IO30">
            <v>0</v>
          </cell>
          <cell r="IP30">
            <v>0</v>
          </cell>
          <cell r="IQ30">
            <v>0</v>
          </cell>
          <cell r="IR30">
            <v>0</v>
          </cell>
          <cell r="IS30">
            <v>0</v>
          </cell>
          <cell r="IT30">
            <v>0</v>
          </cell>
          <cell r="IU30">
            <v>0</v>
          </cell>
          <cell r="IV30">
            <v>0</v>
          </cell>
          <cell r="IW30">
            <v>0</v>
          </cell>
          <cell r="IX30">
            <v>0</v>
          </cell>
          <cell r="IY30">
            <v>0</v>
          </cell>
          <cell r="IZ30">
            <v>0</v>
          </cell>
          <cell r="JA30">
            <v>0</v>
          </cell>
        </row>
        <row r="31">
          <cell r="E31" t="str">
            <v>Expense</v>
          </cell>
          <cell r="F31">
            <v>0</v>
          </cell>
          <cell r="G31">
            <v>0</v>
          </cell>
          <cell r="H31">
            <v>0</v>
          </cell>
          <cell r="I31" t="str">
            <v>na</v>
          </cell>
          <cell r="L31">
            <v>1</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0</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cell r="EQ31">
            <v>0</v>
          </cell>
          <cell r="ER31">
            <v>0</v>
          </cell>
          <cell r="ES31">
            <v>0</v>
          </cell>
          <cell r="ET31">
            <v>0</v>
          </cell>
          <cell r="EU31">
            <v>0</v>
          </cell>
          <cell r="EV31">
            <v>0</v>
          </cell>
          <cell r="EW31">
            <v>0</v>
          </cell>
          <cell r="EX31">
            <v>0</v>
          </cell>
          <cell r="EY31">
            <v>0</v>
          </cell>
          <cell r="EZ31">
            <v>0</v>
          </cell>
          <cell r="FA31">
            <v>0</v>
          </cell>
          <cell r="FB31">
            <v>0</v>
          </cell>
          <cell r="FC31">
            <v>0</v>
          </cell>
          <cell r="FD31">
            <v>0</v>
          </cell>
          <cell r="FE31">
            <v>0</v>
          </cell>
          <cell r="FF31">
            <v>0</v>
          </cell>
          <cell r="FG31">
            <v>0</v>
          </cell>
          <cell r="FH31">
            <v>0</v>
          </cell>
          <cell r="FI31">
            <v>0</v>
          </cell>
          <cell r="FJ31">
            <v>0</v>
          </cell>
          <cell r="FK31">
            <v>0</v>
          </cell>
          <cell r="FL31">
            <v>0</v>
          </cell>
          <cell r="FM31">
            <v>0</v>
          </cell>
          <cell r="FN31">
            <v>0</v>
          </cell>
          <cell r="FO31">
            <v>0</v>
          </cell>
          <cell r="FP31">
            <v>0</v>
          </cell>
          <cell r="FQ31">
            <v>0</v>
          </cell>
          <cell r="FR31">
            <v>0</v>
          </cell>
          <cell r="FS31">
            <v>0</v>
          </cell>
          <cell r="FT31">
            <v>0</v>
          </cell>
          <cell r="FU31">
            <v>0</v>
          </cell>
          <cell r="FV31">
            <v>0</v>
          </cell>
          <cell r="FW31">
            <v>0</v>
          </cell>
          <cell r="FX31">
            <v>0</v>
          </cell>
          <cell r="FY31">
            <v>0</v>
          </cell>
          <cell r="FZ31">
            <v>0</v>
          </cell>
          <cell r="GA31">
            <v>0</v>
          </cell>
          <cell r="GB31">
            <v>0</v>
          </cell>
          <cell r="GC31">
            <v>0</v>
          </cell>
          <cell r="GD31">
            <v>0</v>
          </cell>
          <cell r="GE31">
            <v>0</v>
          </cell>
          <cell r="GF31">
            <v>0</v>
          </cell>
          <cell r="GG31">
            <v>0</v>
          </cell>
          <cell r="GH31">
            <v>0</v>
          </cell>
          <cell r="GI31">
            <v>0</v>
          </cell>
          <cell r="GJ31">
            <v>0</v>
          </cell>
          <cell r="GK31">
            <v>0</v>
          </cell>
          <cell r="GL31">
            <v>0</v>
          </cell>
          <cell r="GM31">
            <v>0</v>
          </cell>
          <cell r="GN31">
            <v>0</v>
          </cell>
          <cell r="GO31">
            <v>0</v>
          </cell>
          <cell r="GP31">
            <v>0</v>
          </cell>
          <cell r="GQ31">
            <v>0</v>
          </cell>
          <cell r="GR31">
            <v>0</v>
          </cell>
          <cell r="GS31">
            <v>0</v>
          </cell>
          <cell r="GT31">
            <v>0</v>
          </cell>
          <cell r="GU31">
            <v>0</v>
          </cell>
          <cell r="GV31">
            <v>0</v>
          </cell>
          <cell r="GW31">
            <v>0</v>
          </cell>
          <cell r="GX31">
            <v>0</v>
          </cell>
          <cell r="GY31">
            <v>0</v>
          </cell>
          <cell r="GZ31">
            <v>0</v>
          </cell>
          <cell r="HA31">
            <v>0</v>
          </cell>
          <cell r="HB31">
            <v>0</v>
          </cell>
          <cell r="HC31">
            <v>0</v>
          </cell>
          <cell r="HD31">
            <v>0</v>
          </cell>
          <cell r="HE31">
            <v>0</v>
          </cell>
          <cell r="HF31">
            <v>0</v>
          </cell>
          <cell r="HG31">
            <v>0</v>
          </cell>
          <cell r="HH31">
            <v>0</v>
          </cell>
          <cell r="HI31">
            <v>0</v>
          </cell>
          <cell r="HJ31">
            <v>0</v>
          </cell>
          <cell r="HK31">
            <v>0</v>
          </cell>
          <cell r="HL31">
            <v>0</v>
          </cell>
          <cell r="HM31">
            <v>0</v>
          </cell>
          <cell r="HN31">
            <v>0</v>
          </cell>
          <cell r="HO31">
            <v>0</v>
          </cell>
          <cell r="HP31">
            <v>0</v>
          </cell>
          <cell r="HQ31">
            <v>0</v>
          </cell>
          <cell r="HR31">
            <v>0</v>
          </cell>
          <cell r="HS31">
            <v>0</v>
          </cell>
          <cell r="HT31">
            <v>0</v>
          </cell>
          <cell r="HU31">
            <v>0</v>
          </cell>
          <cell r="HV31">
            <v>0</v>
          </cell>
          <cell r="HW31">
            <v>0</v>
          </cell>
          <cell r="HX31">
            <v>0</v>
          </cell>
          <cell r="HY31">
            <v>0</v>
          </cell>
          <cell r="HZ31">
            <v>0</v>
          </cell>
          <cell r="IA31">
            <v>0</v>
          </cell>
          <cell r="IB31">
            <v>0</v>
          </cell>
          <cell r="IC31">
            <v>0</v>
          </cell>
          <cell r="ID31">
            <v>0</v>
          </cell>
          <cell r="IE31">
            <v>0</v>
          </cell>
          <cell r="IF31">
            <v>0</v>
          </cell>
          <cell r="IG31">
            <v>0</v>
          </cell>
          <cell r="IH31">
            <v>0</v>
          </cell>
          <cell r="II31">
            <v>0</v>
          </cell>
          <cell r="IJ31">
            <v>0</v>
          </cell>
          <cell r="IK31">
            <v>0</v>
          </cell>
          <cell r="IL31">
            <v>0</v>
          </cell>
          <cell r="IM31">
            <v>0</v>
          </cell>
          <cell r="IN31">
            <v>0</v>
          </cell>
          <cell r="IO31">
            <v>0</v>
          </cell>
          <cell r="IP31">
            <v>0</v>
          </cell>
          <cell r="IQ31">
            <v>0</v>
          </cell>
          <cell r="IR31">
            <v>0</v>
          </cell>
          <cell r="IS31">
            <v>0</v>
          </cell>
          <cell r="IT31">
            <v>0</v>
          </cell>
          <cell r="IU31">
            <v>0</v>
          </cell>
          <cell r="IV31">
            <v>0</v>
          </cell>
          <cell r="IW31">
            <v>0</v>
          </cell>
          <cell r="IX31">
            <v>0</v>
          </cell>
          <cell r="IY31">
            <v>0</v>
          </cell>
          <cell r="IZ31">
            <v>0</v>
          </cell>
          <cell r="JA31">
            <v>0</v>
          </cell>
        </row>
        <row r="32">
          <cell r="E32" t="str">
            <v>Expense</v>
          </cell>
          <cell r="F32" t="str">
            <v/>
          </cell>
          <cell r="G32" t="str">
            <v/>
          </cell>
          <cell r="H32">
            <v>0</v>
          </cell>
          <cell r="I32" t="str">
            <v>na</v>
          </cell>
          <cell r="L32">
            <v>1</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0</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cell r="EQ32">
            <v>0</v>
          </cell>
          <cell r="ER32">
            <v>0</v>
          </cell>
          <cell r="ES32">
            <v>0</v>
          </cell>
          <cell r="ET32">
            <v>0</v>
          </cell>
          <cell r="EU32">
            <v>0</v>
          </cell>
          <cell r="EV32">
            <v>0</v>
          </cell>
          <cell r="EW32">
            <v>0</v>
          </cell>
          <cell r="EX32">
            <v>0</v>
          </cell>
          <cell r="EY32">
            <v>0</v>
          </cell>
          <cell r="EZ32">
            <v>0</v>
          </cell>
          <cell r="FA32">
            <v>0</v>
          </cell>
          <cell r="FB32">
            <v>0</v>
          </cell>
          <cell r="FC32">
            <v>0</v>
          </cell>
          <cell r="FD32">
            <v>0</v>
          </cell>
          <cell r="FE32">
            <v>0</v>
          </cell>
          <cell r="FF32">
            <v>0</v>
          </cell>
          <cell r="FG32">
            <v>0</v>
          </cell>
          <cell r="FH32">
            <v>0</v>
          </cell>
          <cell r="FI32">
            <v>0</v>
          </cell>
          <cell r="FJ32">
            <v>0</v>
          </cell>
          <cell r="FK32">
            <v>0</v>
          </cell>
          <cell r="FL32">
            <v>0</v>
          </cell>
          <cell r="FM32">
            <v>0</v>
          </cell>
          <cell r="FN32">
            <v>0</v>
          </cell>
          <cell r="FO32">
            <v>0</v>
          </cell>
          <cell r="FP32">
            <v>0</v>
          </cell>
          <cell r="FQ32">
            <v>0</v>
          </cell>
          <cell r="FR32">
            <v>0</v>
          </cell>
          <cell r="FS32">
            <v>0</v>
          </cell>
          <cell r="FT32">
            <v>0</v>
          </cell>
          <cell r="FU32">
            <v>0</v>
          </cell>
          <cell r="FV32">
            <v>0</v>
          </cell>
          <cell r="FW32">
            <v>0</v>
          </cell>
          <cell r="FX32">
            <v>0</v>
          </cell>
          <cell r="FY32">
            <v>0</v>
          </cell>
          <cell r="FZ32">
            <v>0</v>
          </cell>
          <cell r="GA32">
            <v>0</v>
          </cell>
          <cell r="GB32">
            <v>0</v>
          </cell>
          <cell r="GC32">
            <v>0</v>
          </cell>
          <cell r="GD32">
            <v>0</v>
          </cell>
          <cell r="GE32">
            <v>0</v>
          </cell>
          <cell r="GF32">
            <v>0</v>
          </cell>
          <cell r="GG32">
            <v>0</v>
          </cell>
          <cell r="GH32">
            <v>0</v>
          </cell>
          <cell r="GI32">
            <v>0</v>
          </cell>
          <cell r="GJ32">
            <v>0</v>
          </cell>
          <cell r="GK32">
            <v>0</v>
          </cell>
          <cell r="GL32">
            <v>0</v>
          </cell>
          <cell r="GM32">
            <v>0</v>
          </cell>
          <cell r="GN32">
            <v>0</v>
          </cell>
          <cell r="GO32">
            <v>0</v>
          </cell>
          <cell r="GP32">
            <v>0</v>
          </cell>
          <cell r="GQ32">
            <v>0</v>
          </cell>
          <cell r="GR32">
            <v>0</v>
          </cell>
          <cell r="GS32">
            <v>0</v>
          </cell>
          <cell r="GT32">
            <v>0</v>
          </cell>
          <cell r="GU32">
            <v>0</v>
          </cell>
          <cell r="GV32">
            <v>0</v>
          </cell>
          <cell r="GW32">
            <v>0</v>
          </cell>
          <cell r="GX32">
            <v>0</v>
          </cell>
          <cell r="GY32">
            <v>0</v>
          </cell>
          <cell r="GZ32">
            <v>0</v>
          </cell>
          <cell r="HA32">
            <v>0</v>
          </cell>
          <cell r="HB32">
            <v>0</v>
          </cell>
          <cell r="HC32">
            <v>0</v>
          </cell>
          <cell r="HD32">
            <v>0</v>
          </cell>
          <cell r="HE32">
            <v>0</v>
          </cell>
          <cell r="HF32">
            <v>0</v>
          </cell>
          <cell r="HG32">
            <v>0</v>
          </cell>
          <cell r="HH32">
            <v>0</v>
          </cell>
          <cell r="HI32">
            <v>0</v>
          </cell>
          <cell r="HJ32">
            <v>0</v>
          </cell>
          <cell r="HK32">
            <v>0</v>
          </cell>
          <cell r="HL32">
            <v>0</v>
          </cell>
          <cell r="HM32">
            <v>0</v>
          </cell>
          <cell r="HN32">
            <v>0</v>
          </cell>
          <cell r="HO32">
            <v>0</v>
          </cell>
          <cell r="HP32">
            <v>0</v>
          </cell>
          <cell r="HQ32">
            <v>0</v>
          </cell>
          <cell r="HR32">
            <v>0</v>
          </cell>
          <cell r="HS32">
            <v>0</v>
          </cell>
          <cell r="HT32">
            <v>0</v>
          </cell>
          <cell r="HU32">
            <v>0</v>
          </cell>
          <cell r="HV32">
            <v>0</v>
          </cell>
          <cell r="HW32">
            <v>0</v>
          </cell>
          <cell r="HX32">
            <v>0</v>
          </cell>
          <cell r="HY32">
            <v>0</v>
          </cell>
          <cell r="HZ32">
            <v>0</v>
          </cell>
          <cell r="IA32">
            <v>0</v>
          </cell>
          <cell r="IB32">
            <v>0</v>
          </cell>
          <cell r="IC32">
            <v>0</v>
          </cell>
          <cell r="ID32">
            <v>0</v>
          </cell>
          <cell r="IE32">
            <v>0</v>
          </cell>
          <cell r="IF32">
            <v>0</v>
          </cell>
          <cell r="IG32">
            <v>0</v>
          </cell>
          <cell r="IH32">
            <v>0</v>
          </cell>
          <cell r="II32">
            <v>0</v>
          </cell>
          <cell r="IJ32">
            <v>0</v>
          </cell>
          <cell r="IK32">
            <v>0</v>
          </cell>
          <cell r="IL32">
            <v>0</v>
          </cell>
          <cell r="IM32">
            <v>0</v>
          </cell>
          <cell r="IN32">
            <v>0</v>
          </cell>
          <cell r="IO32">
            <v>0</v>
          </cell>
          <cell r="IP32">
            <v>0</v>
          </cell>
          <cell r="IQ32">
            <v>0</v>
          </cell>
          <cell r="IR32">
            <v>0</v>
          </cell>
          <cell r="IS32">
            <v>0</v>
          </cell>
          <cell r="IT32">
            <v>0</v>
          </cell>
          <cell r="IU32">
            <v>0</v>
          </cell>
          <cell r="IV32">
            <v>0</v>
          </cell>
          <cell r="IW32">
            <v>0</v>
          </cell>
          <cell r="IX32">
            <v>0</v>
          </cell>
          <cell r="IY32">
            <v>0</v>
          </cell>
          <cell r="IZ32">
            <v>0</v>
          </cell>
          <cell r="JA32">
            <v>0</v>
          </cell>
        </row>
        <row r="33">
          <cell r="E33" t="str">
            <v>Expense</v>
          </cell>
          <cell r="F33" t="str">
            <v/>
          </cell>
          <cell r="G33" t="str">
            <v/>
          </cell>
          <cell r="H33">
            <v>0</v>
          </cell>
          <cell r="I33" t="str">
            <v>na</v>
          </cell>
          <cell r="L33">
            <v>1</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cell r="EQ33">
            <v>0</v>
          </cell>
          <cell r="ER33">
            <v>0</v>
          </cell>
          <cell r="ES33">
            <v>0</v>
          </cell>
          <cell r="ET33">
            <v>0</v>
          </cell>
          <cell r="EU33">
            <v>0</v>
          </cell>
          <cell r="EV33">
            <v>0</v>
          </cell>
          <cell r="EW33">
            <v>0</v>
          </cell>
          <cell r="EX33">
            <v>0</v>
          </cell>
          <cell r="EY33">
            <v>0</v>
          </cell>
          <cell r="EZ33">
            <v>0</v>
          </cell>
          <cell r="FA33">
            <v>0</v>
          </cell>
          <cell r="FB33">
            <v>0</v>
          </cell>
          <cell r="FC33">
            <v>0</v>
          </cell>
          <cell r="FD33">
            <v>0</v>
          </cell>
          <cell r="FE33">
            <v>0</v>
          </cell>
          <cell r="FF33">
            <v>0</v>
          </cell>
          <cell r="FG33">
            <v>0</v>
          </cell>
          <cell r="FH33">
            <v>0</v>
          </cell>
          <cell r="FI33">
            <v>0</v>
          </cell>
          <cell r="FJ33">
            <v>0</v>
          </cell>
          <cell r="FK33">
            <v>0</v>
          </cell>
          <cell r="FL33">
            <v>0</v>
          </cell>
          <cell r="FM33">
            <v>0</v>
          </cell>
          <cell r="FN33">
            <v>0</v>
          </cell>
          <cell r="FO33">
            <v>0</v>
          </cell>
          <cell r="FP33">
            <v>0</v>
          </cell>
          <cell r="FQ33">
            <v>0</v>
          </cell>
          <cell r="FR33">
            <v>0</v>
          </cell>
          <cell r="FS33">
            <v>0</v>
          </cell>
          <cell r="FT33">
            <v>0</v>
          </cell>
          <cell r="FU33">
            <v>0</v>
          </cell>
          <cell r="FV33">
            <v>0</v>
          </cell>
          <cell r="FW33">
            <v>0</v>
          </cell>
          <cell r="FX33">
            <v>0</v>
          </cell>
          <cell r="FY33">
            <v>0</v>
          </cell>
          <cell r="FZ33">
            <v>0</v>
          </cell>
          <cell r="GA33">
            <v>0</v>
          </cell>
          <cell r="GB33">
            <v>0</v>
          </cell>
          <cell r="GC33">
            <v>0</v>
          </cell>
          <cell r="GD33">
            <v>0</v>
          </cell>
          <cell r="GE33">
            <v>0</v>
          </cell>
          <cell r="GF33">
            <v>0</v>
          </cell>
          <cell r="GG33">
            <v>0</v>
          </cell>
          <cell r="GH33">
            <v>0</v>
          </cell>
          <cell r="GI33">
            <v>0</v>
          </cell>
          <cell r="GJ33">
            <v>0</v>
          </cell>
          <cell r="GK33">
            <v>0</v>
          </cell>
          <cell r="GL33">
            <v>0</v>
          </cell>
          <cell r="GM33">
            <v>0</v>
          </cell>
          <cell r="GN33">
            <v>0</v>
          </cell>
          <cell r="GO33">
            <v>0</v>
          </cell>
          <cell r="GP33">
            <v>0</v>
          </cell>
          <cell r="GQ33">
            <v>0</v>
          </cell>
          <cell r="GR33">
            <v>0</v>
          </cell>
          <cell r="GS33">
            <v>0</v>
          </cell>
          <cell r="GT33">
            <v>0</v>
          </cell>
          <cell r="GU33">
            <v>0</v>
          </cell>
          <cell r="GV33">
            <v>0</v>
          </cell>
          <cell r="GW33">
            <v>0</v>
          </cell>
          <cell r="GX33">
            <v>0</v>
          </cell>
          <cell r="GY33">
            <v>0</v>
          </cell>
          <cell r="GZ33">
            <v>0</v>
          </cell>
          <cell r="HA33">
            <v>0</v>
          </cell>
          <cell r="HB33">
            <v>0</v>
          </cell>
          <cell r="HC33">
            <v>0</v>
          </cell>
          <cell r="HD33">
            <v>0</v>
          </cell>
          <cell r="HE33">
            <v>0</v>
          </cell>
          <cell r="HF33">
            <v>0</v>
          </cell>
          <cell r="HG33">
            <v>0</v>
          </cell>
          <cell r="HH33">
            <v>0</v>
          </cell>
          <cell r="HI33">
            <v>0</v>
          </cell>
          <cell r="HJ33">
            <v>0</v>
          </cell>
          <cell r="HK33">
            <v>0</v>
          </cell>
          <cell r="HL33">
            <v>0</v>
          </cell>
          <cell r="HM33">
            <v>0</v>
          </cell>
          <cell r="HN33">
            <v>0</v>
          </cell>
          <cell r="HO33">
            <v>0</v>
          </cell>
          <cell r="HP33">
            <v>0</v>
          </cell>
          <cell r="HQ33">
            <v>0</v>
          </cell>
          <cell r="HR33">
            <v>0</v>
          </cell>
          <cell r="HS33">
            <v>0</v>
          </cell>
          <cell r="HT33">
            <v>0</v>
          </cell>
          <cell r="HU33">
            <v>0</v>
          </cell>
          <cell r="HV33">
            <v>0</v>
          </cell>
          <cell r="HW33">
            <v>0</v>
          </cell>
          <cell r="HX33">
            <v>0</v>
          </cell>
          <cell r="HY33">
            <v>0</v>
          </cell>
          <cell r="HZ33">
            <v>0</v>
          </cell>
          <cell r="IA33">
            <v>0</v>
          </cell>
          <cell r="IB33">
            <v>0</v>
          </cell>
          <cell r="IC33">
            <v>0</v>
          </cell>
          <cell r="ID33">
            <v>0</v>
          </cell>
          <cell r="IE33">
            <v>0</v>
          </cell>
          <cell r="IF33">
            <v>0</v>
          </cell>
          <cell r="IG33">
            <v>0</v>
          </cell>
          <cell r="IH33">
            <v>0</v>
          </cell>
          <cell r="II33">
            <v>0</v>
          </cell>
          <cell r="IJ33">
            <v>0</v>
          </cell>
          <cell r="IK33">
            <v>0</v>
          </cell>
          <cell r="IL33">
            <v>0</v>
          </cell>
          <cell r="IM33">
            <v>0</v>
          </cell>
          <cell r="IN33">
            <v>0</v>
          </cell>
          <cell r="IO33">
            <v>0</v>
          </cell>
          <cell r="IP33">
            <v>0</v>
          </cell>
          <cell r="IQ33">
            <v>0</v>
          </cell>
          <cell r="IR33">
            <v>0</v>
          </cell>
          <cell r="IS33">
            <v>0</v>
          </cell>
          <cell r="IT33">
            <v>0</v>
          </cell>
          <cell r="IU33">
            <v>0</v>
          </cell>
          <cell r="IV33">
            <v>0</v>
          </cell>
          <cell r="IW33">
            <v>0</v>
          </cell>
          <cell r="IX33">
            <v>0</v>
          </cell>
          <cell r="IY33">
            <v>0</v>
          </cell>
          <cell r="IZ33">
            <v>0</v>
          </cell>
          <cell r="JA33">
            <v>0</v>
          </cell>
        </row>
        <row r="34">
          <cell r="E34" t="str">
            <v>DB</v>
          </cell>
          <cell r="F34">
            <v>5</v>
          </cell>
          <cell r="G34">
            <v>1.25</v>
          </cell>
          <cell r="H34">
            <v>0</v>
          </cell>
          <cell r="I34" t="b">
            <v>1</v>
          </cell>
          <cell r="L34">
            <v>0.125</v>
          </cell>
          <cell r="M34">
            <v>0.21875</v>
          </cell>
          <cell r="N34">
            <v>0.1640625</v>
          </cell>
          <cell r="O34">
            <v>0.123046875</v>
          </cell>
          <cell r="P34">
            <v>9.228515625E-2</v>
          </cell>
          <cell r="Q34">
            <v>0.27685546875</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cell r="EQ34">
            <v>0</v>
          </cell>
          <cell r="ER34">
            <v>0</v>
          </cell>
          <cell r="ES34">
            <v>0</v>
          </cell>
          <cell r="ET34">
            <v>0</v>
          </cell>
          <cell r="EU34">
            <v>0</v>
          </cell>
          <cell r="EV34">
            <v>0</v>
          </cell>
          <cell r="EW34">
            <v>0</v>
          </cell>
          <cell r="EX34">
            <v>0</v>
          </cell>
          <cell r="EY34">
            <v>0</v>
          </cell>
          <cell r="EZ34">
            <v>0</v>
          </cell>
          <cell r="FA34">
            <v>0</v>
          </cell>
          <cell r="FB34">
            <v>0</v>
          </cell>
          <cell r="FC34">
            <v>0</v>
          </cell>
          <cell r="FD34">
            <v>0</v>
          </cell>
          <cell r="FE34">
            <v>0</v>
          </cell>
          <cell r="FF34">
            <v>0</v>
          </cell>
          <cell r="FG34">
            <v>0</v>
          </cell>
          <cell r="FH34">
            <v>0</v>
          </cell>
          <cell r="FI34">
            <v>0</v>
          </cell>
          <cell r="FJ34">
            <v>0</v>
          </cell>
          <cell r="FK34">
            <v>0</v>
          </cell>
          <cell r="FL34">
            <v>0</v>
          </cell>
          <cell r="FM34">
            <v>0</v>
          </cell>
          <cell r="FN34">
            <v>0</v>
          </cell>
          <cell r="FO34">
            <v>0</v>
          </cell>
          <cell r="FP34">
            <v>0</v>
          </cell>
          <cell r="FQ34">
            <v>0</v>
          </cell>
          <cell r="FR34">
            <v>0</v>
          </cell>
          <cell r="FS34">
            <v>0</v>
          </cell>
          <cell r="FT34">
            <v>0</v>
          </cell>
          <cell r="FU34">
            <v>0</v>
          </cell>
          <cell r="FV34">
            <v>0</v>
          </cell>
          <cell r="FW34">
            <v>0</v>
          </cell>
          <cell r="FX34">
            <v>0</v>
          </cell>
          <cell r="FY34">
            <v>0</v>
          </cell>
          <cell r="FZ34">
            <v>0</v>
          </cell>
          <cell r="GA34">
            <v>0</v>
          </cell>
          <cell r="GB34">
            <v>0</v>
          </cell>
          <cell r="GC34">
            <v>0</v>
          </cell>
          <cell r="GD34">
            <v>0</v>
          </cell>
          <cell r="GE34">
            <v>0</v>
          </cell>
          <cell r="GF34">
            <v>0</v>
          </cell>
          <cell r="GG34">
            <v>0</v>
          </cell>
          <cell r="GH34">
            <v>0</v>
          </cell>
          <cell r="GI34">
            <v>0</v>
          </cell>
          <cell r="GJ34">
            <v>0</v>
          </cell>
          <cell r="GK34">
            <v>0</v>
          </cell>
          <cell r="GL34">
            <v>0</v>
          </cell>
          <cell r="GM34">
            <v>0</v>
          </cell>
          <cell r="GN34">
            <v>0</v>
          </cell>
          <cell r="GO34">
            <v>0</v>
          </cell>
          <cell r="GP34">
            <v>0</v>
          </cell>
          <cell r="GQ34">
            <v>0</v>
          </cell>
          <cell r="GR34">
            <v>0</v>
          </cell>
          <cell r="GS34">
            <v>0</v>
          </cell>
          <cell r="GT34">
            <v>0</v>
          </cell>
          <cell r="GU34">
            <v>0</v>
          </cell>
          <cell r="GV34">
            <v>0</v>
          </cell>
          <cell r="GW34">
            <v>0</v>
          </cell>
          <cell r="GX34">
            <v>0</v>
          </cell>
          <cell r="GY34">
            <v>0</v>
          </cell>
          <cell r="GZ34">
            <v>0</v>
          </cell>
          <cell r="HA34">
            <v>0</v>
          </cell>
          <cell r="HB34">
            <v>0</v>
          </cell>
          <cell r="HC34">
            <v>0</v>
          </cell>
          <cell r="HD34">
            <v>0</v>
          </cell>
          <cell r="HE34">
            <v>0</v>
          </cell>
          <cell r="HF34">
            <v>0</v>
          </cell>
          <cell r="HG34">
            <v>0</v>
          </cell>
          <cell r="HH34">
            <v>0</v>
          </cell>
          <cell r="HI34">
            <v>0</v>
          </cell>
          <cell r="HJ34">
            <v>0</v>
          </cell>
          <cell r="HK34">
            <v>0</v>
          </cell>
          <cell r="HL34">
            <v>0</v>
          </cell>
          <cell r="HM34">
            <v>0</v>
          </cell>
          <cell r="HN34">
            <v>0</v>
          </cell>
          <cell r="HO34">
            <v>0</v>
          </cell>
          <cell r="HP34">
            <v>0</v>
          </cell>
          <cell r="HQ34">
            <v>0</v>
          </cell>
          <cell r="HR34">
            <v>0</v>
          </cell>
          <cell r="HS34">
            <v>0</v>
          </cell>
          <cell r="HT34">
            <v>0</v>
          </cell>
          <cell r="HU34">
            <v>0</v>
          </cell>
          <cell r="HV34">
            <v>0</v>
          </cell>
          <cell r="HW34">
            <v>0</v>
          </cell>
          <cell r="HX34">
            <v>0</v>
          </cell>
          <cell r="HY34">
            <v>0</v>
          </cell>
          <cell r="HZ34">
            <v>0</v>
          </cell>
          <cell r="IA34">
            <v>0</v>
          </cell>
          <cell r="IB34">
            <v>0</v>
          </cell>
          <cell r="IC34">
            <v>0</v>
          </cell>
          <cell r="ID34">
            <v>0</v>
          </cell>
          <cell r="IE34">
            <v>0</v>
          </cell>
          <cell r="IF34">
            <v>0</v>
          </cell>
          <cell r="IG34">
            <v>0</v>
          </cell>
          <cell r="IH34">
            <v>0</v>
          </cell>
          <cell r="II34">
            <v>0</v>
          </cell>
          <cell r="IJ34">
            <v>0</v>
          </cell>
          <cell r="IK34">
            <v>0</v>
          </cell>
          <cell r="IL34">
            <v>0</v>
          </cell>
          <cell r="IM34">
            <v>0</v>
          </cell>
          <cell r="IN34">
            <v>0</v>
          </cell>
          <cell r="IO34">
            <v>0</v>
          </cell>
          <cell r="IP34">
            <v>0</v>
          </cell>
          <cell r="IQ34">
            <v>0</v>
          </cell>
          <cell r="IR34">
            <v>0</v>
          </cell>
          <cell r="IS34">
            <v>0</v>
          </cell>
          <cell r="IT34">
            <v>0</v>
          </cell>
          <cell r="IU34">
            <v>0</v>
          </cell>
          <cell r="IV34">
            <v>0</v>
          </cell>
          <cell r="IW34">
            <v>0</v>
          </cell>
          <cell r="IX34">
            <v>0</v>
          </cell>
          <cell r="IY34">
            <v>0</v>
          </cell>
          <cell r="IZ34">
            <v>0</v>
          </cell>
          <cell r="JA34">
            <v>0</v>
          </cell>
        </row>
        <row r="35">
          <cell r="E35" t="str">
            <v>DB</v>
          </cell>
          <cell r="F35">
            <v>5</v>
          </cell>
          <cell r="G35">
            <v>1.25</v>
          </cell>
          <cell r="H35">
            <v>0</v>
          </cell>
          <cell r="I35" t="b">
            <v>1</v>
          </cell>
          <cell r="L35">
            <v>0.125</v>
          </cell>
          <cell r="M35">
            <v>0.21875</v>
          </cell>
          <cell r="N35">
            <v>0.1640625</v>
          </cell>
          <cell r="O35">
            <v>0.123046875</v>
          </cell>
          <cell r="P35">
            <v>9.228515625E-2</v>
          </cell>
          <cell r="Q35">
            <v>0.27685546875</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0</v>
          </cell>
          <cell r="CM35">
            <v>0</v>
          </cell>
          <cell r="CN35">
            <v>0</v>
          </cell>
          <cell r="CO35">
            <v>0</v>
          </cell>
          <cell r="CP35">
            <v>0</v>
          </cell>
          <cell r="CQ35">
            <v>0</v>
          </cell>
          <cell r="CR35">
            <v>0</v>
          </cell>
          <cell r="CS35">
            <v>0</v>
          </cell>
          <cell r="CT35">
            <v>0</v>
          </cell>
          <cell r="CU35">
            <v>0</v>
          </cell>
          <cell r="CV35">
            <v>0</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N35">
            <v>0</v>
          </cell>
          <cell r="DO35">
            <v>0</v>
          </cell>
          <cell r="DP35">
            <v>0</v>
          </cell>
          <cell r="DQ35">
            <v>0</v>
          </cell>
          <cell r="DR35">
            <v>0</v>
          </cell>
          <cell r="DS35">
            <v>0</v>
          </cell>
          <cell r="DT35">
            <v>0</v>
          </cell>
          <cell r="DU35">
            <v>0</v>
          </cell>
          <cell r="DV35">
            <v>0</v>
          </cell>
          <cell r="DW35">
            <v>0</v>
          </cell>
          <cell r="DX35">
            <v>0</v>
          </cell>
          <cell r="DY35">
            <v>0</v>
          </cell>
          <cell r="DZ35">
            <v>0</v>
          </cell>
          <cell r="EA35">
            <v>0</v>
          </cell>
          <cell r="EB35">
            <v>0</v>
          </cell>
          <cell r="EC35">
            <v>0</v>
          </cell>
          <cell r="ED35">
            <v>0</v>
          </cell>
          <cell r="EE35">
            <v>0</v>
          </cell>
          <cell r="EF35">
            <v>0</v>
          </cell>
          <cell r="EG35">
            <v>0</v>
          </cell>
          <cell r="EH35">
            <v>0</v>
          </cell>
          <cell r="EI35">
            <v>0</v>
          </cell>
          <cell r="EJ35">
            <v>0</v>
          </cell>
          <cell r="EK35">
            <v>0</v>
          </cell>
          <cell r="EL35">
            <v>0</v>
          </cell>
          <cell r="EM35">
            <v>0</v>
          </cell>
          <cell r="EN35">
            <v>0</v>
          </cell>
          <cell r="EO35">
            <v>0</v>
          </cell>
          <cell r="EP35">
            <v>0</v>
          </cell>
          <cell r="EQ35">
            <v>0</v>
          </cell>
          <cell r="ER35">
            <v>0</v>
          </cell>
          <cell r="ES35">
            <v>0</v>
          </cell>
          <cell r="ET35">
            <v>0</v>
          </cell>
          <cell r="EU35">
            <v>0</v>
          </cell>
          <cell r="EV35">
            <v>0</v>
          </cell>
          <cell r="EW35">
            <v>0</v>
          </cell>
          <cell r="EX35">
            <v>0</v>
          </cell>
          <cell r="EY35">
            <v>0</v>
          </cell>
          <cell r="EZ35">
            <v>0</v>
          </cell>
          <cell r="FA35">
            <v>0</v>
          </cell>
          <cell r="FB35">
            <v>0</v>
          </cell>
          <cell r="FC35">
            <v>0</v>
          </cell>
          <cell r="FD35">
            <v>0</v>
          </cell>
          <cell r="FE35">
            <v>0</v>
          </cell>
          <cell r="FF35">
            <v>0</v>
          </cell>
          <cell r="FG35">
            <v>0</v>
          </cell>
          <cell r="FH35">
            <v>0</v>
          </cell>
          <cell r="FI35">
            <v>0</v>
          </cell>
          <cell r="FJ35">
            <v>0</v>
          </cell>
          <cell r="FK35">
            <v>0</v>
          </cell>
          <cell r="FL35">
            <v>0</v>
          </cell>
          <cell r="FM35">
            <v>0</v>
          </cell>
          <cell r="FN35">
            <v>0</v>
          </cell>
          <cell r="FO35">
            <v>0</v>
          </cell>
          <cell r="FP35">
            <v>0</v>
          </cell>
          <cell r="FQ35">
            <v>0</v>
          </cell>
          <cell r="FR35">
            <v>0</v>
          </cell>
          <cell r="FS35">
            <v>0</v>
          </cell>
          <cell r="FT35">
            <v>0</v>
          </cell>
          <cell r="FU35">
            <v>0</v>
          </cell>
          <cell r="FV35">
            <v>0</v>
          </cell>
          <cell r="FW35">
            <v>0</v>
          </cell>
          <cell r="FX35">
            <v>0</v>
          </cell>
          <cell r="FY35">
            <v>0</v>
          </cell>
          <cell r="FZ35">
            <v>0</v>
          </cell>
          <cell r="GA35">
            <v>0</v>
          </cell>
          <cell r="GB35">
            <v>0</v>
          </cell>
          <cell r="GC35">
            <v>0</v>
          </cell>
          <cell r="GD35">
            <v>0</v>
          </cell>
          <cell r="GE35">
            <v>0</v>
          </cell>
          <cell r="GF35">
            <v>0</v>
          </cell>
          <cell r="GG35">
            <v>0</v>
          </cell>
          <cell r="GH35">
            <v>0</v>
          </cell>
          <cell r="GI35">
            <v>0</v>
          </cell>
          <cell r="GJ35">
            <v>0</v>
          </cell>
          <cell r="GK35">
            <v>0</v>
          </cell>
          <cell r="GL35">
            <v>0</v>
          </cell>
          <cell r="GM35">
            <v>0</v>
          </cell>
          <cell r="GN35">
            <v>0</v>
          </cell>
          <cell r="GO35">
            <v>0</v>
          </cell>
          <cell r="GP35">
            <v>0</v>
          </cell>
          <cell r="GQ35">
            <v>0</v>
          </cell>
          <cell r="GR35">
            <v>0</v>
          </cell>
          <cell r="GS35">
            <v>0</v>
          </cell>
          <cell r="GT35">
            <v>0</v>
          </cell>
          <cell r="GU35">
            <v>0</v>
          </cell>
          <cell r="GV35">
            <v>0</v>
          </cell>
          <cell r="GW35">
            <v>0</v>
          </cell>
          <cell r="GX35">
            <v>0</v>
          </cell>
          <cell r="GY35">
            <v>0</v>
          </cell>
          <cell r="GZ35">
            <v>0</v>
          </cell>
          <cell r="HA35">
            <v>0</v>
          </cell>
          <cell r="HB35">
            <v>0</v>
          </cell>
          <cell r="HC35">
            <v>0</v>
          </cell>
          <cell r="HD35">
            <v>0</v>
          </cell>
          <cell r="HE35">
            <v>0</v>
          </cell>
          <cell r="HF35">
            <v>0</v>
          </cell>
          <cell r="HG35">
            <v>0</v>
          </cell>
          <cell r="HH35">
            <v>0</v>
          </cell>
          <cell r="HI35">
            <v>0</v>
          </cell>
          <cell r="HJ35">
            <v>0</v>
          </cell>
          <cell r="HK35">
            <v>0</v>
          </cell>
          <cell r="HL35">
            <v>0</v>
          </cell>
          <cell r="HM35">
            <v>0</v>
          </cell>
          <cell r="HN35">
            <v>0</v>
          </cell>
          <cell r="HO35">
            <v>0</v>
          </cell>
          <cell r="HP35">
            <v>0</v>
          </cell>
          <cell r="HQ35">
            <v>0</v>
          </cell>
          <cell r="HR35">
            <v>0</v>
          </cell>
          <cell r="HS35">
            <v>0</v>
          </cell>
          <cell r="HT35">
            <v>0</v>
          </cell>
          <cell r="HU35">
            <v>0</v>
          </cell>
          <cell r="HV35">
            <v>0</v>
          </cell>
          <cell r="HW35">
            <v>0</v>
          </cell>
          <cell r="HX35">
            <v>0</v>
          </cell>
          <cell r="HY35">
            <v>0</v>
          </cell>
          <cell r="HZ35">
            <v>0</v>
          </cell>
          <cell r="IA35">
            <v>0</v>
          </cell>
          <cell r="IB35">
            <v>0</v>
          </cell>
          <cell r="IC35">
            <v>0</v>
          </cell>
          <cell r="ID35">
            <v>0</v>
          </cell>
          <cell r="IE35">
            <v>0</v>
          </cell>
          <cell r="IF35">
            <v>0</v>
          </cell>
          <cell r="IG35">
            <v>0</v>
          </cell>
          <cell r="IH35">
            <v>0</v>
          </cell>
          <cell r="II35">
            <v>0</v>
          </cell>
          <cell r="IJ35">
            <v>0</v>
          </cell>
          <cell r="IK35">
            <v>0</v>
          </cell>
          <cell r="IL35">
            <v>0</v>
          </cell>
          <cell r="IM35">
            <v>0</v>
          </cell>
          <cell r="IN35">
            <v>0</v>
          </cell>
          <cell r="IO35">
            <v>0</v>
          </cell>
          <cell r="IP35">
            <v>0</v>
          </cell>
          <cell r="IQ35">
            <v>0</v>
          </cell>
          <cell r="IR35">
            <v>0</v>
          </cell>
          <cell r="IS35">
            <v>0</v>
          </cell>
          <cell r="IT35">
            <v>0</v>
          </cell>
          <cell r="IU35">
            <v>0</v>
          </cell>
          <cell r="IV35">
            <v>0</v>
          </cell>
          <cell r="IW35">
            <v>0</v>
          </cell>
          <cell r="IX35">
            <v>0</v>
          </cell>
          <cell r="IY35">
            <v>0</v>
          </cell>
          <cell r="IZ35">
            <v>0</v>
          </cell>
          <cell r="JA35">
            <v>0</v>
          </cell>
        </row>
        <row r="36">
          <cell r="E36" t="str">
            <v>DB</v>
          </cell>
          <cell r="F36">
            <v>5</v>
          </cell>
          <cell r="G36">
            <v>1.25</v>
          </cell>
          <cell r="H36">
            <v>0</v>
          </cell>
          <cell r="I36" t="b">
            <v>1</v>
          </cell>
          <cell r="L36">
            <v>0.125</v>
          </cell>
          <cell r="M36">
            <v>0.21875</v>
          </cell>
          <cell r="N36">
            <v>0.1640625</v>
          </cell>
          <cell r="O36">
            <v>0.123046875</v>
          </cell>
          <cell r="P36">
            <v>9.228515625E-2</v>
          </cell>
          <cell r="Q36">
            <v>0.27685546875</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N36">
            <v>0</v>
          </cell>
          <cell r="DO36">
            <v>0</v>
          </cell>
          <cell r="DP36">
            <v>0</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cell r="EQ36">
            <v>0</v>
          </cell>
          <cell r="ER36">
            <v>0</v>
          </cell>
          <cell r="ES36">
            <v>0</v>
          </cell>
          <cell r="ET36">
            <v>0</v>
          </cell>
          <cell r="EU36">
            <v>0</v>
          </cell>
          <cell r="EV36">
            <v>0</v>
          </cell>
          <cell r="EW36">
            <v>0</v>
          </cell>
          <cell r="EX36">
            <v>0</v>
          </cell>
          <cell r="EY36">
            <v>0</v>
          </cell>
          <cell r="EZ36">
            <v>0</v>
          </cell>
          <cell r="FA36">
            <v>0</v>
          </cell>
          <cell r="FB36">
            <v>0</v>
          </cell>
          <cell r="FC36">
            <v>0</v>
          </cell>
          <cell r="FD36">
            <v>0</v>
          </cell>
          <cell r="FE36">
            <v>0</v>
          </cell>
          <cell r="FF36">
            <v>0</v>
          </cell>
          <cell r="FG36">
            <v>0</v>
          </cell>
          <cell r="FH36">
            <v>0</v>
          </cell>
          <cell r="FI36">
            <v>0</v>
          </cell>
          <cell r="FJ36">
            <v>0</v>
          </cell>
          <cell r="FK36">
            <v>0</v>
          </cell>
          <cell r="FL36">
            <v>0</v>
          </cell>
          <cell r="FM36">
            <v>0</v>
          </cell>
          <cell r="FN36">
            <v>0</v>
          </cell>
          <cell r="FO36">
            <v>0</v>
          </cell>
          <cell r="FP36">
            <v>0</v>
          </cell>
          <cell r="FQ36">
            <v>0</v>
          </cell>
          <cell r="FR36">
            <v>0</v>
          </cell>
          <cell r="FS36">
            <v>0</v>
          </cell>
          <cell r="FT36">
            <v>0</v>
          </cell>
          <cell r="FU36">
            <v>0</v>
          </cell>
          <cell r="FV36">
            <v>0</v>
          </cell>
          <cell r="FW36">
            <v>0</v>
          </cell>
          <cell r="FX36">
            <v>0</v>
          </cell>
          <cell r="FY36">
            <v>0</v>
          </cell>
          <cell r="FZ36">
            <v>0</v>
          </cell>
          <cell r="GA36">
            <v>0</v>
          </cell>
          <cell r="GB36">
            <v>0</v>
          </cell>
          <cell r="GC36">
            <v>0</v>
          </cell>
          <cell r="GD36">
            <v>0</v>
          </cell>
          <cell r="GE36">
            <v>0</v>
          </cell>
          <cell r="GF36">
            <v>0</v>
          </cell>
          <cell r="GG36">
            <v>0</v>
          </cell>
          <cell r="GH36">
            <v>0</v>
          </cell>
          <cell r="GI36">
            <v>0</v>
          </cell>
          <cell r="GJ36">
            <v>0</v>
          </cell>
          <cell r="GK36">
            <v>0</v>
          </cell>
          <cell r="GL36">
            <v>0</v>
          </cell>
          <cell r="GM36">
            <v>0</v>
          </cell>
          <cell r="GN36">
            <v>0</v>
          </cell>
          <cell r="GO36">
            <v>0</v>
          </cell>
          <cell r="GP36">
            <v>0</v>
          </cell>
          <cell r="GQ36">
            <v>0</v>
          </cell>
          <cell r="GR36">
            <v>0</v>
          </cell>
          <cell r="GS36">
            <v>0</v>
          </cell>
          <cell r="GT36">
            <v>0</v>
          </cell>
          <cell r="GU36">
            <v>0</v>
          </cell>
          <cell r="GV36">
            <v>0</v>
          </cell>
          <cell r="GW36">
            <v>0</v>
          </cell>
          <cell r="GX36">
            <v>0</v>
          </cell>
          <cell r="GY36">
            <v>0</v>
          </cell>
          <cell r="GZ36">
            <v>0</v>
          </cell>
          <cell r="HA36">
            <v>0</v>
          </cell>
          <cell r="HB36">
            <v>0</v>
          </cell>
          <cell r="HC36">
            <v>0</v>
          </cell>
          <cell r="HD36">
            <v>0</v>
          </cell>
          <cell r="HE36">
            <v>0</v>
          </cell>
          <cell r="HF36">
            <v>0</v>
          </cell>
          <cell r="HG36">
            <v>0</v>
          </cell>
          <cell r="HH36">
            <v>0</v>
          </cell>
          <cell r="HI36">
            <v>0</v>
          </cell>
          <cell r="HJ36">
            <v>0</v>
          </cell>
          <cell r="HK36">
            <v>0</v>
          </cell>
          <cell r="HL36">
            <v>0</v>
          </cell>
          <cell r="HM36">
            <v>0</v>
          </cell>
          <cell r="HN36">
            <v>0</v>
          </cell>
          <cell r="HO36">
            <v>0</v>
          </cell>
          <cell r="HP36">
            <v>0</v>
          </cell>
          <cell r="HQ36">
            <v>0</v>
          </cell>
          <cell r="HR36">
            <v>0</v>
          </cell>
          <cell r="HS36">
            <v>0</v>
          </cell>
          <cell r="HT36">
            <v>0</v>
          </cell>
          <cell r="HU36">
            <v>0</v>
          </cell>
          <cell r="HV36">
            <v>0</v>
          </cell>
          <cell r="HW36">
            <v>0</v>
          </cell>
          <cell r="HX36">
            <v>0</v>
          </cell>
          <cell r="HY36">
            <v>0</v>
          </cell>
          <cell r="HZ36">
            <v>0</v>
          </cell>
          <cell r="IA36">
            <v>0</v>
          </cell>
          <cell r="IB36">
            <v>0</v>
          </cell>
          <cell r="IC36">
            <v>0</v>
          </cell>
          <cell r="ID36">
            <v>0</v>
          </cell>
          <cell r="IE36">
            <v>0</v>
          </cell>
          <cell r="IF36">
            <v>0</v>
          </cell>
          <cell r="IG36">
            <v>0</v>
          </cell>
          <cell r="IH36">
            <v>0</v>
          </cell>
          <cell r="II36">
            <v>0</v>
          </cell>
          <cell r="IJ36">
            <v>0</v>
          </cell>
          <cell r="IK36">
            <v>0</v>
          </cell>
          <cell r="IL36">
            <v>0</v>
          </cell>
          <cell r="IM36">
            <v>0</v>
          </cell>
          <cell r="IN36">
            <v>0</v>
          </cell>
          <cell r="IO36">
            <v>0</v>
          </cell>
          <cell r="IP36">
            <v>0</v>
          </cell>
          <cell r="IQ36">
            <v>0</v>
          </cell>
          <cell r="IR36">
            <v>0</v>
          </cell>
          <cell r="IS36">
            <v>0</v>
          </cell>
          <cell r="IT36">
            <v>0</v>
          </cell>
          <cell r="IU36">
            <v>0</v>
          </cell>
          <cell r="IV36">
            <v>0</v>
          </cell>
          <cell r="IW36">
            <v>0</v>
          </cell>
          <cell r="IX36">
            <v>0</v>
          </cell>
          <cell r="IY36">
            <v>0</v>
          </cell>
          <cell r="IZ36">
            <v>0</v>
          </cell>
          <cell r="JA36">
            <v>0</v>
          </cell>
        </row>
        <row r="37">
          <cell r="E37" t="str">
            <v>DB</v>
          </cell>
          <cell r="F37">
            <v>5</v>
          </cell>
          <cell r="G37">
            <v>1.25</v>
          </cell>
          <cell r="H37">
            <v>0</v>
          </cell>
          <cell r="I37" t="b">
            <v>1</v>
          </cell>
          <cell r="L37">
            <v>0.125</v>
          </cell>
          <cell r="M37">
            <v>0.21875</v>
          </cell>
          <cell r="N37">
            <v>0.1640625</v>
          </cell>
          <cell r="O37">
            <v>0.123046875</v>
          </cell>
          <cell r="P37">
            <v>9.228515625E-2</v>
          </cell>
          <cell r="Q37">
            <v>0.27685546875</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0</v>
          </cell>
          <cell r="EL37">
            <v>0</v>
          </cell>
          <cell r="EM37">
            <v>0</v>
          </cell>
          <cell r="EN37">
            <v>0</v>
          </cell>
          <cell r="EO37">
            <v>0</v>
          </cell>
          <cell r="EP37">
            <v>0</v>
          </cell>
          <cell r="EQ37">
            <v>0</v>
          </cell>
          <cell r="ER37">
            <v>0</v>
          </cell>
          <cell r="ES37">
            <v>0</v>
          </cell>
          <cell r="ET37">
            <v>0</v>
          </cell>
          <cell r="EU37">
            <v>0</v>
          </cell>
          <cell r="EV37">
            <v>0</v>
          </cell>
          <cell r="EW37">
            <v>0</v>
          </cell>
          <cell r="EX37">
            <v>0</v>
          </cell>
          <cell r="EY37">
            <v>0</v>
          </cell>
          <cell r="EZ37">
            <v>0</v>
          </cell>
          <cell r="FA37">
            <v>0</v>
          </cell>
          <cell r="FB37">
            <v>0</v>
          </cell>
          <cell r="FC37">
            <v>0</v>
          </cell>
          <cell r="FD37">
            <v>0</v>
          </cell>
          <cell r="FE37">
            <v>0</v>
          </cell>
          <cell r="FF37">
            <v>0</v>
          </cell>
          <cell r="FG37">
            <v>0</v>
          </cell>
          <cell r="FH37">
            <v>0</v>
          </cell>
          <cell r="FI37">
            <v>0</v>
          </cell>
          <cell r="FJ37">
            <v>0</v>
          </cell>
          <cell r="FK37">
            <v>0</v>
          </cell>
          <cell r="FL37">
            <v>0</v>
          </cell>
          <cell r="FM37">
            <v>0</v>
          </cell>
          <cell r="FN37">
            <v>0</v>
          </cell>
          <cell r="FO37">
            <v>0</v>
          </cell>
          <cell r="FP37">
            <v>0</v>
          </cell>
          <cell r="FQ37">
            <v>0</v>
          </cell>
          <cell r="FR37">
            <v>0</v>
          </cell>
          <cell r="FS37">
            <v>0</v>
          </cell>
          <cell r="FT37">
            <v>0</v>
          </cell>
          <cell r="FU37">
            <v>0</v>
          </cell>
          <cell r="FV37">
            <v>0</v>
          </cell>
          <cell r="FW37">
            <v>0</v>
          </cell>
          <cell r="FX37">
            <v>0</v>
          </cell>
          <cell r="FY37">
            <v>0</v>
          </cell>
          <cell r="FZ37">
            <v>0</v>
          </cell>
          <cell r="GA37">
            <v>0</v>
          </cell>
          <cell r="GB37">
            <v>0</v>
          </cell>
          <cell r="GC37">
            <v>0</v>
          </cell>
          <cell r="GD37">
            <v>0</v>
          </cell>
          <cell r="GE37">
            <v>0</v>
          </cell>
          <cell r="GF37">
            <v>0</v>
          </cell>
          <cell r="GG37">
            <v>0</v>
          </cell>
          <cell r="GH37">
            <v>0</v>
          </cell>
          <cell r="GI37">
            <v>0</v>
          </cell>
          <cell r="GJ37">
            <v>0</v>
          </cell>
          <cell r="GK37">
            <v>0</v>
          </cell>
          <cell r="GL37">
            <v>0</v>
          </cell>
          <cell r="GM37">
            <v>0</v>
          </cell>
          <cell r="GN37">
            <v>0</v>
          </cell>
          <cell r="GO37">
            <v>0</v>
          </cell>
          <cell r="GP37">
            <v>0</v>
          </cell>
          <cell r="GQ37">
            <v>0</v>
          </cell>
          <cell r="GR37">
            <v>0</v>
          </cell>
          <cell r="GS37">
            <v>0</v>
          </cell>
          <cell r="GT37">
            <v>0</v>
          </cell>
          <cell r="GU37">
            <v>0</v>
          </cell>
          <cell r="GV37">
            <v>0</v>
          </cell>
          <cell r="GW37">
            <v>0</v>
          </cell>
          <cell r="GX37">
            <v>0</v>
          </cell>
          <cell r="GY37">
            <v>0</v>
          </cell>
          <cell r="GZ37">
            <v>0</v>
          </cell>
          <cell r="HA37">
            <v>0</v>
          </cell>
          <cell r="HB37">
            <v>0</v>
          </cell>
          <cell r="HC37">
            <v>0</v>
          </cell>
          <cell r="HD37">
            <v>0</v>
          </cell>
          <cell r="HE37">
            <v>0</v>
          </cell>
          <cell r="HF37">
            <v>0</v>
          </cell>
          <cell r="HG37">
            <v>0</v>
          </cell>
          <cell r="HH37">
            <v>0</v>
          </cell>
          <cell r="HI37">
            <v>0</v>
          </cell>
          <cell r="HJ37">
            <v>0</v>
          </cell>
          <cell r="HK37">
            <v>0</v>
          </cell>
          <cell r="HL37">
            <v>0</v>
          </cell>
          <cell r="HM37">
            <v>0</v>
          </cell>
          <cell r="HN37">
            <v>0</v>
          </cell>
          <cell r="HO37">
            <v>0</v>
          </cell>
          <cell r="HP37">
            <v>0</v>
          </cell>
          <cell r="HQ37">
            <v>0</v>
          </cell>
          <cell r="HR37">
            <v>0</v>
          </cell>
          <cell r="HS37">
            <v>0</v>
          </cell>
          <cell r="HT37">
            <v>0</v>
          </cell>
          <cell r="HU37">
            <v>0</v>
          </cell>
          <cell r="HV37">
            <v>0</v>
          </cell>
          <cell r="HW37">
            <v>0</v>
          </cell>
          <cell r="HX37">
            <v>0</v>
          </cell>
          <cell r="HY37">
            <v>0</v>
          </cell>
          <cell r="HZ37">
            <v>0</v>
          </cell>
          <cell r="IA37">
            <v>0</v>
          </cell>
          <cell r="IB37">
            <v>0</v>
          </cell>
          <cell r="IC37">
            <v>0</v>
          </cell>
          <cell r="ID37">
            <v>0</v>
          </cell>
          <cell r="IE37">
            <v>0</v>
          </cell>
          <cell r="IF37">
            <v>0</v>
          </cell>
          <cell r="IG37">
            <v>0</v>
          </cell>
          <cell r="IH37">
            <v>0</v>
          </cell>
          <cell r="II37">
            <v>0</v>
          </cell>
          <cell r="IJ37">
            <v>0</v>
          </cell>
          <cell r="IK37">
            <v>0</v>
          </cell>
          <cell r="IL37">
            <v>0</v>
          </cell>
          <cell r="IM37">
            <v>0</v>
          </cell>
          <cell r="IN37">
            <v>0</v>
          </cell>
          <cell r="IO37">
            <v>0</v>
          </cell>
          <cell r="IP37">
            <v>0</v>
          </cell>
          <cell r="IQ37">
            <v>0</v>
          </cell>
          <cell r="IR37">
            <v>0</v>
          </cell>
          <cell r="IS37">
            <v>0</v>
          </cell>
          <cell r="IT37">
            <v>0</v>
          </cell>
          <cell r="IU37">
            <v>0</v>
          </cell>
          <cell r="IV37">
            <v>0</v>
          </cell>
          <cell r="IW37">
            <v>0</v>
          </cell>
          <cell r="IX37">
            <v>0</v>
          </cell>
          <cell r="IY37">
            <v>0</v>
          </cell>
          <cell r="IZ37">
            <v>0</v>
          </cell>
          <cell r="JA37">
            <v>0</v>
          </cell>
        </row>
        <row r="38">
          <cell r="E38" t="str">
            <v>DB</v>
          </cell>
          <cell r="F38">
            <v>5</v>
          </cell>
          <cell r="G38">
            <v>1.25</v>
          </cell>
          <cell r="H38">
            <v>0</v>
          </cell>
          <cell r="I38" t="b">
            <v>1</v>
          </cell>
          <cell r="L38">
            <v>0.125</v>
          </cell>
          <cell r="M38">
            <v>0.21875</v>
          </cell>
          <cell r="N38">
            <v>0.1640625</v>
          </cell>
          <cell r="O38">
            <v>0.123046875</v>
          </cell>
          <cell r="P38">
            <v>9.228515625E-2</v>
          </cell>
          <cell r="Q38">
            <v>0.27685546875</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cell r="EQ38">
            <v>0</v>
          </cell>
          <cell r="ER38">
            <v>0</v>
          </cell>
          <cell r="ES38">
            <v>0</v>
          </cell>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0</v>
          </cell>
          <cell r="FK38">
            <v>0</v>
          </cell>
          <cell r="FL38">
            <v>0</v>
          </cell>
          <cell r="FM38">
            <v>0</v>
          </cell>
          <cell r="FN38">
            <v>0</v>
          </cell>
          <cell r="FO38">
            <v>0</v>
          </cell>
          <cell r="FP38">
            <v>0</v>
          </cell>
          <cell r="FQ38">
            <v>0</v>
          </cell>
          <cell r="FR38">
            <v>0</v>
          </cell>
          <cell r="FS38">
            <v>0</v>
          </cell>
          <cell r="FT38">
            <v>0</v>
          </cell>
          <cell r="FU38">
            <v>0</v>
          </cell>
          <cell r="FV38">
            <v>0</v>
          </cell>
          <cell r="FW38">
            <v>0</v>
          </cell>
          <cell r="FX38">
            <v>0</v>
          </cell>
          <cell r="FY38">
            <v>0</v>
          </cell>
          <cell r="FZ38">
            <v>0</v>
          </cell>
          <cell r="GA38">
            <v>0</v>
          </cell>
          <cell r="GB38">
            <v>0</v>
          </cell>
          <cell r="GC38">
            <v>0</v>
          </cell>
          <cell r="GD38">
            <v>0</v>
          </cell>
          <cell r="GE38">
            <v>0</v>
          </cell>
          <cell r="GF38">
            <v>0</v>
          </cell>
          <cell r="GG38">
            <v>0</v>
          </cell>
          <cell r="GH38">
            <v>0</v>
          </cell>
          <cell r="GI38">
            <v>0</v>
          </cell>
          <cell r="GJ38">
            <v>0</v>
          </cell>
          <cell r="GK38">
            <v>0</v>
          </cell>
          <cell r="GL38">
            <v>0</v>
          </cell>
          <cell r="GM38">
            <v>0</v>
          </cell>
          <cell r="GN38">
            <v>0</v>
          </cell>
          <cell r="GO38">
            <v>0</v>
          </cell>
          <cell r="GP38">
            <v>0</v>
          </cell>
          <cell r="GQ38">
            <v>0</v>
          </cell>
          <cell r="GR38">
            <v>0</v>
          </cell>
          <cell r="GS38">
            <v>0</v>
          </cell>
          <cell r="GT38">
            <v>0</v>
          </cell>
          <cell r="GU38">
            <v>0</v>
          </cell>
          <cell r="GV38">
            <v>0</v>
          </cell>
          <cell r="GW38">
            <v>0</v>
          </cell>
          <cell r="GX38">
            <v>0</v>
          </cell>
          <cell r="GY38">
            <v>0</v>
          </cell>
          <cell r="GZ38">
            <v>0</v>
          </cell>
          <cell r="HA38">
            <v>0</v>
          </cell>
          <cell r="HB38">
            <v>0</v>
          </cell>
          <cell r="HC38">
            <v>0</v>
          </cell>
          <cell r="HD38">
            <v>0</v>
          </cell>
          <cell r="HE38">
            <v>0</v>
          </cell>
          <cell r="HF38">
            <v>0</v>
          </cell>
          <cell r="HG38">
            <v>0</v>
          </cell>
          <cell r="HH38">
            <v>0</v>
          </cell>
          <cell r="HI38">
            <v>0</v>
          </cell>
          <cell r="HJ38">
            <v>0</v>
          </cell>
          <cell r="HK38">
            <v>0</v>
          </cell>
          <cell r="HL38">
            <v>0</v>
          </cell>
          <cell r="HM38">
            <v>0</v>
          </cell>
          <cell r="HN38">
            <v>0</v>
          </cell>
          <cell r="HO38">
            <v>0</v>
          </cell>
          <cell r="HP38">
            <v>0</v>
          </cell>
          <cell r="HQ38">
            <v>0</v>
          </cell>
          <cell r="HR38">
            <v>0</v>
          </cell>
          <cell r="HS38">
            <v>0</v>
          </cell>
          <cell r="HT38">
            <v>0</v>
          </cell>
          <cell r="HU38">
            <v>0</v>
          </cell>
          <cell r="HV38">
            <v>0</v>
          </cell>
          <cell r="HW38">
            <v>0</v>
          </cell>
          <cell r="HX38">
            <v>0</v>
          </cell>
          <cell r="HY38">
            <v>0</v>
          </cell>
          <cell r="HZ38">
            <v>0</v>
          </cell>
          <cell r="IA38">
            <v>0</v>
          </cell>
          <cell r="IB38">
            <v>0</v>
          </cell>
          <cell r="IC38">
            <v>0</v>
          </cell>
          <cell r="ID38">
            <v>0</v>
          </cell>
          <cell r="IE38">
            <v>0</v>
          </cell>
          <cell r="IF38">
            <v>0</v>
          </cell>
          <cell r="IG38">
            <v>0</v>
          </cell>
          <cell r="IH38">
            <v>0</v>
          </cell>
          <cell r="II38">
            <v>0</v>
          </cell>
          <cell r="IJ38">
            <v>0</v>
          </cell>
          <cell r="IK38">
            <v>0</v>
          </cell>
          <cell r="IL38">
            <v>0</v>
          </cell>
          <cell r="IM38">
            <v>0</v>
          </cell>
          <cell r="IN38">
            <v>0</v>
          </cell>
          <cell r="IO38">
            <v>0</v>
          </cell>
          <cell r="IP38">
            <v>0</v>
          </cell>
          <cell r="IQ38">
            <v>0</v>
          </cell>
          <cell r="IR38">
            <v>0</v>
          </cell>
          <cell r="IS38">
            <v>0</v>
          </cell>
          <cell r="IT38">
            <v>0</v>
          </cell>
          <cell r="IU38">
            <v>0</v>
          </cell>
          <cell r="IV38">
            <v>0</v>
          </cell>
          <cell r="IW38">
            <v>0</v>
          </cell>
          <cell r="IX38">
            <v>0</v>
          </cell>
          <cell r="IY38">
            <v>0</v>
          </cell>
          <cell r="IZ38">
            <v>0</v>
          </cell>
          <cell r="JA38">
            <v>0</v>
          </cell>
        </row>
        <row r="39">
          <cell r="E39" t="str">
            <v>DB</v>
          </cell>
          <cell r="F39">
            <v>5</v>
          </cell>
          <cell r="G39">
            <v>1.25</v>
          </cell>
          <cell r="H39">
            <v>0</v>
          </cell>
          <cell r="I39" t="b">
            <v>1</v>
          </cell>
          <cell r="L39">
            <v>0.125</v>
          </cell>
          <cell r="M39">
            <v>0.21875</v>
          </cell>
          <cell r="N39">
            <v>0.1640625</v>
          </cell>
          <cell r="O39">
            <v>0.123046875</v>
          </cell>
          <cell r="P39">
            <v>9.228515625E-2</v>
          </cell>
          <cell r="Q39">
            <v>0.27685546875</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v>0</v>
          </cell>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v>0</v>
          </cell>
          <cell r="FP39">
            <v>0</v>
          </cell>
          <cell r="FQ39">
            <v>0</v>
          </cell>
          <cell r="FR39">
            <v>0</v>
          </cell>
          <cell r="FS39">
            <v>0</v>
          </cell>
          <cell r="FT39">
            <v>0</v>
          </cell>
          <cell r="FU39">
            <v>0</v>
          </cell>
          <cell r="FV39">
            <v>0</v>
          </cell>
          <cell r="FW39">
            <v>0</v>
          </cell>
          <cell r="FX39">
            <v>0</v>
          </cell>
          <cell r="FY39">
            <v>0</v>
          </cell>
          <cell r="FZ39">
            <v>0</v>
          </cell>
          <cell r="GA39">
            <v>0</v>
          </cell>
          <cell r="GB39">
            <v>0</v>
          </cell>
          <cell r="GC39">
            <v>0</v>
          </cell>
          <cell r="GD39">
            <v>0</v>
          </cell>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v>0</v>
          </cell>
          <cell r="GZ39">
            <v>0</v>
          </cell>
          <cell r="HA39">
            <v>0</v>
          </cell>
          <cell r="HB39">
            <v>0</v>
          </cell>
          <cell r="HC39">
            <v>0</v>
          </cell>
          <cell r="HD39">
            <v>0</v>
          </cell>
          <cell r="HE39">
            <v>0</v>
          </cell>
          <cell r="HF39">
            <v>0</v>
          </cell>
          <cell r="HG39">
            <v>0</v>
          </cell>
          <cell r="HH39">
            <v>0</v>
          </cell>
          <cell r="HI39">
            <v>0</v>
          </cell>
          <cell r="HJ39">
            <v>0</v>
          </cell>
          <cell r="HK39">
            <v>0</v>
          </cell>
          <cell r="HL39">
            <v>0</v>
          </cell>
          <cell r="HM39">
            <v>0</v>
          </cell>
          <cell r="HN39">
            <v>0</v>
          </cell>
          <cell r="HO39">
            <v>0</v>
          </cell>
          <cell r="HP39">
            <v>0</v>
          </cell>
          <cell r="HQ39">
            <v>0</v>
          </cell>
          <cell r="HR39">
            <v>0</v>
          </cell>
          <cell r="HS39">
            <v>0</v>
          </cell>
          <cell r="HT39">
            <v>0</v>
          </cell>
          <cell r="HU39">
            <v>0</v>
          </cell>
          <cell r="HV39">
            <v>0</v>
          </cell>
          <cell r="HW39">
            <v>0</v>
          </cell>
          <cell r="HX39">
            <v>0</v>
          </cell>
          <cell r="HY39">
            <v>0</v>
          </cell>
          <cell r="HZ39">
            <v>0</v>
          </cell>
          <cell r="IA39">
            <v>0</v>
          </cell>
          <cell r="IB39">
            <v>0</v>
          </cell>
          <cell r="IC39">
            <v>0</v>
          </cell>
          <cell r="ID39">
            <v>0</v>
          </cell>
          <cell r="IE39">
            <v>0</v>
          </cell>
          <cell r="IF39">
            <v>0</v>
          </cell>
          <cell r="IG39">
            <v>0</v>
          </cell>
          <cell r="IH39">
            <v>0</v>
          </cell>
          <cell r="II39">
            <v>0</v>
          </cell>
          <cell r="IJ39">
            <v>0</v>
          </cell>
          <cell r="IK39">
            <v>0</v>
          </cell>
          <cell r="IL39">
            <v>0</v>
          </cell>
          <cell r="IM39">
            <v>0</v>
          </cell>
          <cell r="IN39">
            <v>0</v>
          </cell>
          <cell r="IO39">
            <v>0</v>
          </cell>
          <cell r="IP39">
            <v>0</v>
          </cell>
          <cell r="IQ39">
            <v>0</v>
          </cell>
          <cell r="IR39">
            <v>0</v>
          </cell>
          <cell r="IS39">
            <v>0</v>
          </cell>
          <cell r="IT39">
            <v>0</v>
          </cell>
          <cell r="IU39">
            <v>0</v>
          </cell>
          <cell r="IV39">
            <v>0</v>
          </cell>
          <cell r="IW39">
            <v>0</v>
          </cell>
          <cell r="IX39">
            <v>0</v>
          </cell>
          <cell r="IY39">
            <v>0</v>
          </cell>
          <cell r="IZ39">
            <v>0</v>
          </cell>
          <cell r="JA39">
            <v>0</v>
          </cell>
        </row>
        <row r="40">
          <cell r="E40" t="str">
            <v>DB</v>
          </cell>
          <cell r="F40">
            <v>5</v>
          </cell>
          <cell r="G40">
            <v>1.25</v>
          </cell>
          <cell r="H40">
            <v>0</v>
          </cell>
          <cell r="I40" t="b">
            <v>1</v>
          </cell>
          <cell r="L40">
            <v>0.125</v>
          </cell>
          <cell r="M40">
            <v>0.21875</v>
          </cell>
          <cell r="N40">
            <v>0.1640625</v>
          </cell>
          <cell r="O40">
            <v>0.123046875</v>
          </cell>
          <cell r="P40">
            <v>9.228515625E-2</v>
          </cell>
          <cell r="Q40">
            <v>0.27685546875</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cell r="EQ40">
            <v>0</v>
          </cell>
          <cell r="ER40">
            <v>0</v>
          </cell>
          <cell r="ES40">
            <v>0</v>
          </cell>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0</v>
          </cell>
          <cell r="FL40">
            <v>0</v>
          </cell>
          <cell r="FM40">
            <v>0</v>
          </cell>
          <cell r="FN40">
            <v>0</v>
          </cell>
          <cell r="FO40">
            <v>0</v>
          </cell>
          <cell r="FP40">
            <v>0</v>
          </cell>
          <cell r="FQ40">
            <v>0</v>
          </cell>
          <cell r="FR40">
            <v>0</v>
          </cell>
          <cell r="FS40">
            <v>0</v>
          </cell>
          <cell r="FT40">
            <v>0</v>
          </cell>
          <cell r="FU40">
            <v>0</v>
          </cell>
          <cell r="FV40">
            <v>0</v>
          </cell>
          <cell r="FW40">
            <v>0</v>
          </cell>
          <cell r="FX40">
            <v>0</v>
          </cell>
          <cell r="FY40">
            <v>0</v>
          </cell>
          <cell r="FZ40">
            <v>0</v>
          </cell>
          <cell r="GA40">
            <v>0</v>
          </cell>
          <cell r="GB40">
            <v>0</v>
          </cell>
          <cell r="GC40">
            <v>0</v>
          </cell>
          <cell r="GD40">
            <v>0</v>
          </cell>
          <cell r="GE40">
            <v>0</v>
          </cell>
          <cell r="GF40">
            <v>0</v>
          </cell>
          <cell r="GG40">
            <v>0</v>
          </cell>
          <cell r="GH40">
            <v>0</v>
          </cell>
          <cell r="GI40">
            <v>0</v>
          </cell>
          <cell r="GJ40">
            <v>0</v>
          </cell>
          <cell r="GK40">
            <v>0</v>
          </cell>
          <cell r="GL40">
            <v>0</v>
          </cell>
          <cell r="GM40">
            <v>0</v>
          </cell>
          <cell r="GN40">
            <v>0</v>
          </cell>
          <cell r="GO40">
            <v>0</v>
          </cell>
          <cell r="GP40">
            <v>0</v>
          </cell>
          <cell r="GQ40">
            <v>0</v>
          </cell>
          <cell r="GR40">
            <v>0</v>
          </cell>
          <cell r="GS40">
            <v>0</v>
          </cell>
          <cell r="GT40">
            <v>0</v>
          </cell>
          <cell r="GU40">
            <v>0</v>
          </cell>
          <cell r="GV40">
            <v>0</v>
          </cell>
          <cell r="GW40">
            <v>0</v>
          </cell>
          <cell r="GX40">
            <v>0</v>
          </cell>
          <cell r="GY40">
            <v>0</v>
          </cell>
          <cell r="GZ40">
            <v>0</v>
          </cell>
          <cell r="HA40">
            <v>0</v>
          </cell>
          <cell r="HB40">
            <v>0</v>
          </cell>
          <cell r="HC40">
            <v>0</v>
          </cell>
          <cell r="HD40">
            <v>0</v>
          </cell>
          <cell r="HE40">
            <v>0</v>
          </cell>
          <cell r="HF40">
            <v>0</v>
          </cell>
          <cell r="HG40">
            <v>0</v>
          </cell>
          <cell r="HH40">
            <v>0</v>
          </cell>
          <cell r="HI40">
            <v>0</v>
          </cell>
          <cell r="HJ40">
            <v>0</v>
          </cell>
          <cell r="HK40">
            <v>0</v>
          </cell>
          <cell r="HL40">
            <v>0</v>
          </cell>
          <cell r="HM40">
            <v>0</v>
          </cell>
          <cell r="HN40">
            <v>0</v>
          </cell>
          <cell r="HO40">
            <v>0</v>
          </cell>
          <cell r="HP40">
            <v>0</v>
          </cell>
          <cell r="HQ40">
            <v>0</v>
          </cell>
          <cell r="HR40">
            <v>0</v>
          </cell>
          <cell r="HS40">
            <v>0</v>
          </cell>
          <cell r="HT40">
            <v>0</v>
          </cell>
          <cell r="HU40">
            <v>0</v>
          </cell>
          <cell r="HV40">
            <v>0</v>
          </cell>
          <cell r="HW40">
            <v>0</v>
          </cell>
          <cell r="HX40">
            <v>0</v>
          </cell>
          <cell r="HY40">
            <v>0</v>
          </cell>
          <cell r="HZ40">
            <v>0</v>
          </cell>
          <cell r="IA40">
            <v>0</v>
          </cell>
          <cell r="IB40">
            <v>0</v>
          </cell>
          <cell r="IC40">
            <v>0</v>
          </cell>
          <cell r="ID40">
            <v>0</v>
          </cell>
          <cell r="IE40">
            <v>0</v>
          </cell>
          <cell r="IF40">
            <v>0</v>
          </cell>
          <cell r="IG40">
            <v>0</v>
          </cell>
          <cell r="IH40">
            <v>0</v>
          </cell>
          <cell r="II40">
            <v>0</v>
          </cell>
          <cell r="IJ40">
            <v>0</v>
          </cell>
          <cell r="IK40">
            <v>0</v>
          </cell>
          <cell r="IL40">
            <v>0</v>
          </cell>
          <cell r="IM40">
            <v>0</v>
          </cell>
          <cell r="IN40">
            <v>0</v>
          </cell>
          <cell r="IO40">
            <v>0</v>
          </cell>
          <cell r="IP40">
            <v>0</v>
          </cell>
          <cell r="IQ40">
            <v>0</v>
          </cell>
          <cell r="IR40">
            <v>0</v>
          </cell>
          <cell r="IS40">
            <v>0</v>
          </cell>
          <cell r="IT40">
            <v>0</v>
          </cell>
          <cell r="IU40">
            <v>0</v>
          </cell>
          <cell r="IV40">
            <v>0</v>
          </cell>
          <cell r="IW40">
            <v>0</v>
          </cell>
          <cell r="IX40">
            <v>0</v>
          </cell>
          <cell r="IY40">
            <v>0</v>
          </cell>
          <cell r="IZ40">
            <v>0</v>
          </cell>
          <cell r="JA40">
            <v>0</v>
          </cell>
        </row>
        <row r="44">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0</v>
          </cell>
          <cell r="GK44">
            <v>0</v>
          </cell>
          <cell r="GL44">
            <v>0</v>
          </cell>
          <cell r="GM44">
            <v>0</v>
          </cell>
          <cell r="GN44">
            <v>0</v>
          </cell>
          <cell r="GO44">
            <v>0</v>
          </cell>
          <cell r="GP44">
            <v>0</v>
          </cell>
          <cell r="GQ44">
            <v>0</v>
          </cell>
          <cell r="GR44">
            <v>0</v>
          </cell>
          <cell r="GS44">
            <v>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cell r="IS44">
            <v>0</v>
          </cell>
          <cell r="IT44">
            <v>0</v>
          </cell>
          <cell r="IU44">
            <v>0</v>
          </cell>
          <cell r="IV44">
            <v>0</v>
          </cell>
          <cell r="IW44">
            <v>0</v>
          </cell>
          <cell r="IX44">
            <v>0</v>
          </cell>
          <cell r="IY44">
            <v>0</v>
          </cell>
          <cell r="IZ44">
            <v>0</v>
          </cell>
          <cell r="JA44">
            <v>1</v>
          </cell>
        </row>
        <row r="45">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0</v>
          </cell>
          <cell r="GK45">
            <v>0</v>
          </cell>
          <cell r="GL45">
            <v>0</v>
          </cell>
          <cell r="GM45">
            <v>0</v>
          </cell>
          <cell r="GN45">
            <v>0</v>
          </cell>
          <cell r="GO45">
            <v>0</v>
          </cell>
          <cell r="GP45">
            <v>0</v>
          </cell>
          <cell r="GQ45">
            <v>0</v>
          </cell>
          <cell r="GR45">
            <v>0</v>
          </cell>
          <cell r="GS45">
            <v>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cell r="IS45">
            <v>0</v>
          </cell>
          <cell r="IT45">
            <v>0</v>
          </cell>
          <cell r="IU45">
            <v>0</v>
          </cell>
          <cell r="IV45">
            <v>0</v>
          </cell>
          <cell r="IW45">
            <v>0</v>
          </cell>
          <cell r="IX45">
            <v>0</v>
          </cell>
          <cell r="IY45">
            <v>0</v>
          </cell>
          <cell r="IZ45">
            <v>0</v>
          </cell>
          <cell r="JA45">
            <v>1</v>
          </cell>
        </row>
        <row r="46">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0</v>
          </cell>
          <cell r="GK46">
            <v>0</v>
          </cell>
          <cell r="GL46">
            <v>0</v>
          </cell>
          <cell r="GM46">
            <v>0</v>
          </cell>
          <cell r="GN46">
            <v>0</v>
          </cell>
          <cell r="GO46">
            <v>0</v>
          </cell>
          <cell r="GP46">
            <v>0</v>
          </cell>
          <cell r="GQ46">
            <v>0</v>
          </cell>
          <cell r="GR46">
            <v>0</v>
          </cell>
          <cell r="GS46">
            <v>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cell r="IS46">
            <v>0</v>
          </cell>
          <cell r="IT46">
            <v>0</v>
          </cell>
          <cell r="IU46">
            <v>0</v>
          </cell>
          <cell r="IV46">
            <v>0</v>
          </cell>
          <cell r="IW46">
            <v>0</v>
          </cell>
          <cell r="IX46">
            <v>0</v>
          </cell>
          <cell r="IY46">
            <v>0</v>
          </cell>
          <cell r="IZ46">
            <v>0</v>
          </cell>
          <cell r="JA46">
            <v>1</v>
          </cell>
        </row>
        <row r="47">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0</v>
          </cell>
          <cell r="GK47">
            <v>0</v>
          </cell>
          <cell r="GL47">
            <v>0</v>
          </cell>
          <cell r="GM47">
            <v>0</v>
          </cell>
          <cell r="GN47">
            <v>0</v>
          </cell>
          <cell r="GO47">
            <v>0</v>
          </cell>
          <cell r="GP47">
            <v>0</v>
          </cell>
          <cell r="GQ47">
            <v>0</v>
          </cell>
          <cell r="GR47">
            <v>0</v>
          </cell>
          <cell r="GS47">
            <v>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cell r="IS47">
            <v>0</v>
          </cell>
          <cell r="IT47">
            <v>0</v>
          </cell>
          <cell r="IU47">
            <v>0</v>
          </cell>
          <cell r="IV47">
            <v>0</v>
          </cell>
          <cell r="IW47">
            <v>0</v>
          </cell>
          <cell r="IX47">
            <v>0</v>
          </cell>
          <cell r="IY47">
            <v>0</v>
          </cell>
          <cell r="IZ47">
            <v>0</v>
          </cell>
          <cell r="JA47">
            <v>1</v>
          </cell>
        </row>
        <row r="48">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0</v>
          </cell>
          <cell r="GK48">
            <v>0</v>
          </cell>
          <cell r="GL48">
            <v>0</v>
          </cell>
          <cell r="GM48">
            <v>0</v>
          </cell>
          <cell r="GN48">
            <v>0</v>
          </cell>
          <cell r="GO48">
            <v>0</v>
          </cell>
          <cell r="GP48">
            <v>0</v>
          </cell>
          <cell r="GQ48">
            <v>0</v>
          </cell>
          <cell r="GR48">
            <v>0</v>
          </cell>
          <cell r="GS48">
            <v>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cell r="IS48">
            <v>0</v>
          </cell>
          <cell r="IT48">
            <v>0</v>
          </cell>
          <cell r="IU48">
            <v>0</v>
          </cell>
          <cell r="IV48">
            <v>0.27685546875</v>
          </cell>
          <cell r="IW48">
            <v>9.228515625E-2</v>
          </cell>
          <cell r="IX48">
            <v>0.123046875</v>
          </cell>
          <cell r="IY48">
            <v>0.1640625</v>
          </cell>
          <cell r="IZ48">
            <v>0.21875</v>
          </cell>
          <cell r="JA48">
            <v>0.125</v>
          </cell>
        </row>
        <row r="49">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0</v>
          </cell>
          <cell r="GK49">
            <v>0</v>
          </cell>
          <cell r="GL49">
            <v>0</v>
          </cell>
          <cell r="GM49">
            <v>0</v>
          </cell>
          <cell r="GN49">
            <v>0</v>
          </cell>
          <cell r="GO49">
            <v>0</v>
          </cell>
          <cell r="GP49">
            <v>0</v>
          </cell>
          <cell r="GQ49">
            <v>0</v>
          </cell>
          <cell r="GR49">
            <v>0</v>
          </cell>
          <cell r="GS49">
            <v>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cell r="IS49">
            <v>0</v>
          </cell>
          <cell r="IT49">
            <v>0</v>
          </cell>
          <cell r="IU49">
            <v>0</v>
          </cell>
          <cell r="IV49">
            <v>0.27685546875</v>
          </cell>
          <cell r="IW49">
            <v>9.228515625E-2</v>
          </cell>
          <cell r="IX49">
            <v>0.123046875</v>
          </cell>
          <cell r="IY49">
            <v>0.1640625</v>
          </cell>
          <cell r="IZ49">
            <v>0.21875</v>
          </cell>
          <cell r="JA49">
            <v>0.125</v>
          </cell>
        </row>
        <row r="50">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0</v>
          </cell>
          <cell r="GK50">
            <v>0</v>
          </cell>
          <cell r="GL50">
            <v>0</v>
          </cell>
          <cell r="GM50">
            <v>0</v>
          </cell>
          <cell r="GN50">
            <v>0</v>
          </cell>
          <cell r="GO50">
            <v>0</v>
          </cell>
          <cell r="GP50">
            <v>0</v>
          </cell>
          <cell r="GQ50">
            <v>0</v>
          </cell>
          <cell r="GR50">
            <v>0</v>
          </cell>
          <cell r="GS50">
            <v>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cell r="IS50">
            <v>0</v>
          </cell>
          <cell r="IT50">
            <v>0</v>
          </cell>
          <cell r="IU50">
            <v>0</v>
          </cell>
          <cell r="IV50">
            <v>0.27685546875</v>
          </cell>
          <cell r="IW50">
            <v>9.228515625E-2</v>
          </cell>
          <cell r="IX50">
            <v>0.123046875</v>
          </cell>
          <cell r="IY50">
            <v>0.1640625</v>
          </cell>
          <cell r="IZ50">
            <v>0.21875</v>
          </cell>
          <cell r="JA50">
            <v>0.125</v>
          </cell>
        </row>
        <row r="51">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0.27685546875</v>
          </cell>
          <cell r="IW51">
            <v>9.228515625E-2</v>
          </cell>
          <cell r="IX51">
            <v>0.123046875</v>
          </cell>
          <cell r="IY51">
            <v>0.1640625</v>
          </cell>
          <cell r="IZ51">
            <v>0.21875</v>
          </cell>
          <cell r="JA51">
            <v>0.125</v>
          </cell>
        </row>
        <row r="52">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cell r="EQ52">
            <v>0</v>
          </cell>
          <cell r="ER52">
            <v>0</v>
          </cell>
          <cell r="ES52">
            <v>0</v>
          </cell>
          <cell r="ET52">
            <v>0</v>
          </cell>
          <cell r="EU52">
            <v>0</v>
          </cell>
          <cell r="EV52">
            <v>0</v>
          </cell>
          <cell r="EW52">
            <v>0</v>
          </cell>
          <cell r="EX52">
            <v>0</v>
          </cell>
          <cell r="EY52">
            <v>0</v>
          </cell>
          <cell r="EZ52">
            <v>0</v>
          </cell>
          <cell r="FA52">
            <v>0</v>
          </cell>
          <cell r="FB52">
            <v>0</v>
          </cell>
          <cell r="FC52">
            <v>0</v>
          </cell>
          <cell r="FD52">
            <v>0</v>
          </cell>
          <cell r="FE52">
            <v>0</v>
          </cell>
          <cell r="FF52">
            <v>0</v>
          </cell>
          <cell r="FG52">
            <v>0</v>
          </cell>
          <cell r="FH52">
            <v>0</v>
          </cell>
          <cell r="FI52">
            <v>0</v>
          </cell>
          <cell r="FJ52">
            <v>0</v>
          </cell>
          <cell r="FK52">
            <v>0</v>
          </cell>
          <cell r="FL52">
            <v>0</v>
          </cell>
          <cell r="FM52">
            <v>0</v>
          </cell>
          <cell r="FN52">
            <v>0</v>
          </cell>
          <cell r="FO52">
            <v>0</v>
          </cell>
          <cell r="FP52">
            <v>0</v>
          </cell>
          <cell r="FQ52">
            <v>0</v>
          </cell>
          <cell r="FR52">
            <v>0</v>
          </cell>
          <cell r="FS52">
            <v>0</v>
          </cell>
          <cell r="FT52">
            <v>0</v>
          </cell>
          <cell r="FU52">
            <v>0</v>
          </cell>
          <cell r="FV52">
            <v>0</v>
          </cell>
          <cell r="FW52">
            <v>0</v>
          </cell>
          <cell r="FX52">
            <v>0</v>
          </cell>
          <cell r="FY52">
            <v>0</v>
          </cell>
          <cell r="FZ52">
            <v>0</v>
          </cell>
          <cell r="GA52">
            <v>0</v>
          </cell>
          <cell r="GB52">
            <v>0</v>
          </cell>
          <cell r="GC52">
            <v>0</v>
          </cell>
          <cell r="GD52">
            <v>0</v>
          </cell>
          <cell r="GE52">
            <v>0</v>
          </cell>
          <cell r="GF52">
            <v>0</v>
          </cell>
          <cell r="GG52">
            <v>0</v>
          </cell>
          <cell r="GH52">
            <v>0</v>
          </cell>
          <cell r="GI52">
            <v>0</v>
          </cell>
          <cell r="GJ52">
            <v>0</v>
          </cell>
          <cell r="GK52">
            <v>0</v>
          </cell>
          <cell r="GL52">
            <v>0</v>
          </cell>
          <cell r="GM52">
            <v>0</v>
          </cell>
          <cell r="GN52">
            <v>0</v>
          </cell>
          <cell r="GO52">
            <v>0</v>
          </cell>
          <cell r="GP52">
            <v>0</v>
          </cell>
          <cell r="GQ52">
            <v>0</v>
          </cell>
          <cell r="GR52">
            <v>0</v>
          </cell>
          <cell r="GS52">
            <v>0</v>
          </cell>
          <cell r="GT52">
            <v>0</v>
          </cell>
          <cell r="GU52">
            <v>0</v>
          </cell>
          <cell r="GV52">
            <v>0</v>
          </cell>
          <cell r="GW52">
            <v>0</v>
          </cell>
          <cell r="GX52">
            <v>0</v>
          </cell>
          <cell r="GY52">
            <v>0</v>
          </cell>
          <cell r="GZ52">
            <v>0</v>
          </cell>
          <cell r="HA52">
            <v>0</v>
          </cell>
          <cell r="HB52">
            <v>0</v>
          </cell>
          <cell r="HC52">
            <v>0</v>
          </cell>
          <cell r="HD52">
            <v>0</v>
          </cell>
          <cell r="HE52">
            <v>0</v>
          </cell>
          <cell r="HF52">
            <v>0</v>
          </cell>
          <cell r="HG52">
            <v>0</v>
          </cell>
          <cell r="HH52">
            <v>0</v>
          </cell>
          <cell r="HI52">
            <v>0</v>
          </cell>
          <cell r="HJ52">
            <v>0</v>
          </cell>
          <cell r="HK52">
            <v>0</v>
          </cell>
          <cell r="HL52">
            <v>0</v>
          </cell>
          <cell r="HM52">
            <v>0</v>
          </cell>
          <cell r="HN52">
            <v>0</v>
          </cell>
          <cell r="HO52">
            <v>0</v>
          </cell>
          <cell r="HP52">
            <v>0</v>
          </cell>
          <cell r="HQ52">
            <v>0</v>
          </cell>
          <cell r="HR52">
            <v>0</v>
          </cell>
          <cell r="HS52">
            <v>0</v>
          </cell>
          <cell r="HT52">
            <v>0</v>
          </cell>
          <cell r="HU52">
            <v>0</v>
          </cell>
          <cell r="HV52">
            <v>0</v>
          </cell>
          <cell r="HW52">
            <v>0</v>
          </cell>
          <cell r="HX52">
            <v>0</v>
          </cell>
          <cell r="HY52">
            <v>0</v>
          </cell>
          <cell r="HZ52">
            <v>0</v>
          </cell>
          <cell r="IA52">
            <v>0</v>
          </cell>
          <cell r="IB52">
            <v>0</v>
          </cell>
          <cell r="IC52">
            <v>0</v>
          </cell>
          <cell r="ID52">
            <v>0</v>
          </cell>
          <cell r="IE52">
            <v>0</v>
          </cell>
          <cell r="IF52">
            <v>0</v>
          </cell>
          <cell r="IG52">
            <v>0</v>
          </cell>
          <cell r="IH52">
            <v>0</v>
          </cell>
          <cell r="II52">
            <v>0</v>
          </cell>
          <cell r="IJ52">
            <v>0</v>
          </cell>
          <cell r="IK52">
            <v>0</v>
          </cell>
          <cell r="IL52">
            <v>0</v>
          </cell>
          <cell r="IM52">
            <v>0</v>
          </cell>
          <cell r="IN52">
            <v>0</v>
          </cell>
          <cell r="IO52">
            <v>0</v>
          </cell>
          <cell r="IP52">
            <v>0</v>
          </cell>
          <cell r="IQ52">
            <v>0</v>
          </cell>
          <cell r="IR52">
            <v>0</v>
          </cell>
          <cell r="IS52">
            <v>0</v>
          </cell>
          <cell r="IT52">
            <v>0</v>
          </cell>
          <cell r="IU52">
            <v>0</v>
          </cell>
          <cell r="IV52">
            <v>0.27685546875</v>
          </cell>
          <cell r="IW52">
            <v>9.228515625E-2</v>
          </cell>
          <cell r="IX52">
            <v>0.123046875</v>
          </cell>
          <cell r="IY52">
            <v>0.1640625</v>
          </cell>
          <cell r="IZ52">
            <v>0.21875</v>
          </cell>
          <cell r="JA52">
            <v>0.125</v>
          </cell>
        </row>
        <row r="53">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cell r="IS53">
            <v>0</v>
          </cell>
          <cell r="IT53">
            <v>0</v>
          </cell>
          <cell r="IU53">
            <v>0</v>
          </cell>
          <cell r="IV53">
            <v>0.27685546875</v>
          </cell>
          <cell r="IW53">
            <v>9.228515625E-2</v>
          </cell>
          <cell r="IX53">
            <v>0.123046875</v>
          </cell>
          <cell r="IY53">
            <v>0.1640625</v>
          </cell>
          <cell r="IZ53">
            <v>0.21875</v>
          </cell>
          <cell r="JA53">
            <v>0.125</v>
          </cell>
        </row>
        <row r="54">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cell r="IS54">
            <v>0</v>
          </cell>
          <cell r="IT54">
            <v>0</v>
          </cell>
          <cell r="IU54">
            <v>0</v>
          </cell>
          <cell r="IV54">
            <v>0.27685546875</v>
          </cell>
          <cell r="IW54">
            <v>9.228515625E-2</v>
          </cell>
          <cell r="IX54">
            <v>0.123046875</v>
          </cell>
          <cell r="IY54">
            <v>0.1640625</v>
          </cell>
          <cell r="IZ54">
            <v>0.21875</v>
          </cell>
          <cell r="JA54">
            <v>0.125</v>
          </cell>
        </row>
        <row r="58">
          <cell r="E58" t="str">
            <v>Expense</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E59" t="str">
            <v>Expense</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E60" t="str">
            <v>Expense</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E61" t="str">
            <v>Expense</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E62" t="str">
            <v>DB</v>
          </cell>
          <cell r="L62">
            <v>0</v>
          </cell>
          <cell r="M62">
            <v>0</v>
          </cell>
          <cell r="N62">
            <v>0</v>
          </cell>
          <cell r="O62">
            <v>0.96510862500000005</v>
          </cell>
          <cell r="P62">
            <v>1.9260527187500001</v>
          </cell>
          <cell r="Q62">
            <v>1.6935081640625</v>
          </cell>
          <cell r="R62">
            <v>1.2894636230468752</v>
          </cell>
          <cell r="S62">
            <v>0.98265934228515628</v>
          </cell>
          <cell r="T62">
            <v>2.3586019863281247</v>
          </cell>
          <cell r="U62">
            <v>0.58288119677734351</v>
          </cell>
          <cell r="V62">
            <v>8.9664976562499998E-2</v>
          </cell>
          <cell r="W62">
            <v>9.0464926269531246E-2</v>
          </cell>
          <cell r="X62">
            <v>0.10458820166015625</v>
          </cell>
          <cell r="Y62">
            <v>0.12140958300781249</v>
          </cell>
          <cell r="Z62">
            <v>0.13915564355468751</v>
          </cell>
          <cell r="AA62">
            <v>0.12963776806640626</v>
          </cell>
          <cell r="AB62">
            <v>0.10201010449218749</v>
          </cell>
          <cell r="AC62">
            <v>8.0425775390624996E-2</v>
          </cell>
          <cell r="AD62">
            <v>0.11474136474609509</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E63" t="str">
            <v>DB</v>
          </cell>
          <cell r="L63">
            <v>0</v>
          </cell>
          <cell r="M63">
            <v>0</v>
          </cell>
          <cell r="N63">
            <v>0</v>
          </cell>
          <cell r="O63">
            <v>0.78169600000000006</v>
          </cell>
          <cell r="P63">
            <v>1.566471875</v>
          </cell>
          <cell r="Q63">
            <v>1.3832834062499999</v>
          </cell>
          <cell r="R63">
            <v>1.0536474296875002</v>
          </cell>
          <cell r="S63">
            <v>0.80326332226562502</v>
          </cell>
          <cell r="T63">
            <v>1.916380616699219</v>
          </cell>
          <cell r="U63">
            <v>0.48797163769531254</v>
          </cell>
          <cell r="V63">
            <v>7.5065334472656245E-2</v>
          </cell>
          <cell r="W63">
            <v>7.57347900390625E-2</v>
          </cell>
          <cell r="X63">
            <v>8.7557649414062508E-2</v>
          </cell>
          <cell r="Y63">
            <v>0.1016404990234375</v>
          </cell>
          <cell r="Z63">
            <v>0.11649706884765625</v>
          </cell>
          <cell r="AA63">
            <v>0.10852867333984376</v>
          </cell>
          <cell r="AB63">
            <v>8.5399627441406251E-2</v>
          </cell>
          <cell r="AC63">
            <v>6.7329834960937501E-2</v>
          </cell>
          <cell r="AD63">
            <v>9.6058234863285463E-2</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E64" t="str">
            <v>DB</v>
          </cell>
          <cell r="L64">
            <v>0</v>
          </cell>
          <cell r="M64">
            <v>0</v>
          </cell>
          <cell r="N64">
            <v>0</v>
          </cell>
          <cell r="O64">
            <v>12.36874325</v>
          </cell>
          <cell r="P64">
            <v>21.645300687500001</v>
          </cell>
          <cell r="Q64">
            <v>16.233975515624998</v>
          </cell>
          <cell r="R64">
            <v>12.17548163671875</v>
          </cell>
          <cell r="S64">
            <v>9.1316112275390626</v>
          </cell>
          <cell r="T64">
            <v>27.394833682617186</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E65" t="str">
            <v>DB</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E66" t="str">
            <v>DB</v>
          </cell>
          <cell r="L66">
            <v>0</v>
          </cell>
          <cell r="M66">
            <v>0</v>
          </cell>
          <cell r="N66">
            <v>0</v>
          </cell>
          <cell r="O66">
            <v>0.88047187500000001</v>
          </cell>
          <cell r="P66">
            <v>1.5408257812500001</v>
          </cell>
          <cell r="Q66">
            <v>1.1556193359375</v>
          </cell>
          <cell r="R66">
            <v>0.86671450195312505</v>
          </cell>
          <cell r="S66">
            <v>0.65003587646484373</v>
          </cell>
          <cell r="T66">
            <v>1.9501076293945312</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E67" t="str">
            <v>DB</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E68" t="str">
            <v>DB</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69">
          <cell r="L69">
            <v>0</v>
          </cell>
          <cell r="M69">
            <v>0</v>
          </cell>
          <cell r="N69">
            <v>0</v>
          </cell>
          <cell r="O69">
            <v>14.99601975</v>
          </cell>
          <cell r="P69">
            <v>26.678651062500002</v>
          </cell>
          <cell r="Q69">
            <v>20.466386421875001</v>
          </cell>
          <cell r="R69">
            <v>15.38530719140625</v>
          </cell>
          <cell r="S69">
            <v>11.567569768554687</v>
          </cell>
          <cell r="T69">
            <v>33.61992391503906</v>
          </cell>
          <cell r="U69">
            <v>1.070852834472656</v>
          </cell>
          <cell r="V69">
            <v>0.16473031103515623</v>
          </cell>
          <cell r="W69">
            <v>0.16619971630859376</v>
          </cell>
          <cell r="X69">
            <v>0.19214585107421878</v>
          </cell>
          <cell r="Y69">
            <v>0.22305008203124999</v>
          </cell>
          <cell r="Z69">
            <v>0.25565271240234377</v>
          </cell>
          <cell r="AA69">
            <v>0.23816644140625001</v>
          </cell>
          <cell r="AB69">
            <v>0.18740973193359373</v>
          </cell>
          <cell r="AC69">
            <v>0.14775561035156248</v>
          </cell>
          <cell r="AD69">
            <v>0.21079959960938055</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3">
          <cell r="I73">
            <v>10.770374</v>
          </cell>
          <cell r="L73">
            <v>0</v>
          </cell>
          <cell r="M73">
            <v>0</v>
          </cell>
          <cell r="N73">
            <v>0</v>
          </cell>
          <cell r="O73">
            <v>7.7208690000000004</v>
          </cell>
          <cell r="P73">
            <v>1.8969009999999999</v>
          </cell>
          <cell r="Q73">
            <v>9.4848000000000002E-2</v>
          </cell>
          <cell r="R73">
            <v>5.9811999999999997E-2</v>
          </cell>
          <cell r="S73">
            <v>6.4681000000000002E-2</v>
          </cell>
          <cell r="T73">
            <v>8.2790000000000002E-2</v>
          </cell>
          <cell r="U73">
            <v>0.103032</v>
          </cell>
          <cell r="V73">
            <v>0.11045000000000001</v>
          </cell>
          <cell r="W73">
            <v>0.13347899999999999</v>
          </cell>
          <cell r="X73">
            <v>0.15234900000000001</v>
          </cell>
          <cell r="Y73">
            <v>0.16131699999999999</v>
          </cell>
          <cell r="Z73">
            <v>0.18984599999999999</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I74">
            <v>8.8065260000000034</v>
          </cell>
          <cell r="L74">
            <v>0</v>
          </cell>
          <cell r="M74">
            <v>0</v>
          </cell>
          <cell r="N74">
            <v>0</v>
          </cell>
          <cell r="O74">
            <v>6.2535680000000005</v>
          </cell>
          <cell r="P74">
            <v>1.588031</v>
          </cell>
          <cell r="Q74">
            <v>7.9405000000000003E-2</v>
          </cell>
          <cell r="R74">
            <v>5.0074E-2</v>
          </cell>
          <cell r="S74">
            <v>5.4148000000000002E-2</v>
          </cell>
          <cell r="T74">
            <v>6.9309999999999997E-2</v>
          </cell>
          <cell r="U74">
            <v>8.6255999999999999E-2</v>
          </cell>
          <cell r="V74">
            <v>9.2465000000000006E-2</v>
          </cell>
          <cell r="W74">
            <v>0.111744</v>
          </cell>
          <cell r="X74">
            <v>0.12754099999999999</v>
          </cell>
          <cell r="Y74">
            <v>0.135051</v>
          </cell>
          <cell r="Z74">
            <v>0.15893299999999999</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I75">
            <v>98.949945999999997</v>
          </cell>
          <cell r="L75">
            <v>0</v>
          </cell>
          <cell r="M75">
            <v>0</v>
          </cell>
          <cell r="N75">
            <v>0</v>
          </cell>
          <cell r="O75">
            <v>98.949945999999997</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I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I77">
            <v>7.0437750000000001</v>
          </cell>
          <cell r="L77">
            <v>0</v>
          </cell>
          <cell r="M77">
            <v>0</v>
          </cell>
          <cell r="N77">
            <v>0</v>
          </cell>
          <cell r="O77">
            <v>7.0437750000000001</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I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83">
          <cell r="E83" t="str">
            <v>DB</v>
          </cell>
          <cell r="F83">
            <v>5</v>
          </cell>
          <cell r="G83">
            <v>1.25</v>
          </cell>
          <cell r="H83">
            <v>0</v>
          </cell>
          <cell r="I83" t="b">
            <v>1</v>
          </cell>
          <cell r="L83">
            <v>0.125</v>
          </cell>
          <cell r="M83">
            <v>0.21875</v>
          </cell>
          <cell r="N83">
            <v>0.1640625</v>
          </cell>
          <cell r="O83">
            <v>0.123046875</v>
          </cell>
          <cell r="P83">
            <v>9.228515625E-2</v>
          </cell>
          <cell r="Q83">
            <v>0.27685546875</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4">
          <cell r="E84" t="str">
            <v>DB</v>
          </cell>
          <cell r="F84">
            <v>5</v>
          </cell>
          <cell r="G84">
            <v>1.25</v>
          </cell>
          <cell r="H84">
            <v>0</v>
          </cell>
          <cell r="I84" t="b">
            <v>1</v>
          </cell>
          <cell r="L84">
            <v>0.125</v>
          </cell>
          <cell r="M84">
            <v>0.21875</v>
          </cell>
          <cell r="N84">
            <v>0.1640625</v>
          </cell>
          <cell r="O84">
            <v>0.123046875</v>
          </cell>
          <cell r="P84">
            <v>9.228515625E-2</v>
          </cell>
          <cell r="Q84">
            <v>0.27685546875</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cell r="EQ84">
            <v>0</v>
          </cell>
          <cell r="ER84">
            <v>0</v>
          </cell>
          <cell r="ES84">
            <v>0</v>
          </cell>
          <cell r="ET84">
            <v>0</v>
          </cell>
          <cell r="EU84">
            <v>0</v>
          </cell>
          <cell r="EV84">
            <v>0</v>
          </cell>
          <cell r="EW84">
            <v>0</v>
          </cell>
          <cell r="EX84">
            <v>0</v>
          </cell>
          <cell r="EY84">
            <v>0</v>
          </cell>
          <cell r="EZ84">
            <v>0</v>
          </cell>
          <cell r="FA84">
            <v>0</v>
          </cell>
          <cell r="FB84">
            <v>0</v>
          </cell>
          <cell r="FC84">
            <v>0</v>
          </cell>
          <cell r="FD84">
            <v>0</v>
          </cell>
          <cell r="FE84">
            <v>0</v>
          </cell>
          <cell r="FF84">
            <v>0</v>
          </cell>
          <cell r="FG84">
            <v>0</v>
          </cell>
          <cell r="FH84">
            <v>0</v>
          </cell>
          <cell r="FI84">
            <v>0</v>
          </cell>
          <cell r="FJ84">
            <v>0</v>
          </cell>
          <cell r="FK84">
            <v>0</v>
          </cell>
          <cell r="FL84">
            <v>0</v>
          </cell>
          <cell r="FM84">
            <v>0</v>
          </cell>
          <cell r="FN84">
            <v>0</v>
          </cell>
          <cell r="FO84">
            <v>0</v>
          </cell>
          <cell r="FP84">
            <v>0</v>
          </cell>
          <cell r="FQ84">
            <v>0</v>
          </cell>
          <cell r="FR84">
            <v>0</v>
          </cell>
          <cell r="FS84">
            <v>0</v>
          </cell>
          <cell r="FT84">
            <v>0</v>
          </cell>
          <cell r="FU84">
            <v>0</v>
          </cell>
          <cell r="FV84">
            <v>0</v>
          </cell>
          <cell r="FW84">
            <v>0</v>
          </cell>
          <cell r="FX84">
            <v>0</v>
          </cell>
          <cell r="FY84">
            <v>0</v>
          </cell>
          <cell r="FZ84">
            <v>0</v>
          </cell>
          <cell r="GA84">
            <v>0</v>
          </cell>
          <cell r="GB84">
            <v>0</v>
          </cell>
          <cell r="GC84">
            <v>0</v>
          </cell>
          <cell r="GD84">
            <v>0</v>
          </cell>
          <cell r="GE84">
            <v>0</v>
          </cell>
          <cell r="GF84">
            <v>0</v>
          </cell>
          <cell r="GG84">
            <v>0</v>
          </cell>
          <cell r="GH84">
            <v>0</v>
          </cell>
          <cell r="GI84">
            <v>0</v>
          </cell>
          <cell r="GJ84">
            <v>0</v>
          </cell>
          <cell r="GK84">
            <v>0</v>
          </cell>
          <cell r="GL84">
            <v>0</v>
          </cell>
          <cell r="GM84">
            <v>0</v>
          </cell>
          <cell r="GN84">
            <v>0</v>
          </cell>
          <cell r="GO84">
            <v>0</v>
          </cell>
          <cell r="GP84">
            <v>0</v>
          </cell>
          <cell r="GQ84">
            <v>0</v>
          </cell>
          <cell r="GR84">
            <v>0</v>
          </cell>
          <cell r="GS84">
            <v>0</v>
          </cell>
          <cell r="GT84">
            <v>0</v>
          </cell>
          <cell r="GU84">
            <v>0</v>
          </cell>
          <cell r="GV84">
            <v>0</v>
          </cell>
          <cell r="GW84">
            <v>0</v>
          </cell>
          <cell r="GX84">
            <v>0</v>
          </cell>
          <cell r="GY84">
            <v>0</v>
          </cell>
          <cell r="GZ84">
            <v>0</v>
          </cell>
          <cell r="HA84">
            <v>0</v>
          </cell>
          <cell r="HB84">
            <v>0</v>
          </cell>
          <cell r="HC84">
            <v>0</v>
          </cell>
          <cell r="HD84">
            <v>0</v>
          </cell>
          <cell r="HE84">
            <v>0</v>
          </cell>
          <cell r="HF84">
            <v>0</v>
          </cell>
          <cell r="HG84">
            <v>0</v>
          </cell>
          <cell r="HH84">
            <v>0</v>
          </cell>
          <cell r="HI84">
            <v>0</v>
          </cell>
          <cell r="HJ84">
            <v>0</v>
          </cell>
          <cell r="HK84">
            <v>0</v>
          </cell>
          <cell r="HL84">
            <v>0</v>
          </cell>
          <cell r="HM84">
            <v>0</v>
          </cell>
          <cell r="HN84">
            <v>0</v>
          </cell>
          <cell r="HO84">
            <v>0</v>
          </cell>
          <cell r="HP84">
            <v>0</v>
          </cell>
          <cell r="HQ84">
            <v>0</v>
          </cell>
          <cell r="HR84">
            <v>0</v>
          </cell>
          <cell r="HS84">
            <v>0</v>
          </cell>
          <cell r="HT84">
            <v>0</v>
          </cell>
          <cell r="HU84">
            <v>0</v>
          </cell>
          <cell r="HV84">
            <v>0</v>
          </cell>
          <cell r="HW84">
            <v>0</v>
          </cell>
          <cell r="HX84">
            <v>0</v>
          </cell>
          <cell r="HY84">
            <v>0</v>
          </cell>
          <cell r="HZ84">
            <v>0</v>
          </cell>
          <cell r="IA84">
            <v>0</v>
          </cell>
          <cell r="IB84">
            <v>0</v>
          </cell>
          <cell r="IC84">
            <v>0</v>
          </cell>
          <cell r="ID84">
            <v>0</v>
          </cell>
          <cell r="IE84">
            <v>0</v>
          </cell>
          <cell r="IF84">
            <v>0</v>
          </cell>
          <cell r="IG84">
            <v>0</v>
          </cell>
          <cell r="IH84">
            <v>0</v>
          </cell>
          <cell r="II84">
            <v>0</v>
          </cell>
          <cell r="IJ84">
            <v>0</v>
          </cell>
          <cell r="IK84">
            <v>0</v>
          </cell>
          <cell r="IL84">
            <v>0</v>
          </cell>
          <cell r="IM84">
            <v>0</v>
          </cell>
          <cell r="IN84">
            <v>0</v>
          </cell>
          <cell r="IO84">
            <v>0</v>
          </cell>
          <cell r="IP84">
            <v>0</v>
          </cell>
          <cell r="IQ84">
            <v>0</v>
          </cell>
          <cell r="IR84">
            <v>0</v>
          </cell>
          <cell r="IS84">
            <v>0</v>
          </cell>
          <cell r="IT84">
            <v>0</v>
          </cell>
          <cell r="IU84">
            <v>0</v>
          </cell>
          <cell r="IV84">
            <v>0</v>
          </cell>
          <cell r="IW84">
            <v>0</v>
          </cell>
          <cell r="IX84">
            <v>0</v>
          </cell>
          <cell r="IY84">
            <v>0</v>
          </cell>
          <cell r="IZ84">
            <v>0</v>
          </cell>
          <cell r="JA84">
            <v>0</v>
          </cell>
        </row>
        <row r="85">
          <cell r="E85" t="str">
            <v>DB</v>
          </cell>
          <cell r="F85">
            <v>5</v>
          </cell>
          <cell r="G85">
            <v>1.25</v>
          </cell>
          <cell r="H85">
            <v>0</v>
          </cell>
          <cell r="I85" t="b">
            <v>1</v>
          </cell>
          <cell r="L85">
            <v>0.125</v>
          </cell>
          <cell r="M85">
            <v>0.21875</v>
          </cell>
          <cell r="N85">
            <v>0.1640625</v>
          </cell>
          <cell r="O85">
            <v>0.123046875</v>
          </cell>
          <cell r="P85">
            <v>9.228515625E-2</v>
          </cell>
          <cell r="Q85">
            <v>0.27685546875</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cell r="EQ85">
            <v>0</v>
          </cell>
          <cell r="ER85">
            <v>0</v>
          </cell>
          <cell r="ES85">
            <v>0</v>
          </cell>
          <cell r="ET85">
            <v>0</v>
          </cell>
          <cell r="EU85">
            <v>0</v>
          </cell>
          <cell r="EV85">
            <v>0</v>
          </cell>
          <cell r="EW85">
            <v>0</v>
          </cell>
          <cell r="EX85">
            <v>0</v>
          </cell>
          <cell r="EY85">
            <v>0</v>
          </cell>
          <cell r="EZ85">
            <v>0</v>
          </cell>
          <cell r="FA85">
            <v>0</v>
          </cell>
          <cell r="FB85">
            <v>0</v>
          </cell>
          <cell r="FC85">
            <v>0</v>
          </cell>
          <cell r="FD85">
            <v>0</v>
          </cell>
          <cell r="FE85">
            <v>0</v>
          </cell>
          <cell r="FF85">
            <v>0</v>
          </cell>
          <cell r="FG85">
            <v>0</v>
          </cell>
          <cell r="FH85">
            <v>0</v>
          </cell>
          <cell r="FI85">
            <v>0</v>
          </cell>
          <cell r="FJ85">
            <v>0</v>
          </cell>
          <cell r="FK85">
            <v>0</v>
          </cell>
          <cell r="FL85">
            <v>0</v>
          </cell>
          <cell r="FM85">
            <v>0</v>
          </cell>
          <cell r="FN85">
            <v>0</v>
          </cell>
          <cell r="FO85">
            <v>0</v>
          </cell>
          <cell r="FP85">
            <v>0</v>
          </cell>
          <cell r="FQ85">
            <v>0</v>
          </cell>
          <cell r="FR85">
            <v>0</v>
          </cell>
          <cell r="FS85">
            <v>0</v>
          </cell>
          <cell r="FT85">
            <v>0</v>
          </cell>
          <cell r="FU85">
            <v>0</v>
          </cell>
          <cell r="FV85">
            <v>0</v>
          </cell>
          <cell r="FW85">
            <v>0</v>
          </cell>
          <cell r="FX85">
            <v>0</v>
          </cell>
          <cell r="FY85">
            <v>0</v>
          </cell>
          <cell r="FZ85">
            <v>0</v>
          </cell>
          <cell r="GA85">
            <v>0</v>
          </cell>
          <cell r="GB85">
            <v>0</v>
          </cell>
          <cell r="GC85">
            <v>0</v>
          </cell>
          <cell r="GD85">
            <v>0</v>
          </cell>
          <cell r="GE85">
            <v>0</v>
          </cell>
          <cell r="GF85">
            <v>0</v>
          </cell>
          <cell r="GG85">
            <v>0</v>
          </cell>
          <cell r="GH85">
            <v>0</v>
          </cell>
          <cell r="GI85">
            <v>0</v>
          </cell>
          <cell r="GJ85">
            <v>0</v>
          </cell>
          <cell r="GK85">
            <v>0</v>
          </cell>
          <cell r="GL85">
            <v>0</v>
          </cell>
          <cell r="GM85">
            <v>0</v>
          </cell>
          <cell r="GN85">
            <v>0</v>
          </cell>
          <cell r="GO85">
            <v>0</v>
          </cell>
          <cell r="GP85">
            <v>0</v>
          </cell>
          <cell r="GQ85">
            <v>0</v>
          </cell>
          <cell r="GR85">
            <v>0</v>
          </cell>
          <cell r="GS85">
            <v>0</v>
          </cell>
          <cell r="GT85">
            <v>0</v>
          </cell>
          <cell r="GU85">
            <v>0</v>
          </cell>
          <cell r="GV85">
            <v>0</v>
          </cell>
          <cell r="GW85">
            <v>0</v>
          </cell>
          <cell r="GX85">
            <v>0</v>
          </cell>
          <cell r="GY85">
            <v>0</v>
          </cell>
          <cell r="GZ85">
            <v>0</v>
          </cell>
          <cell r="HA85">
            <v>0</v>
          </cell>
          <cell r="HB85">
            <v>0</v>
          </cell>
          <cell r="HC85">
            <v>0</v>
          </cell>
          <cell r="HD85">
            <v>0</v>
          </cell>
          <cell r="HE85">
            <v>0</v>
          </cell>
          <cell r="HF85">
            <v>0</v>
          </cell>
          <cell r="HG85">
            <v>0</v>
          </cell>
          <cell r="HH85">
            <v>0</v>
          </cell>
          <cell r="HI85">
            <v>0</v>
          </cell>
          <cell r="HJ85">
            <v>0</v>
          </cell>
          <cell r="HK85">
            <v>0</v>
          </cell>
          <cell r="HL85">
            <v>0</v>
          </cell>
          <cell r="HM85">
            <v>0</v>
          </cell>
          <cell r="HN85">
            <v>0</v>
          </cell>
          <cell r="HO85">
            <v>0</v>
          </cell>
          <cell r="HP85">
            <v>0</v>
          </cell>
          <cell r="HQ85">
            <v>0</v>
          </cell>
          <cell r="HR85">
            <v>0</v>
          </cell>
          <cell r="HS85">
            <v>0</v>
          </cell>
          <cell r="HT85">
            <v>0</v>
          </cell>
          <cell r="HU85">
            <v>0</v>
          </cell>
          <cell r="HV85">
            <v>0</v>
          </cell>
          <cell r="HW85">
            <v>0</v>
          </cell>
          <cell r="HX85">
            <v>0</v>
          </cell>
          <cell r="HY85">
            <v>0</v>
          </cell>
          <cell r="HZ85">
            <v>0</v>
          </cell>
          <cell r="IA85">
            <v>0</v>
          </cell>
          <cell r="IB85">
            <v>0</v>
          </cell>
          <cell r="IC85">
            <v>0</v>
          </cell>
          <cell r="ID85">
            <v>0</v>
          </cell>
          <cell r="IE85">
            <v>0</v>
          </cell>
          <cell r="IF85">
            <v>0</v>
          </cell>
          <cell r="IG85">
            <v>0</v>
          </cell>
          <cell r="IH85">
            <v>0</v>
          </cell>
          <cell r="II85">
            <v>0</v>
          </cell>
          <cell r="IJ85">
            <v>0</v>
          </cell>
          <cell r="IK85">
            <v>0</v>
          </cell>
          <cell r="IL85">
            <v>0</v>
          </cell>
          <cell r="IM85">
            <v>0</v>
          </cell>
          <cell r="IN85">
            <v>0</v>
          </cell>
          <cell r="IO85">
            <v>0</v>
          </cell>
          <cell r="IP85">
            <v>0</v>
          </cell>
          <cell r="IQ85">
            <v>0</v>
          </cell>
          <cell r="IR85">
            <v>0</v>
          </cell>
          <cell r="IS85">
            <v>0</v>
          </cell>
          <cell r="IT85">
            <v>0</v>
          </cell>
          <cell r="IU85">
            <v>0</v>
          </cell>
          <cell r="IV85">
            <v>0</v>
          </cell>
          <cell r="IW85">
            <v>0</v>
          </cell>
          <cell r="IX85">
            <v>0</v>
          </cell>
          <cell r="IY85">
            <v>0</v>
          </cell>
          <cell r="IZ85">
            <v>0</v>
          </cell>
          <cell r="JA85">
            <v>0</v>
          </cell>
        </row>
        <row r="86">
          <cell r="E86" t="str">
            <v>DB</v>
          </cell>
          <cell r="F86">
            <v>5</v>
          </cell>
          <cell r="G86">
            <v>1.25</v>
          </cell>
          <cell r="H86">
            <v>0</v>
          </cell>
          <cell r="I86" t="b">
            <v>1</v>
          </cell>
          <cell r="L86">
            <v>0.125</v>
          </cell>
          <cell r="M86">
            <v>0.21875</v>
          </cell>
          <cell r="N86">
            <v>0.1640625</v>
          </cell>
          <cell r="O86">
            <v>0.123046875</v>
          </cell>
          <cell r="P86">
            <v>9.228515625E-2</v>
          </cell>
          <cell r="Q86">
            <v>0.27685546875</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87">
          <cell r="E87" t="str">
            <v>DB</v>
          </cell>
          <cell r="F87">
            <v>5</v>
          </cell>
          <cell r="G87">
            <v>1.25</v>
          </cell>
          <cell r="H87">
            <v>0</v>
          </cell>
          <cell r="I87" t="b">
            <v>1</v>
          </cell>
          <cell r="L87">
            <v>0.125</v>
          </cell>
          <cell r="M87">
            <v>0.21875</v>
          </cell>
          <cell r="N87">
            <v>0.1640625</v>
          </cell>
          <cell r="O87">
            <v>0.123046875</v>
          </cell>
          <cell r="P87">
            <v>9.228515625E-2</v>
          </cell>
          <cell r="Q87">
            <v>0.27685546875</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cell r="EQ87">
            <v>0</v>
          </cell>
          <cell r="ER87">
            <v>0</v>
          </cell>
          <cell r="ES87">
            <v>0</v>
          </cell>
          <cell r="ET87">
            <v>0</v>
          </cell>
          <cell r="EU87">
            <v>0</v>
          </cell>
          <cell r="EV87">
            <v>0</v>
          </cell>
          <cell r="EW87">
            <v>0</v>
          </cell>
          <cell r="EX87">
            <v>0</v>
          </cell>
          <cell r="EY87">
            <v>0</v>
          </cell>
          <cell r="EZ87">
            <v>0</v>
          </cell>
          <cell r="FA87">
            <v>0</v>
          </cell>
          <cell r="FB87">
            <v>0</v>
          </cell>
          <cell r="FC87">
            <v>0</v>
          </cell>
          <cell r="FD87">
            <v>0</v>
          </cell>
          <cell r="FE87">
            <v>0</v>
          </cell>
          <cell r="FF87">
            <v>0</v>
          </cell>
          <cell r="FG87">
            <v>0</v>
          </cell>
          <cell r="FH87">
            <v>0</v>
          </cell>
          <cell r="FI87">
            <v>0</v>
          </cell>
          <cell r="FJ87">
            <v>0</v>
          </cell>
          <cell r="FK87">
            <v>0</v>
          </cell>
          <cell r="FL87">
            <v>0</v>
          </cell>
          <cell r="FM87">
            <v>0</v>
          </cell>
          <cell r="FN87">
            <v>0</v>
          </cell>
          <cell r="FO87">
            <v>0</v>
          </cell>
          <cell r="FP87">
            <v>0</v>
          </cell>
          <cell r="FQ87">
            <v>0</v>
          </cell>
          <cell r="FR87">
            <v>0</v>
          </cell>
          <cell r="FS87">
            <v>0</v>
          </cell>
          <cell r="FT87">
            <v>0</v>
          </cell>
          <cell r="FU87">
            <v>0</v>
          </cell>
          <cell r="FV87">
            <v>0</v>
          </cell>
          <cell r="FW87">
            <v>0</v>
          </cell>
          <cell r="FX87">
            <v>0</v>
          </cell>
          <cell r="FY87">
            <v>0</v>
          </cell>
          <cell r="FZ87">
            <v>0</v>
          </cell>
          <cell r="GA87">
            <v>0</v>
          </cell>
          <cell r="GB87">
            <v>0</v>
          </cell>
          <cell r="GC87">
            <v>0</v>
          </cell>
          <cell r="GD87">
            <v>0</v>
          </cell>
          <cell r="GE87">
            <v>0</v>
          </cell>
          <cell r="GF87">
            <v>0</v>
          </cell>
          <cell r="GG87">
            <v>0</v>
          </cell>
          <cell r="GH87">
            <v>0</v>
          </cell>
          <cell r="GI87">
            <v>0</v>
          </cell>
          <cell r="GJ87">
            <v>0</v>
          </cell>
          <cell r="GK87">
            <v>0</v>
          </cell>
          <cell r="GL87">
            <v>0</v>
          </cell>
          <cell r="GM87">
            <v>0</v>
          </cell>
          <cell r="GN87">
            <v>0</v>
          </cell>
          <cell r="GO87">
            <v>0</v>
          </cell>
          <cell r="GP87">
            <v>0</v>
          </cell>
          <cell r="GQ87">
            <v>0</v>
          </cell>
          <cell r="GR87">
            <v>0</v>
          </cell>
          <cell r="GS87">
            <v>0</v>
          </cell>
          <cell r="GT87">
            <v>0</v>
          </cell>
          <cell r="GU87">
            <v>0</v>
          </cell>
          <cell r="GV87">
            <v>0</v>
          </cell>
          <cell r="GW87">
            <v>0</v>
          </cell>
          <cell r="GX87">
            <v>0</v>
          </cell>
          <cell r="GY87">
            <v>0</v>
          </cell>
          <cell r="GZ87">
            <v>0</v>
          </cell>
          <cell r="HA87">
            <v>0</v>
          </cell>
          <cell r="HB87">
            <v>0</v>
          </cell>
          <cell r="HC87">
            <v>0</v>
          </cell>
          <cell r="HD87">
            <v>0</v>
          </cell>
          <cell r="HE87">
            <v>0</v>
          </cell>
          <cell r="HF87">
            <v>0</v>
          </cell>
          <cell r="HG87">
            <v>0</v>
          </cell>
          <cell r="HH87">
            <v>0</v>
          </cell>
          <cell r="HI87">
            <v>0</v>
          </cell>
          <cell r="HJ87">
            <v>0</v>
          </cell>
          <cell r="HK87">
            <v>0</v>
          </cell>
          <cell r="HL87">
            <v>0</v>
          </cell>
          <cell r="HM87">
            <v>0</v>
          </cell>
          <cell r="HN87">
            <v>0</v>
          </cell>
          <cell r="HO87">
            <v>0</v>
          </cell>
          <cell r="HP87">
            <v>0</v>
          </cell>
          <cell r="HQ87">
            <v>0</v>
          </cell>
          <cell r="HR87">
            <v>0</v>
          </cell>
          <cell r="HS87">
            <v>0</v>
          </cell>
          <cell r="HT87">
            <v>0</v>
          </cell>
          <cell r="HU87">
            <v>0</v>
          </cell>
          <cell r="HV87">
            <v>0</v>
          </cell>
          <cell r="HW87">
            <v>0</v>
          </cell>
          <cell r="HX87">
            <v>0</v>
          </cell>
          <cell r="HY87">
            <v>0</v>
          </cell>
          <cell r="HZ87">
            <v>0</v>
          </cell>
          <cell r="IA87">
            <v>0</v>
          </cell>
          <cell r="IB87">
            <v>0</v>
          </cell>
          <cell r="IC87">
            <v>0</v>
          </cell>
          <cell r="ID87">
            <v>0</v>
          </cell>
          <cell r="IE87">
            <v>0</v>
          </cell>
          <cell r="IF87">
            <v>0</v>
          </cell>
          <cell r="IG87">
            <v>0</v>
          </cell>
          <cell r="IH87">
            <v>0</v>
          </cell>
          <cell r="II87">
            <v>0</v>
          </cell>
          <cell r="IJ87">
            <v>0</v>
          </cell>
          <cell r="IK87">
            <v>0</v>
          </cell>
          <cell r="IL87">
            <v>0</v>
          </cell>
          <cell r="IM87">
            <v>0</v>
          </cell>
          <cell r="IN87">
            <v>0</v>
          </cell>
          <cell r="IO87">
            <v>0</v>
          </cell>
          <cell r="IP87">
            <v>0</v>
          </cell>
          <cell r="IQ87">
            <v>0</v>
          </cell>
          <cell r="IR87">
            <v>0</v>
          </cell>
          <cell r="IS87">
            <v>0</v>
          </cell>
          <cell r="IT87">
            <v>0</v>
          </cell>
          <cell r="IU87">
            <v>0</v>
          </cell>
          <cell r="IV87">
            <v>0</v>
          </cell>
          <cell r="IW87">
            <v>0</v>
          </cell>
          <cell r="IX87">
            <v>0</v>
          </cell>
          <cell r="IY87">
            <v>0</v>
          </cell>
          <cell r="IZ87">
            <v>0</v>
          </cell>
          <cell r="JA87">
            <v>0</v>
          </cell>
        </row>
        <row r="88">
          <cell r="E88" t="str">
            <v>DB</v>
          </cell>
          <cell r="F88">
            <v>5</v>
          </cell>
          <cell r="G88">
            <v>1.25</v>
          </cell>
          <cell r="H88">
            <v>0</v>
          </cell>
          <cell r="I88" t="b">
            <v>1</v>
          </cell>
          <cell r="L88">
            <v>0.125</v>
          </cell>
          <cell r="M88">
            <v>0.21875</v>
          </cell>
          <cell r="N88">
            <v>0.1640625</v>
          </cell>
          <cell r="O88">
            <v>0.123046875</v>
          </cell>
          <cell r="P88">
            <v>9.228515625E-2</v>
          </cell>
          <cell r="Q88">
            <v>0.27685546875</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0.27685546875</v>
          </cell>
          <cell r="IW92">
            <v>9.228515625E-2</v>
          </cell>
          <cell r="IX92">
            <v>0.123046875</v>
          </cell>
          <cell r="IY92">
            <v>0.1640625</v>
          </cell>
          <cell r="IZ92">
            <v>0.21875</v>
          </cell>
          <cell r="JA92">
            <v>0.125</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0.27685546875</v>
          </cell>
          <cell r="IW93">
            <v>9.228515625E-2</v>
          </cell>
          <cell r="IX93">
            <v>0.123046875</v>
          </cell>
          <cell r="IY93">
            <v>0.1640625</v>
          </cell>
          <cell r="IZ93">
            <v>0.21875</v>
          </cell>
          <cell r="JA93">
            <v>0.125</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0.27685546875</v>
          </cell>
          <cell r="IW94">
            <v>9.228515625E-2</v>
          </cell>
          <cell r="IX94">
            <v>0.123046875</v>
          </cell>
          <cell r="IY94">
            <v>0.1640625</v>
          </cell>
          <cell r="IZ94">
            <v>0.21875</v>
          </cell>
          <cell r="JA94">
            <v>0.125</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0.27685546875</v>
          </cell>
          <cell r="IW95">
            <v>9.228515625E-2</v>
          </cell>
          <cell r="IX95">
            <v>0.123046875</v>
          </cell>
          <cell r="IY95">
            <v>0.1640625</v>
          </cell>
          <cell r="IZ95">
            <v>0.21875</v>
          </cell>
          <cell r="JA95">
            <v>0.125</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0.27685546875</v>
          </cell>
          <cell r="IW96">
            <v>9.228515625E-2</v>
          </cell>
          <cell r="IX96">
            <v>0.123046875</v>
          </cell>
          <cell r="IY96">
            <v>0.1640625</v>
          </cell>
          <cell r="IZ96">
            <v>0.21875</v>
          </cell>
          <cell r="JA96">
            <v>0.125</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0.27685546875</v>
          </cell>
          <cell r="IW97">
            <v>9.228515625E-2</v>
          </cell>
          <cell r="IX97">
            <v>0.123046875</v>
          </cell>
          <cell r="IY97">
            <v>0.1640625</v>
          </cell>
          <cell r="IZ97">
            <v>0.21875</v>
          </cell>
          <cell r="JA97">
            <v>0.125</v>
          </cell>
        </row>
        <row r="101">
          <cell r="E101" t="str">
            <v>DB</v>
          </cell>
          <cell r="L101">
            <v>0</v>
          </cell>
          <cell r="M101">
            <v>0</v>
          </cell>
          <cell r="N101">
            <v>0</v>
          </cell>
          <cell r="O101">
            <v>0.96510862500000005</v>
          </cell>
          <cell r="P101">
            <v>1.9260527187500001</v>
          </cell>
          <cell r="Q101">
            <v>1.6935081640625</v>
          </cell>
          <cell r="R101">
            <v>1.2894636230468752</v>
          </cell>
          <cell r="S101">
            <v>0.98265934228515628</v>
          </cell>
          <cell r="T101">
            <v>2.3586019863281247</v>
          </cell>
          <cell r="U101">
            <v>0.58288119677734351</v>
          </cell>
          <cell r="V101">
            <v>8.9664976562499998E-2</v>
          </cell>
          <cell r="W101">
            <v>9.0464926269531246E-2</v>
          </cell>
          <cell r="X101">
            <v>0.10458820166015625</v>
          </cell>
          <cell r="Y101">
            <v>0.12140958300781249</v>
          </cell>
          <cell r="Z101">
            <v>0.13915564355468751</v>
          </cell>
          <cell r="AA101">
            <v>0.12963776806640626</v>
          </cell>
          <cell r="AB101">
            <v>0.10201010449218749</v>
          </cell>
          <cell r="AC101">
            <v>8.0425775390624996E-2</v>
          </cell>
          <cell r="AD101">
            <v>0.11474136474609509</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cell r="EQ101">
            <v>0</v>
          </cell>
          <cell r="ER101">
            <v>0</v>
          </cell>
          <cell r="ES101">
            <v>0</v>
          </cell>
          <cell r="ET101">
            <v>0</v>
          </cell>
          <cell r="EU101">
            <v>0</v>
          </cell>
          <cell r="EV101">
            <v>0</v>
          </cell>
          <cell r="EW101">
            <v>0</v>
          </cell>
          <cell r="EX101">
            <v>0</v>
          </cell>
          <cell r="EY101">
            <v>0</v>
          </cell>
          <cell r="EZ101">
            <v>0</v>
          </cell>
          <cell r="FA101">
            <v>0</v>
          </cell>
          <cell r="FB101">
            <v>0</v>
          </cell>
          <cell r="FC101">
            <v>0</v>
          </cell>
          <cell r="FD101">
            <v>0</v>
          </cell>
          <cell r="FE101">
            <v>0</v>
          </cell>
          <cell r="FF101">
            <v>0</v>
          </cell>
          <cell r="FG101">
            <v>0</v>
          </cell>
          <cell r="FH101">
            <v>0</v>
          </cell>
          <cell r="FI101">
            <v>0</v>
          </cell>
          <cell r="FJ101">
            <v>0</v>
          </cell>
          <cell r="FK101">
            <v>0</v>
          </cell>
          <cell r="FL101">
            <v>0</v>
          </cell>
          <cell r="FM101">
            <v>0</v>
          </cell>
          <cell r="FN101">
            <v>0</v>
          </cell>
          <cell r="FO101">
            <v>0</v>
          </cell>
          <cell r="FP101">
            <v>0</v>
          </cell>
          <cell r="FQ101">
            <v>0</v>
          </cell>
          <cell r="FR101">
            <v>0</v>
          </cell>
          <cell r="FS101">
            <v>0</v>
          </cell>
          <cell r="FT101">
            <v>0</v>
          </cell>
          <cell r="FU101">
            <v>0</v>
          </cell>
          <cell r="FV101">
            <v>0</v>
          </cell>
          <cell r="FW101">
            <v>0</v>
          </cell>
          <cell r="FX101">
            <v>0</v>
          </cell>
          <cell r="FY101">
            <v>0</v>
          </cell>
          <cell r="FZ101">
            <v>0</v>
          </cell>
          <cell r="GA101">
            <v>0</v>
          </cell>
          <cell r="GB101">
            <v>0</v>
          </cell>
          <cell r="GC101">
            <v>0</v>
          </cell>
          <cell r="GD101">
            <v>0</v>
          </cell>
          <cell r="GE101">
            <v>0</v>
          </cell>
          <cell r="GF101">
            <v>0</v>
          </cell>
          <cell r="GG101">
            <v>0</v>
          </cell>
          <cell r="GH101">
            <v>0</v>
          </cell>
          <cell r="GI101">
            <v>0</v>
          </cell>
          <cell r="GJ101">
            <v>0</v>
          </cell>
          <cell r="GK101">
            <v>0</v>
          </cell>
          <cell r="GL101">
            <v>0</v>
          </cell>
          <cell r="GM101">
            <v>0</v>
          </cell>
          <cell r="GN101">
            <v>0</v>
          </cell>
          <cell r="GO101">
            <v>0</v>
          </cell>
          <cell r="GP101">
            <v>0</v>
          </cell>
          <cell r="GQ101">
            <v>0</v>
          </cell>
          <cell r="GR101">
            <v>0</v>
          </cell>
          <cell r="GS101">
            <v>0</v>
          </cell>
          <cell r="GT101">
            <v>0</v>
          </cell>
          <cell r="GU101">
            <v>0</v>
          </cell>
          <cell r="GV101">
            <v>0</v>
          </cell>
          <cell r="GW101">
            <v>0</v>
          </cell>
          <cell r="GX101">
            <v>0</v>
          </cell>
          <cell r="GY101">
            <v>0</v>
          </cell>
          <cell r="GZ101">
            <v>0</v>
          </cell>
          <cell r="HA101">
            <v>0</v>
          </cell>
          <cell r="HB101">
            <v>0</v>
          </cell>
          <cell r="HC101">
            <v>0</v>
          </cell>
          <cell r="HD101">
            <v>0</v>
          </cell>
          <cell r="HE101">
            <v>0</v>
          </cell>
          <cell r="HF101">
            <v>0</v>
          </cell>
          <cell r="HG101">
            <v>0</v>
          </cell>
          <cell r="HH101">
            <v>0</v>
          </cell>
          <cell r="HI101">
            <v>0</v>
          </cell>
          <cell r="HJ101">
            <v>0</v>
          </cell>
          <cell r="HK101">
            <v>0</v>
          </cell>
          <cell r="HL101">
            <v>0</v>
          </cell>
          <cell r="HM101">
            <v>0</v>
          </cell>
          <cell r="HN101">
            <v>0</v>
          </cell>
          <cell r="HO101">
            <v>0</v>
          </cell>
          <cell r="HP101">
            <v>0</v>
          </cell>
          <cell r="HQ101">
            <v>0</v>
          </cell>
          <cell r="HR101">
            <v>0</v>
          </cell>
          <cell r="HS101">
            <v>0</v>
          </cell>
          <cell r="HT101">
            <v>0</v>
          </cell>
          <cell r="HU101">
            <v>0</v>
          </cell>
          <cell r="HV101">
            <v>0</v>
          </cell>
          <cell r="HW101">
            <v>0</v>
          </cell>
          <cell r="HX101">
            <v>0</v>
          </cell>
          <cell r="HY101">
            <v>0</v>
          </cell>
          <cell r="HZ101">
            <v>0</v>
          </cell>
          <cell r="IA101">
            <v>0</v>
          </cell>
          <cell r="IB101">
            <v>0</v>
          </cell>
          <cell r="IC101">
            <v>0</v>
          </cell>
          <cell r="ID101">
            <v>0</v>
          </cell>
          <cell r="IE101">
            <v>0</v>
          </cell>
          <cell r="IF101">
            <v>0</v>
          </cell>
          <cell r="IG101">
            <v>0</v>
          </cell>
          <cell r="IH101">
            <v>0</v>
          </cell>
          <cell r="II101">
            <v>0</v>
          </cell>
          <cell r="IJ101">
            <v>0</v>
          </cell>
          <cell r="IK101">
            <v>0</v>
          </cell>
          <cell r="IL101">
            <v>0</v>
          </cell>
          <cell r="IM101">
            <v>0</v>
          </cell>
          <cell r="IN101">
            <v>0</v>
          </cell>
          <cell r="IO101">
            <v>0</v>
          </cell>
          <cell r="IP101">
            <v>0</v>
          </cell>
          <cell r="IQ101">
            <v>0</v>
          </cell>
          <cell r="IR101">
            <v>0</v>
          </cell>
          <cell r="IS101">
            <v>0</v>
          </cell>
          <cell r="IT101">
            <v>0</v>
          </cell>
          <cell r="IU101">
            <v>0</v>
          </cell>
          <cell r="IV101">
            <v>0</v>
          </cell>
          <cell r="IW101">
            <v>0</v>
          </cell>
          <cell r="IX101">
            <v>0</v>
          </cell>
          <cell r="IY101">
            <v>0</v>
          </cell>
          <cell r="IZ101">
            <v>0</v>
          </cell>
          <cell r="JA101">
            <v>0</v>
          </cell>
        </row>
        <row r="102">
          <cell r="E102" t="str">
            <v>DB</v>
          </cell>
          <cell r="L102">
            <v>0</v>
          </cell>
          <cell r="M102">
            <v>0</v>
          </cell>
          <cell r="N102">
            <v>0</v>
          </cell>
          <cell r="O102">
            <v>0.78169600000000006</v>
          </cell>
          <cell r="P102">
            <v>1.566471875</v>
          </cell>
          <cell r="Q102">
            <v>1.3832834062499999</v>
          </cell>
          <cell r="R102">
            <v>1.0536474296875002</v>
          </cell>
          <cell r="S102">
            <v>0.80326332226562502</v>
          </cell>
          <cell r="T102">
            <v>1.916380616699219</v>
          </cell>
          <cell r="U102">
            <v>0.48797163769531254</v>
          </cell>
          <cell r="V102">
            <v>7.5065334472656245E-2</v>
          </cell>
          <cell r="W102">
            <v>7.57347900390625E-2</v>
          </cell>
          <cell r="X102">
            <v>8.7557649414062508E-2</v>
          </cell>
          <cell r="Y102">
            <v>0.1016404990234375</v>
          </cell>
          <cell r="Z102">
            <v>0.11649706884765625</v>
          </cell>
          <cell r="AA102">
            <v>0.10852867333984376</v>
          </cell>
          <cell r="AB102">
            <v>8.5399627441406251E-2</v>
          </cell>
          <cell r="AC102">
            <v>6.7329834960937501E-2</v>
          </cell>
          <cell r="AD102">
            <v>9.6058234863285463E-2</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cell r="EQ102">
            <v>0</v>
          </cell>
          <cell r="ER102">
            <v>0</v>
          </cell>
          <cell r="ES102">
            <v>0</v>
          </cell>
          <cell r="ET102">
            <v>0</v>
          </cell>
          <cell r="EU102">
            <v>0</v>
          </cell>
          <cell r="EV102">
            <v>0</v>
          </cell>
          <cell r="EW102">
            <v>0</v>
          </cell>
          <cell r="EX102">
            <v>0</v>
          </cell>
          <cell r="EY102">
            <v>0</v>
          </cell>
          <cell r="EZ102">
            <v>0</v>
          </cell>
          <cell r="FA102">
            <v>0</v>
          </cell>
          <cell r="FB102">
            <v>0</v>
          </cell>
          <cell r="FC102">
            <v>0</v>
          </cell>
          <cell r="FD102">
            <v>0</v>
          </cell>
          <cell r="FE102">
            <v>0</v>
          </cell>
          <cell r="FF102">
            <v>0</v>
          </cell>
          <cell r="FG102">
            <v>0</v>
          </cell>
          <cell r="FH102">
            <v>0</v>
          </cell>
          <cell r="FI102">
            <v>0</v>
          </cell>
          <cell r="FJ102">
            <v>0</v>
          </cell>
          <cell r="FK102">
            <v>0</v>
          </cell>
          <cell r="FL102">
            <v>0</v>
          </cell>
          <cell r="FM102">
            <v>0</v>
          </cell>
          <cell r="FN102">
            <v>0</v>
          </cell>
          <cell r="FO102">
            <v>0</v>
          </cell>
          <cell r="FP102">
            <v>0</v>
          </cell>
          <cell r="FQ102">
            <v>0</v>
          </cell>
          <cell r="FR102">
            <v>0</v>
          </cell>
          <cell r="FS102">
            <v>0</v>
          </cell>
          <cell r="FT102">
            <v>0</v>
          </cell>
          <cell r="FU102">
            <v>0</v>
          </cell>
          <cell r="FV102">
            <v>0</v>
          </cell>
          <cell r="FW102">
            <v>0</v>
          </cell>
          <cell r="FX102">
            <v>0</v>
          </cell>
          <cell r="FY102">
            <v>0</v>
          </cell>
          <cell r="FZ102">
            <v>0</v>
          </cell>
          <cell r="GA102">
            <v>0</v>
          </cell>
          <cell r="GB102">
            <v>0</v>
          </cell>
          <cell r="GC102">
            <v>0</v>
          </cell>
          <cell r="GD102">
            <v>0</v>
          </cell>
          <cell r="GE102">
            <v>0</v>
          </cell>
          <cell r="GF102">
            <v>0</v>
          </cell>
          <cell r="GG102">
            <v>0</v>
          </cell>
          <cell r="GH102">
            <v>0</v>
          </cell>
          <cell r="GI102">
            <v>0</v>
          </cell>
          <cell r="GJ102">
            <v>0</v>
          </cell>
          <cell r="GK102">
            <v>0</v>
          </cell>
          <cell r="GL102">
            <v>0</v>
          </cell>
          <cell r="GM102">
            <v>0</v>
          </cell>
          <cell r="GN102">
            <v>0</v>
          </cell>
          <cell r="GO102">
            <v>0</v>
          </cell>
          <cell r="GP102">
            <v>0</v>
          </cell>
          <cell r="GQ102">
            <v>0</v>
          </cell>
          <cell r="GR102">
            <v>0</v>
          </cell>
          <cell r="GS102">
            <v>0</v>
          </cell>
          <cell r="GT102">
            <v>0</v>
          </cell>
          <cell r="GU102">
            <v>0</v>
          </cell>
          <cell r="GV102">
            <v>0</v>
          </cell>
          <cell r="GW102">
            <v>0</v>
          </cell>
          <cell r="GX102">
            <v>0</v>
          </cell>
          <cell r="GY102">
            <v>0</v>
          </cell>
          <cell r="GZ102">
            <v>0</v>
          </cell>
          <cell r="HA102">
            <v>0</v>
          </cell>
          <cell r="HB102">
            <v>0</v>
          </cell>
          <cell r="HC102">
            <v>0</v>
          </cell>
          <cell r="HD102">
            <v>0</v>
          </cell>
          <cell r="HE102">
            <v>0</v>
          </cell>
          <cell r="HF102">
            <v>0</v>
          </cell>
          <cell r="HG102">
            <v>0</v>
          </cell>
          <cell r="HH102">
            <v>0</v>
          </cell>
          <cell r="HI102">
            <v>0</v>
          </cell>
          <cell r="HJ102">
            <v>0</v>
          </cell>
          <cell r="HK102">
            <v>0</v>
          </cell>
          <cell r="HL102">
            <v>0</v>
          </cell>
          <cell r="HM102">
            <v>0</v>
          </cell>
          <cell r="HN102">
            <v>0</v>
          </cell>
          <cell r="HO102">
            <v>0</v>
          </cell>
          <cell r="HP102">
            <v>0</v>
          </cell>
          <cell r="HQ102">
            <v>0</v>
          </cell>
          <cell r="HR102">
            <v>0</v>
          </cell>
          <cell r="HS102">
            <v>0</v>
          </cell>
          <cell r="HT102">
            <v>0</v>
          </cell>
          <cell r="HU102">
            <v>0</v>
          </cell>
          <cell r="HV102">
            <v>0</v>
          </cell>
          <cell r="HW102">
            <v>0</v>
          </cell>
          <cell r="HX102">
            <v>0</v>
          </cell>
          <cell r="HY102">
            <v>0</v>
          </cell>
          <cell r="HZ102">
            <v>0</v>
          </cell>
          <cell r="IA102">
            <v>0</v>
          </cell>
          <cell r="IB102">
            <v>0</v>
          </cell>
          <cell r="IC102">
            <v>0</v>
          </cell>
          <cell r="ID102">
            <v>0</v>
          </cell>
          <cell r="IE102">
            <v>0</v>
          </cell>
          <cell r="IF102">
            <v>0</v>
          </cell>
          <cell r="IG102">
            <v>0</v>
          </cell>
          <cell r="IH102">
            <v>0</v>
          </cell>
          <cell r="II102">
            <v>0</v>
          </cell>
          <cell r="IJ102">
            <v>0</v>
          </cell>
          <cell r="IK102">
            <v>0</v>
          </cell>
          <cell r="IL102">
            <v>0</v>
          </cell>
          <cell r="IM102">
            <v>0</v>
          </cell>
          <cell r="IN102">
            <v>0</v>
          </cell>
          <cell r="IO102">
            <v>0</v>
          </cell>
          <cell r="IP102">
            <v>0</v>
          </cell>
          <cell r="IQ102">
            <v>0</v>
          </cell>
          <cell r="IR102">
            <v>0</v>
          </cell>
          <cell r="IS102">
            <v>0</v>
          </cell>
          <cell r="IT102">
            <v>0</v>
          </cell>
          <cell r="IU102">
            <v>0</v>
          </cell>
          <cell r="IV102">
            <v>0</v>
          </cell>
          <cell r="IW102">
            <v>0</v>
          </cell>
          <cell r="IX102">
            <v>0</v>
          </cell>
          <cell r="IY102">
            <v>0</v>
          </cell>
          <cell r="IZ102">
            <v>0</v>
          </cell>
          <cell r="JA102">
            <v>0</v>
          </cell>
        </row>
        <row r="103">
          <cell r="E103" t="str">
            <v>DB</v>
          </cell>
          <cell r="L103">
            <v>0</v>
          </cell>
          <cell r="M103">
            <v>0</v>
          </cell>
          <cell r="N103">
            <v>0</v>
          </cell>
          <cell r="O103">
            <v>12.36874325</v>
          </cell>
          <cell r="P103">
            <v>21.645300687500001</v>
          </cell>
          <cell r="Q103">
            <v>16.233975515624998</v>
          </cell>
          <cell r="R103">
            <v>12.17548163671875</v>
          </cell>
          <cell r="S103">
            <v>9.1316112275390626</v>
          </cell>
          <cell r="T103">
            <v>27.394833682617186</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E104" t="str">
            <v>DB</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E105" t="str">
            <v>DB</v>
          </cell>
          <cell r="L105">
            <v>0</v>
          </cell>
          <cell r="M105">
            <v>0</v>
          </cell>
          <cell r="N105">
            <v>0</v>
          </cell>
          <cell r="O105">
            <v>0.88047187500000001</v>
          </cell>
          <cell r="P105">
            <v>1.5408257812500001</v>
          </cell>
          <cell r="Q105">
            <v>1.1556193359375</v>
          </cell>
          <cell r="R105">
            <v>0.86671450195312505</v>
          </cell>
          <cell r="S105">
            <v>0.65003587646484373</v>
          </cell>
          <cell r="T105">
            <v>1.9501076293945312</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E106" t="str">
            <v>DB</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14.99601975</v>
          </cell>
          <cell r="P107">
            <v>26.678651062500002</v>
          </cell>
          <cell r="Q107">
            <v>20.466386421875001</v>
          </cell>
          <cell r="R107">
            <v>15.38530719140625</v>
          </cell>
          <cell r="S107">
            <v>11.567569768554687</v>
          </cell>
          <cell r="T107">
            <v>33.61992391503906</v>
          </cell>
          <cell r="U107">
            <v>1.070852834472656</v>
          </cell>
          <cell r="V107">
            <v>0.16473031103515623</v>
          </cell>
          <cell r="W107">
            <v>0.16619971630859376</v>
          </cell>
          <cell r="X107">
            <v>0.19214585107421878</v>
          </cell>
          <cell r="Y107">
            <v>0.22305008203124999</v>
          </cell>
          <cell r="Z107">
            <v>0.25565271240234377</v>
          </cell>
          <cell r="AA107">
            <v>0.23816644140625001</v>
          </cell>
          <cell r="AB107">
            <v>0.18740973193359373</v>
          </cell>
          <cell r="AC107">
            <v>0.14775561035156248</v>
          </cell>
          <cell r="AD107">
            <v>0.21079959960938055</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sheetData>
      <sheetData sheetId="5">
        <row r="11">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2">
          <cell r="L12">
            <v>0</v>
          </cell>
          <cell r="M12">
            <v>0</v>
          </cell>
          <cell r="N12">
            <v>0</v>
          </cell>
          <cell r="O12">
            <v>6.4799999999999996E-2</v>
          </cell>
          <cell r="P12">
            <v>3.8122449</v>
          </cell>
          <cell r="Q12">
            <v>4.1202388980000002</v>
          </cell>
          <cell r="R12">
            <v>4.2026436759600001</v>
          </cell>
          <cell r="S12">
            <v>4.2866967078889999</v>
          </cell>
          <cell r="T12">
            <v>4.3724304677959998</v>
          </cell>
          <cell r="U12">
            <v>4.459879013788</v>
          </cell>
          <cell r="V12">
            <v>4.5490764039720002</v>
          </cell>
          <cell r="W12">
            <v>4.6400582805530002</v>
          </cell>
          <cell r="X12">
            <v>4.730217547434</v>
          </cell>
          <cell r="Y12">
            <v>4.7978766287920003</v>
          </cell>
          <cell r="Z12">
            <v>4.8665052328799998</v>
          </cell>
          <cell r="AA12">
            <v>4.9365741356190007</v>
          </cell>
          <cell r="AB12">
            <v>5.0073247674449997</v>
          </cell>
          <cell r="AC12">
            <v>5.0791357187800008</v>
          </cell>
          <cell r="AD12">
            <v>4.6809774005940001</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N12">
            <v>0</v>
          </cell>
          <cell r="DO12">
            <v>0</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cell r="EQ12">
            <v>0</v>
          </cell>
          <cell r="ER12">
            <v>0</v>
          </cell>
          <cell r="ES12">
            <v>0</v>
          </cell>
          <cell r="ET12">
            <v>0</v>
          </cell>
          <cell r="EU12">
            <v>0</v>
          </cell>
          <cell r="EV12">
            <v>0</v>
          </cell>
          <cell r="EW12">
            <v>0</v>
          </cell>
          <cell r="EX12">
            <v>0</v>
          </cell>
          <cell r="EY12">
            <v>0</v>
          </cell>
          <cell r="EZ12">
            <v>0</v>
          </cell>
          <cell r="FA12">
            <v>0</v>
          </cell>
          <cell r="FB12">
            <v>0</v>
          </cell>
          <cell r="FC12">
            <v>0</v>
          </cell>
          <cell r="FD12">
            <v>0</v>
          </cell>
          <cell r="FE12">
            <v>0</v>
          </cell>
          <cell r="FF12">
            <v>0</v>
          </cell>
          <cell r="FG12">
            <v>0</v>
          </cell>
          <cell r="FH12">
            <v>0</v>
          </cell>
          <cell r="FI12">
            <v>0</v>
          </cell>
          <cell r="FJ12">
            <v>0</v>
          </cell>
          <cell r="FK12">
            <v>0</v>
          </cell>
          <cell r="FL12">
            <v>0</v>
          </cell>
          <cell r="FM12">
            <v>0</v>
          </cell>
          <cell r="FN12">
            <v>0</v>
          </cell>
          <cell r="FO12">
            <v>0</v>
          </cell>
          <cell r="FP12">
            <v>0</v>
          </cell>
          <cell r="FQ12">
            <v>0</v>
          </cell>
          <cell r="FR12">
            <v>0</v>
          </cell>
          <cell r="FS12">
            <v>0</v>
          </cell>
          <cell r="FT12">
            <v>0</v>
          </cell>
          <cell r="FU12">
            <v>0</v>
          </cell>
          <cell r="FV12">
            <v>0</v>
          </cell>
          <cell r="FW12">
            <v>0</v>
          </cell>
          <cell r="FX12">
            <v>0</v>
          </cell>
          <cell r="FY12">
            <v>0</v>
          </cell>
          <cell r="FZ12">
            <v>0</v>
          </cell>
          <cell r="GA12">
            <v>0</v>
          </cell>
          <cell r="GB12">
            <v>0</v>
          </cell>
          <cell r="GC12">
            <v>0</v>
          </cell>
          <cell r="GD12">
            <v>0</v>
          </cell>
          <cell r="GE12">
            <v>0</v>
          </cell>
          <cell r="GF12">
            <v>0</v>
          </cell>
          <cell r="GG12">
            <v>0</v>
          </cell>
          <cell r="GH12">
            <v>0</v>
          </cell>
          <cell r="GI12">
            <v>0</v>
          </cell>
          <cell r="GJ12">
            <v>0</v>
          </cell>
          <cell r="GK12">
            <v>0</v>
          </cell>
          <cell r="GL12">
            <v>0</v>
          </cell>
          <cell r="GM12">
            <v>0</v>
          </cell>
          <cell r="GN12">
            <v>0</v>
          </cell>
          <cell r="GO12">
            <v>0</v>
          </cell>
          <cell r="GP12">
            <v>0</v>
          </cell>
          <cell r="GQ12">
            <v>0</v>
          </cell>
          <cell r="GR12">
            <v>0</v>
          </cell>
          <cell r="GS12">
            <v>0</v>
          </cell>
          <cell r="GT12">
            <v>0</v>
          </cell>
          <cell r="GU12">
            <v>0</v>
          </cell>
          <cell r="GV12">
            <v>0</v>
          </cell>
          <cell r="GW12">
            <v>0</v>
          </cell>
          <cell r="GX12">
            <v>0</v>
          </cell>
          <cell r="GY12">
            <v>0</v>
          </cell>
          <cell r="GZ12">
            <v>0</v>
          </cell>
          <cell r="HA12">
            <v>0</v>
          </cell>
          <cell r="HB12">
            <v>0</v>
          </cell>
          <cell r="HC12">
            <v>0</v>
          </cell>
          <cell r="HD12">
            <v>0</v>
          </cell>
          <cell r="HE12">
            <v>0</v>
          </cell>
          <cell r="HF12">
            <v>0</v>
          </cell>
          <cell r="HG12">
            <v>0</v>
          </cell>
          <cell r="HH12">
            <v>0</v>
          </cell>
          <cell r="HI12">
            <v>0</v>
          </cell>
          <cell r="HJ12">
            <v>0</v>
          </cell>
          <cell r="HK12">
            <v>0</v>
          </cell>
          <cell r="HL12">
            <v>0</v>
          </cell>
          <cell r="HM12">
            <v>0</v>
          </cell>
          <cell r="HN12">
            <v>0</v>
          </cell>
          <cell r="HO12">
            <v>0</v>
          </cell>
          <cell r="HP12">
            <v>0</v>
          </cell>
          <cell r="HQ12">
            <v>0</v>
          </cell>
          <cell r="HR12">
            <v>0</v>
          </cell>
          <cell r="HS12">
            <v>0</v>
          </cell>
          <cell r="HT12">
            <v>0</v>
          </cell>
          <cell r="HU12">
            <v>0</v>
          </cell>
          <cell r="HV12">
            <v>0</v>
          </cell>
          <cell r="HW12">
            <v>0</v>
          </cell>
          <cell r="HX12">
            <v>0</v>
          </cell>
          <cell r="HY12">
            <v>0</v>
          </cell>
          <cell r="HZ12">
            <v>0</v>
          </cell>
          <cell r="IA12">
            <v>0</v>
          </cell>
          <cell r="IB12">
            <v>0</v>
          </cell>
          <cell r="IC12">
            <v>0</v>
          </cell>
          <cell r="ID12">
            <v>0</v>
          </cell>
          <cell r="IE12">
            <v>0</v>
          </cell>
          <cell r="IF12">
            <v>0</v>
          </cell>
          <cell r="IG12">
            <v>0</v>
          </cell>
          <cell r="IH12">
            <v>0</v>
          </cell>
          <cell r="II12">
            <v>0</v>
          </cell>
          <cell r="IJ12">
            <v>0</v>
          </cell>
          <cell r="IK12">
            <v>0</v>
          </cell>
          <cell r="IL12">
            <v>0</v>
          </cell>
          <cell r="IM12">
            <v>0</v>
          </cell>
          <cell r="IN12">
            <v>0</v>
          </cell>
          <cell r="IO12">
            <v>0</v>
          </cell>
          <cell r="IP12">
            <v>0</v>
          </cell>
          <cell r="IQ12">
            <v>0</v>
          </cell>
          <cell r="IR12">
            <v>0</v>
          </cell>
          <cell r="IS12">
            <v>0</v>
          </cell>
          <cell r="IT12">
            <v>0</v>
          </cell>
          <cell r="IU12">
            <v>0</v>
          </cell>
          <cell r="IV12">
            <v>0</v>
          </cell>
          <cell r="IW12">
            <v>0</v>
          </cell>
          <cell r="IX12">
            <v>0</v>
          </cell>
          <cell r="IY12">
            <v>0</v>
          </cell>
          <cell r="IZ12">
            <v>0</v>
          </cell>
          <cell r="JA12">
            <v>0</v>
          </cell>
        </row>
        <row r="13">
          <cell r="L13">
            <v>0</v>
          </cell>
          <cell r="M13">
            <v>0</v>
          </cell>
          <cell r="N13">
            <v>0</v>
          </cell>
          <cell r="O13">
            <v>0.41595826949999992</v>
          </cell>
          <cell r="P13">
            <v>34.911947527500004</v>
          </cell>
          <cell r="Q13">
            <v>27.481357749999997</v>
          </cell>
          <cell r="R13">
            <v>28.030983477396997</v>
          </cell>
          <cell r="S13">
            <v>28.591603175496992</v>
          </cell>
          <cell r="T13">
            <v>29.163437052062744</v>
          </cell>
          <cell r="U13">
            <v>29.746705671757752</v>
          </cell>
          <cell r="V13">
            <v>30.341639235565751</v>
          </cell>
          <cell r="W13">
            <v>30.948472584180248</v>
          </cell>
          <cell r="X13">
            <v>31.549794310688746</v>
          </cell>
          <cell r="Y13">
            <v>32.001064710125199</v>
          </cell>
          <cell r="Z13">
            <v>32.458813372928795</v>
          </cell>
          <cell r="AA13">
            <v>32.926172951641007</v>
          </cell>
          <cell r="AB13">
            <v>33.398061412141793</v>
          </cell>
          <cell r="AC13">
            <v>33.8770461528715</v>
          </cell>
          <cell r="AD13">
            <v>31.221339758972995</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cell r="EQ13">
            <v>0</v>
          </cell>
          <cell r="ER13">
            <v>0</v>
          </cell>
          <cell r="ES13">
            <v>0</v>
          </cell>
          <cell r="ET13">
            <v>0</v>
          </cell>
          <cell r="EU13">
            <v>0</v>
          </cell>
          <cell r="EV13">
            <v>0</v>
          </cell>
          <cell r="EW13">
            <v>0</v>
          </cell>
          <cell r="EX13">
            <v>0</v>
          </cell>
          <cell r="EY13">
            <v>0</v>
          </cell>
          <cell r="EZ13">
            <v>0</v>
          </cell>
          <cell r="FA13">
            <v>0</v>
          </cell>
          <cell r="FB13">
            <v>0</v>
          </cell>
          <cell r="FC13">
            <v>0</v>
          </cell>
          <cell r="FD13">
            <v>0</v>
          </cell>
          <cell r="FE13">
            <v>0</v>
          </cell>
          <cell r="FF13">
            <v>0</v>
          </cell>
          <cell r="FG13">
            <v>0</v>
          </cell>
          <cell r="FH13">
            <v>0</v>
          </cell>
          <cell r="FI13">
            <v>0</v>
          </cell>
          <cell r="FJ13">
            <v>0</v>
          </cell>
          <cell r="FK13">
            <v>0</v>
          </cell>
          <cell r="FL13">
            <v>0</v>
          </cell>
          <cell r="FM13">
            <v>0</v>
          </cell>
          <cell r="FN13">
            <v>0</v>
          </cell>
          <cell r="FO13">
            <v>0</v>
          </cell>
          <cell r="FP13">
            <v>0</v>
          </cell>
          <cell r="FQ13">
            <v>0</v>
          </cell>
          <cell r="FR13">
            <v>0</v>
          </cell>
          <cell r="FS13">
            <v>0</v>
          </cell>
          <cell r="FT13">
            <v>0</v>
          </cell>
          <cell r="FU13">
            <v>0</v>
          </cell>
          <cell r="FV13">
            <v>0</v>
          </cell>
          <cell r="FW13">
            <v>0</v>
          </cell>
          <cell r="FX13">
            <v>0</v>
          </cell>
          <cell r="FY13">
            <v>0</v>
          </cell>
          <cell r="FZ13">
            <v>0</v>
          </cell>
          <cell r="GA13">
            <v>0</v>
          </cell>
          <cell r="GB13">
            <v>0</v>
          </cell>
          <cell r="GC13">
            <v>0</v>
          </cell>
          <cell r="GD13">
            <v>0</v>
          </cell>
          <cell r="GE13">
            <v>0</v>
          </cell>
          <cell r="GF13">
            <v>0</v>
          </cell>
          <cell r="GG13">
            <v>0</v>
          </cell>
          <cell r="GH13">
            <v>0</v>
          </cell>
          <cell r="GI13">
            <v>0</v>
          </cell>
          <cell r="GJ13">
            <v>0</v>
          </cell>
          <cell r="GK13">
            <v>0</v>
          </cell>
          <cell r="GL13">
            <v>0</v>
          </cell>
          <cell r="GM13">
            <v>0</v>
          </cell>
          <cell r="GN13">
            <v>0</v>
          </cell>
          <cell r="GO13">
            <v>0</v>
          </cell>
          <cell r="GP13">
            <v>0</v>
          </cell>
          <cell r="GQ13">
            <v>0</v>
          </cell>
          <cell r="GR13">
            <v>0</v>
          </cell>
          <cell r="GS13">
            <v>0</v>
          </cell>
          <cell r="GT13">
            <v>0</v>
          </cell>
          <cell r="GU13">
            <v>0</v>
          </cell>
          <cell r="GV13">
            <v>0</v>
          </cell>
          <cell r="GW13">
            <v>0</v>
          </cell>
          <cell r="GX13">
            <v>0</v>
          </cell>
          <cell r="GY13">
            <v>0</v>
          </cell>
          <cell r="GZ13">
            <v>0</v>
          </cell>
          <cell r="HA13">
            <v>0</v>
          </cell>
          <cell r="HB13">
            <v>0</v>
          </cell>
          <cell r="HC13">
            <v>0</v>
          </cell>
          <cell r="HD13">
            <v>0</v>
          </cell>
          <cell r="HE13">
            <v>0</v>
          </cell>
          <cell r="HF13">
            <v>0</v>
          </cell>
          <cell r="HG13">
            <v>0</v>
          </cell>
          <cell r="HH13">
            <v>0</v>
          </cell>
          <cell r="HI13">
            <v>0</v>
          </cell>
          <cell r="HJ13">
            <v>0</v>
          </cell>
          <cell r="HK13">
            <v>0</v>
          </cell>
          <cell r="HL13">
            <v>0</v>
          </cell>
          <cell r="HM13">
            <v>0</v>
          </cell>
          <cell r="HN13">
            <v>0</v>
          </cell>
          <cell r="HO13">
            <v>0</v>
          </cell>
          <cell r="HP13">
            <v>0</v>
          </cell>
          <cell r="HQ13">
            <v>0</v>
          </cell>
          <cell r="HR13">
            <v>0</v>
          </cell>
          <cell r="HS13">
            <v>0</v>
          </cell>
          <cell r="HT13">
            <v>0</v>
          </cell>
          <cell r="HU13">
            <v>0</v>
          </cell>
          <cell r="HV13">
            <v>0</v>
          </cell>
          <cell r="HW13">
            <v>0</v>
          </cell>
          <cell r="HX13">
            <v>0</v>
          </cell>
          <cell r="HY13">
            <v>0</v>
          </cell>
          <cell r="HZ13">
            <v>0</v>
          </cell>
          <cell r="IA13">
            <v>0</v>
          </cell>
          <cell r="IB13">
            <v>0</v>
          </cell>
          <cell r="IC13">
            <v>0</v>
          </cell>
          <cell r="ID13">
            <v>0</v>
          </cell>
          <cell r="IE13">
            <v>0</v>
          </cell>
          <cell r="IF13">
            <v>0</v>
          </cell>
          <cell r="IG13">
            <v>0</v>
          </cell>
          <cell r="IH13">
            <v>0</v>
          </cell>
          <cell r="II13">
            <v>0</v>
          </cell>
          <cell r="IJ13">
            <v>0</v>
          </cell>
          <cell r="IK13">
            <v>0</v>
          </cell>
          <cell r="IL13">
            <v>0</v>
          </cell>
          <cell r="IM13">
            <v>0</v>
          </cell>
          <cell r="IN13">
            <v>0</v>
          </cell>
          <cell r="IO13">
            <v>0</v>
          </cell>
          <cell r="IP13">
            <v>0</v>
          </cell>
          <cell r="IQ13">
            <v>0</v>
          </cell>
          <cell r="IR13">
            <v>0</v>
          </cell>
          <cell r="IS13">
            <v>0</v>
          </cell>
          <cell r="IT13">
            <v>0</v>
          </cell>
          <cell r="IU13">
            <v>0</v>
          </cell>
          <cell r="IV13">
            <v>0</v>
          </cell>
          <cell r="IW13">
            <v>0</v>
          </cell>
          <cell r="IX13">
            <v>0</v>
          </cell>
          <cell r="IY13">
            <v>0</v>
          </cell>
          <cell r="IZ13">
            <v>0</v>
          </cell>
          <cell r="JA13">
            <v>0</v>
          </cell>
        </row>
        <row r="14">
          <cell r="L14">
            <v>0</v>
          </cell>
          <cell r="M14">
            <v>0</v>
          </cell>
          <cell r="N14">
            <v>0</v>
          </cell>
          <cell r="O14">
            <v>0.48075826949999989</v>
          </cell>
          <cell r="P14">
            <v>38.724192427500007</v>
          </cell>
          <cell r="Q14">
            <v>31.601596647999997</v>
          </cell>
          <cell r="R14">
            <v>32.233627153356998</v>
          </cell>
          <cell r="S14">
            <v>32.878299883385992</v>
          </cell>
          <cell r="T14">
            <v>33.535867519858741</v>
          </cell>
          <cell r="U14">
            <v>34.206584685545749</v>
          </cell>
          <cell r="V14">
            <v>34.890715639537753</v>
          </cell>
          <cell r="W14">
            <v>35.588530864733251</v>
          </cell>
          <cell r="X14">
            <v>36.280011858122748</v>
          </cell>
          <cell r="Y14">
            <v>36.798941338917203</v>
          </cell>
          <cell r="Z14">
            <v>37.325318605808796</v>
          </cell>
          <cell r="AA14">
            <v>37.862747087260004</v>
          </cell>
          <cell r="AB14">
            <v>38.405386179586792</v>
          </cell>
          <cell r="AC14">
            <v>38.956181871651502</v>
          </cell>
          <cell r="AD14">
            <v>35.902317159566998</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cell r="EQ14">
            <v>0</v>
          </cell>
          <cell r="ER14">
            <v>0</v>
          </cell>
          <cell r="ES14">
            <v>0</v>
          </cell>
          <cell r="ET14">
            <v>0</v>
          </cell>
          <cell r="EU14">
            <v>0</v>
          </cell>
          <cell r="EV14">
            <v>0</v>
          </cell>
          <cell r="EW14">
            <v>0</v>
          </cell>
          <cell r="EX14">
            <v>0</v>
          </cell>
          <cell r="EY14">
            <v>0</v>
          </cell>
          <cell r="EZ14">
            <v>0</v>
          </cell>
          <cell r="FA14">
            <v>0</v>
          </cell>
          <cell r="FB14">
            <v>0</v>
          </cell>
          <cell r="FC14">
            <v>0</v>
          </cell>
          <cell r="FD14">
            <v>0</v>
          </cell>
          <cell r="FE14">
            <v>0</v>
          </cell>
          <cell r="FF14">
            <v>0</v>
          </cell>
          <cell r="FG14">
            <v>0</v>
          </cell>
          <cell r="FH14">
            <v>0</v>
          </cell>
          <cell r="FI14">
            <v>0</v>
          </cell>
          <cell r="FJ14">
            <v>0</v>
          </cell>
          <cell r="FK14">
            <v>0</v>
          </cell>
          <cell r="FL14">
            <v>0</v>
          </cell>
          <cell r="FM14">
            <v>0</v>
          </cell>
          <cell r="FN14">
            <v>0</v>
          </cell>
          <cell r="FO14">
            <v>0</v>
          </cell>
          <cell r="FP14">
            <v>0</v>
          </cell>
          <cell r="FQ14">
            <v>0</v>
          </cell>
          <cell r="FR14">
            <v>0</v>
          </cell>
          <cell r="FS14">
            <v>0</v>
          </cell>
          <cell r="FT14">
            <v>0</v>
          </cell>
          <cell r="FU14">
            <v>0</v>
          </cell>
          <cell r="FV14">
            <v>0</v>
          </cell>
          <cell r="FW14">
            <v>0</v>
          </cell>
          <cell r="FX14">
            <v>0</v>
          </cell>
          <cell r="FY14">
            <v>0</v>
          </cell>
          <cell r="FZ14">
            <v>0</v>
          </cell>
          <cell r="GA14">
            <v>0</v>
          </cell>
          <cell r="GB14">
            <v>0</v>
          </cell>
          <cell r="GC14">
            <v>0</v>
          </cell>
          <cell r="GD14">
            <v>0</v>
          </cell>
          <cell r="GE14">
            <v>0</v>
          </cell>
          <cell r="GF14">
            <v>0</v>
          </cell>
          <cell r="GG14">
            <v>0</v>
          </cell>
          <cell r="GH14">
            <v>0</v>
          </cell>
          <cell r="GI14">
            <v>0</v>
          </cell>
          <cell r="GJ14">
            <v>0</v>
          </cell>
          <cell r="GK14">
            <v>0</v>
          </cell>
          <cell r="GL14">
            <v>0</v>
          </cell>
          <cell r="GM14">
            <v>0</v>
          </cell>
          <cell r="GN14">
            <v>0</v>
          </cell>
          <cell r="GO14">
            <v>0</v>
          </cell>
          <cell r="GP14">
            <v>0</v>
          </cell>
          <cell r="GQ14">
            <v>0</v>
          </cell>
          <cell r="GR14">
            <v>0</v>
          </cell>
          <cell r="GS14">
            <v>0</v>
          </cell>
          <cell r="GT14">
            <v>0</v>
          </cell>
          <cell r="GU14">
            <v>0</v>
          </cell>
          <cell r="GV14">
            <v>0</v>
          </cell>
          <cell r="GW14">
            <v>0</v>
          </cell>
          <cell r="GX14">
            <v>0</v>
          </cell>
          <cell r="GY14">
            <v>0</v>
          </cell>
          <cell r="GZ14">
            <v>0</v>
          </cell>
          <cell r="HA14">
            <v>0</v>
          </cell>
          <cell r="HB14">
            <v>0</v>
          </cell>
          <cell r="HC14">
            <v>0</v>
          </cell>
          <cell r="HD14">
            <v>0</v>
          </cell>
          <cell r="HE14">
            <v>0</v>
          </cell>
          <cell r="HF14">
            <v>0</v>
          </cell>
          <cell r="HG14">
            <v>0</v>
          </cell>
          <cell r="HH14">
            <v>0</v>
          </cell>
          <cell r="HI14">
            <v>0</v>
          </cell>
          <cell r="HJ14">
            <v>0</v>
          </cell>
          <cell r="HK14">
            <v>0</v>
          </cell>
          <cell r="HL14">
            <v>0</v>
          </cell>
          <cell r="HM14">
            <v>0</v>
          </cell>
          <cell r="HN14">
            <v>0</v>
          </cell>
          <cell r="HO14">
            <v>0</v>
          </cell>
          <cell r="HP14">
            <v>0</v>
          </cell>
          <cell r="HQ14">
            <v>0</v>
          </cell>
          <cell r="HR14">
            <v>0</v>
          </cell>
          <cell r="HS14">
            <v>0</v>
          </cell>
          <cell r="HT14">
            <v>0</v>
          </cell>
          <cell r="HU14">
            <v>0</v>
          </cell>
          <cell r="HV14">
            <v>0</v>
          </cell>
          <cell r="HW14">
            <v>0</v>
          </cell>
          <cell r="HX14">
            <v>0</v>
          </cell>
          <cell r="HY14">
            <v>0</v>
          </cell>
          <cell r="HZ14">
            <v>0</v>
          </cell>
          <cell r="IA14">
            <v>0</v>
          </cell>
          <cell r="IB14">
            <v>0</v>
          </cell>
          <cell r="IC14">
            <v>0</v>
          </cell>
          <cell r="ID14">
            <v>0</v>
          </cell>
          <cell r="IE14">
            <v>0</v>
          </cell>
          <cell r="IF14">
            <v>0</v>
          </cell>
          <cell r="IG14">
            <v>0</v>
          </cell>
          <cell r="IH14">
            <v>0</v>
          </cell>
          <cell r="II14">
            <v>0</v>
          </cell>
          <cell r="IJ14">
            <v>0</v>
          </cell>
          <cell r="IK14">
            <v>0</v>
          </cell>
          <cell r="IL14">
            <v>0</v>
          </cell>
          <cell r="IM14">
            <v>0</v>
          </cell>
          <cell r="IN14">
            <v>0</v>
          </cell>
          <cell r="IO14">
            <v>0</v>
          </cell>
          <cell r="IP14">
            <v>0</v>
          </cell>
          <cell r="IQ14">
            <v>0</v>
          </cell>
          <cell r="IR14">
            <v>0</v>
          </cell>
          <cell r="IS14">
            <v>0</v>
          </cell>
          <cell r="IT14">
            <v>0</v>
          </cell>
          <cell r="IU14">
            <v>0</v>
          </cell>
          <cell r="IV14">
            <v>0</v>
          </cell>
          <cell r="IW14">
            <v>0</v>
          </cell>
          <cell r="IX14">
            <v>0</v>
          </cell>
          <cell r="IY14">
            <v>0</v>
          </cell>
          <cell r="IZ14">
            <v>0</v>
          </cell>
          <cell r="JA14">
            <v>0</v>
          </cell>
        </row>
        <row r="17">
          <cell r="L17">
            <v>0</v>
          </cell>
          <cell r="M17">
            <v>0</v>
          </cell>
          <cell r="N17">
            <v>0</v>
          </cell>
          <cell r="O17">
            <v>-5.7149999999999996E-3</v>
          </cell>
          <cell r="P17">
            <v>-0.40626800000000002</v>
          </cell>
          <cell r="Q17">
            <v>-0.43909199999999998</v>
          </cell>
          <cell r="R17">
            <v>-0.44787399999999999</v>
          </cell>
          <cell r="S17">
            <v>-0.45683099999999999</v>
          </cell>
          <cell r="T17">
            <v>-0.46596799999999999</v>
          </cell>
          <cell r="U17">
            <v>-0.47528700000000002</v>
          </cell>
          <cell r="V17">
            <v>-0.48479299999999997</v>
          </cell>
          <cell r="W17">
            <v>-0.49448900000000001</v>
          </cell>
          <cell r="X17">
            <v>-0.50409599999999999</v>
          </cell>
          <cell r="Y17">
            <v>-0.51130699999999996</v>
          </cell>
          <cell r="Z17">
            <v>-0.51861999999999997</v>
          </cell>
          <cell r="AA17">
            <v>-0.52608900000000003</v>
          </cell>
          <cell r="AB17">
            <v>-0.53362699999999996</v>
          </cell>
          <cell r="AC17">
            <v>-0.54128100000000001</v>
          </cell>
          <cell r="AD17">
            <v>-0.49884800000000001</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L18">
            <v>0</v>
          </cell>
          <cell r="M18">
            <v>0</v>
          </cell>
          <cell r="N18">
            <v>0</v>
          </cell>
          <cell r="O18">
            <v>-11.964463</v>
          </cell>
          <cell r="P18">
            <v>-14.114901</v>
          </cell>
          <cell r="Q18">
            <v>-14.397199000000001</v>
          </cell>
          <cell r="R18">
            <v>-14.685142000000001</v>
          </cell>
          <cell r="S18">
            <v>-14.978845</v>
          </cell>
          <cell r="T18">
            <v>-15.278423</v>
          </cell>
          <cell r="U18">
            <v>-15.583990999999999</v>
          </cell>
          <cell r="V18">
            <v>-15.895671</v>
          </cell>
          <cell r="W18">
            <v>-16.213584999999998</v>
          </cell>
          <cell r="X18">
            <v>-16.537855</v>
          </cell>
          <cell r="Y18">
            <v>-16.868613</v>
          </cell>
          <cell r="Z18">
            <v>-16.542335999999999</v>
          </cell>
          <cell r="AA18">
            <v>-15.791589999999999</v>
          </cell>
          <cell r="AB18">
            <v>-15.010325999999999</v>
          </cell>
          <cell r="AC18">
            <v>-14.197702</v>
          </cell>
          <cell r="AD18">
            <v>-13.456065000000001</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L20">
            <v>0</v>
          </cell>
          <cell r="M20">
            <v>0</v>
          </cell>
          <cell r="N20">
            <v>0</v>
          </cell>
          <cell r="O20">
            <v>-11.970178000000001</v>
          </cell>
          <cell r="P20">
            <v>-14.521169</v>
          </cell>
          <cell r="Q20">
            <v>-14.836291000000001</v>
          </cell>
          <cell r="R20">
            <v>-15.133016000000001</v>
          </cell>
          <cell r="S20">
            <v>-15.435675999999999</v>
          </cell>
          <cell r="T20">
            <v>-15.744391</v>
          </cell>
          <cell r="U20">
            <v>-16.059277999999999</v>
          </cell>
          <cell r="V20">
            <v>-16.380464</v>
          </cell>
          <cell r="W20">
            <v>-16.708074</v>
          </cell>
          <cell r="X20">
            <v>-17.041951000000001</v>
          </cell>
          <cell r="Y20">
            <v>-17.379919999999998</v>
          </cell>
          <cell r="Z20">
            <v>-17.060955999999997</v>
          </cell>
          <cell r="AA20">
            <v>-16.317678999999998</v>
          </cell>
          <cell r="AB20">
            <v>-15.543952999999998</v>
          </cell>
          <cell r="AC20">
            <v>-14.738982999999999</v>
          </cell>
          <cell r="AD20">
            <v>-13.954913000000001</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3">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L24">
            <v>-3.2910329999999997</v>
          </cell>
          <cell r="M24">
            <v>-32.378473</v>
          </cell>
          <cell r="N24">
            <v>-69.093799000000004</v>
          </cell>
          <cell r="O24">
            <v>-15.204853000000002</v>
          </cell>
          <cell r="P24">
            <v>-3.4849319999999997</v>
          </cell>
          <cell r="Q24">
            <v>-0.17425299999999999</v>
          </cell>
          <cell r="R24">
            <v>-0.109886</v>
          </cell>
          <cell r="S24">
            <v>-0.118829</v>
          </cell>
          <cell r="T24">
            <v>-0.15210000000000001</v>
          </cell>
          <cell r="U24">
            <v>-0.18928800000000001</v>
          </cell>
          <cell r="V24">
            <v>-0.20291500000000001</v>
          </cell>
          <cell r="W24">
            <v>-0.24522299999999997</v>
          </cell>
          <cell r="X24">
            <v>-0.27988999999999997</v>
          </cell>
          <cell r="Y24">
            <v>-0.29636799999999996</v>
          </cell>
          <cell r="Z24">
            <v>-0.34877899999999995</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-7.1227260000000001</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7">
          <cell r="L27">
            <v>-3.2910329999999997</v>
          </cell>
          <cell r="M27">
            <v>-32.378473</v>
          </cell>
          <cell r="N27">
            <v>-69.093799000000004</v>
          </cell>
          <cell r="O27">
            <v>-15.204853000000002</v>
          </cell>
          <cell r="P27">
            <v>-3.4849319999999997</v>
          </cell>
          <cell r="Q27">
            <v>-0.17425299999999999</v>
          </cell>
          <cell r="R27">
            <v>-0.109886</v>
          </cell>
          <cell r="S27">
            <v>-0.118829</v>
          </cell>
          <cell r="T27">
            <v>-0.15210000000000001</v>
          </cell>
          <cell r="U27">
            <v>-0.18928800000000001</v>
          </cell>
          <cell r="V27">
            <v>-0.20291500000000001</v>
          </cell>
          <cell r="W27">
            <v>-0.24522299999999997</v>
          </cell>
          <cell r="X27">
            <v>-0.27988999999999997</v>
          </cell>
          <cell r="Y27">
            <v>-0.29636799999999996</v>
          </cell>
          <cell r="Z27">
            <v>-0.34877899999999995</v>
          </cell>
          <cell r="AA27">
            <v>0</v>
          </cell>
          <cell r="AB27">
            <v>0</v>
          </cell>
          <cell r="AC27">
            <v>0</v>
          </cell>
          <cell r="AD27">
            <v>0</v>
          </cell>
          <cell r="AE27">
            <v>-7.1227260000000001</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v>0</v>
          </cell>
          <cell r="ER27">
            <v>0</v>
          </cell>
          <cell r="ES27">
            <v>0</v>
          </cell>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v>0</v>
          </cell>
          <cell r="FP27">
            <v>0</v>
          </cell>
          <cell r="FQ27">
            <v>0</v>
          </cell>
          <cell r="FR27">
            <v>0</v>
          </cell>
          <cell r="FS27">
            <v>0</v>
          </cell>
          <cell r="FT27">
            <v>0</v>
          </cell>
          <cell r="FU27">
            <v>0</v>
          </cell>
          <cell r="FV27">
            <v>0</v>
          </cell>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v>0</v>
          </cell>
          <cell r="GL27">
            <v>0</v>
          </cell>
          <cell r="GM27">
            <v>0</v>
          </cell>
          <cell r="GN27">
            <v>0</v>
          </cell>
          <cell r="GO27">
            <v>0</v>
          </cell>
          <cell r="GP27">
            <v>0</v>
          </cell>
          <cell r="GQ27">
            <v>0</v>
          </cell>
          <cell r="GR27">
            <v>0</v>
          </cell>
          <cell r="GS27">
            <v>0</v>
          </cell>
          <cell r="GT27">
            <v>0</v>
          </cell>
          <cell r="GU27">
            <v>0</v>
          </cell>
          <cell r="GV27">
            <v>0</v>
          </cell>
          <cell r="GW27">
            <v>0</v>
          </cell>
          <cell r="GX27">
            <v>0</v>
          </cell>
          <cell r="GY27">
            <v>0</v>
          </cell>
          <cell r="GZ27">
            <v>0</v>
          </cell>
          <cell r="HA27">
            <v>0</v>
          </cell>
          <cell r="HB27">
            <v>0</v>
          </cell>
          <cell r="HC27">
            <v>0</v>
          </cell>
          <cell r="HD27">
            <v>0</v>
          </cell>
          <cell r="HE27">
            <v>0</v>
          </cell>
          <cell r="HF27">
            <v>0</v>
          </cell>
          <cell r="HG27">
            <v>0</v>
          </cell>
          <cell r="HH27">
            <v>0</v>
          </cell>
          <cell r="HI27">
            <v>0</v>
          </cell>
          <cell r="HJ27">
            <v>0</v>
          </cell>
          <cell r="HK27">
            <v>0</v>
          </cell>
          <cell r="HL27">
            <v>0</v>
          </cell>
          <cell r="HM27">
            <v>0</v>
          </cell>
          <cell r="HN27">
            <v>0</v>
          </cell>
          <cell r="HO27">
            <v>0</v>
          </cell>
          <cell r="HP27">
            <v>0</v>
          </cell>
          <cell r="HQ27">
            <v>0</v>
          </cell>
          <cell r="HR27">
            <v>0</v>
          </cell>
          <cell r="HS27">
            <v>0</v>
          </cell>
          <cell r="HT27">
            <v>0</v>
          </cell>
          <cell r="HU27">
            <v>0</v>
          </cell>
          <cell r="HV27">
            <v>0</v>
          </cell>
          <cell r="HW27">
            <v>0</v>
          </cell>
          <cell r="HX27">
            <v>0</v>
          </cell>
          <cell r="HY27">
            <v>0</v>
          </cell>
          <cell r="HZ27">
            <v>0</v>
          </cell>
          <cell r="IA27">
            <v>0</v>
          </cell>
          <cell r="IB27">
            <v>0</v>
          </cell>
          <cell r="IC27">
            <v>0</v>
          </cell>
          <cell r="ID27">
            <v>0</v>
          </cell>
          <cell r="IE27">
            <v>0</v>
          </cell>
          <cell r="IF27">
            <v>0</v>
          </cell>
          <cell r="IG27">
            <v>0</v>
          </cell>
          <cell r="IH27">
            <v>0</v>
          </cell>
          <cell r="II27">
            <v>0</v>
          </cell>
          <cell r="IJ27">
            <v>0</v>
          </cell>
          <cell r="IK27">
            <v>0</v>
          </cell>
          <cell r="IL27">
            <v>0</v>
          </cell>
          <cell r="IM27">
            <v>0</v>
          </cell>
          <cell r="IN27">
            <v>0</v>
          </cell>
          <cell r="IO27">
            <v>0</v>
          </cell>
          <cell r="IP27">
            <v>0</v>
          </cell>
          <cell r="IQ27">
            <v>0</v>
          </cell>
          <cell r="IR27">
            <v>0</v>
          </cell>
          <cell r="IS27">
            <v>0</v>
          </cell>
          <cell r="IT27">
            <v>0</v>
          </cell>
          <cell r="IU27">
            <v>0</v>
          </cell>
          <cell r="IV27">
            <v>0</v>
          </cell>
          <cell r="IW27">
            <v>0</v>
          </cell>
          <cell r="IX27">
            <v>0</v>
          </cell>
          <cell r="IY27">
            <v>0</v>
          </cell>
          <cell r="IZ27">
            <v>0</v>
          </cell>
          <cell r="JA27">
            <v>0</v>
          </cell>
        </row>
        <row r="51">
          <cell r="L51">
            <v>0</v>
          </cell>
          <cell r="M51">
            <v>0</v>
          </cell>
          <cell r="N51">
            <v>0</v>
          </cell>
          <cell r="O51">
            <v>0.23035393554513744</v>
          </cell>
          <cell r="P51">
            <v>15.791577672542438</v>
          </cell>
          <cell r="Q51">
            <v>13.979903242005099</v>
          </cell>
          <cell r="R51">
            <v>14.248569616774738</v>
          </cell>
          <cell r="S51">
            <v>14.52216839059937</v>
          </cell>
          <cell r="T51">
            <v>15.059210871931535</v>
          </cell>
          <cell r="U51">
            <v>15.417312245680918</v>
          </cell>
          <cell r="V51">
            <v>15.784874866694535</v>
          </cell>
          <cell r="W51">
            <v>16.162181785547212</v>
          </cell>
          <cell r="X51">
            <v>16.540273619432881</v>
          </cell>
          <cell r="Y51">
            <v>16.843134690055869</v>
          </cell>
          <cell r="Z51">
            <v>17.152631818286832</v>
          </cell>
          <cell r="AA51">
            <v>17.470553060882462</v>
          </cell>
          <cell r="AB51">
            <v>17.794341846229731</v>
          </cell>
          <cell r="AC51">
            <v>18.125488730976301</v>
          </cell>
          <cell r="AD51">
            <v>16.77598351146721</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v>
          </cell>
          <cell r="IW51">
            <v>0</v>
          </cell>
          <cell r="IX51">
            <v>0</v>
          </cell>
          <cell r="IY51">
            <v>0</v>
          </cell>
          <cell r="IZ51">
            <v>0</v>
          </cell>
          <cell r="JA51">
            <v>0</v>
          </cell>
        </row>
        <row r="55">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cell r="IS55">
            <v>0</v>
          </cell>
          <cell r="IT55">
            <v>0</v>
          </cell>
          <cell r="IU55">
            <v>0</v>
          </cell>
          <cell r="IV55">
            <v>0</v>
          </cell>
          <cell r="IW55">
            <v>0</v>
          </cell>
          <cell r="IX55">
            <v>0</v>
          </cell>
          <cell r="IY55">
            <v>0</v>
          </cell>
          <cell r="IZ55">
            <v>0</v>
          </cell>
          <cell r="JA55">
            <v>0</v>
          </cell>
        </row>
        <row r="59">
          <cell r="L59">
            <v>-0.08</v>
          </cell>
          <cell r="M59">
            <v>-0.08</v>
          </cell>
          <cell r="N59">
            <v>-0.08</v>
          </cell>
          <cell r="O59">
            <v>-0.08</v>
          </cell>
          <cell r="P59">
            <v>-0.08</v>
          </cell>
          <cell r="Q59">
            <v>-0.08</v>
          </cell>
          <cell r="R59">
            <v>-0.08</v>
          </cell>
          <cell r="S59">
            <v>-0.17479756028732685</v>
          </cell>
          <cell r="T59">
            <v>-0.16043510073114417</v>
          </cell>
          <cell r="U59">
            <v>-0.14894644322421755</v>
          </cell>
          <cell r="V59">
            <v>-0.13974941685590045</v>
          </cell>
          <cell r="W59">
            <v>-0.13239587430006672</v>
          </cell>
          <cell r="X59">
            <v>-0.12654884682408929</v>
          </cell>
          <cell r="Y59">
            <v>-0.12184057989149422</v>
          </cell>
          <cell r="Z59">
            <v>-0.11572061529144839</v>
          </cell>
          <cell r="AA59">
            <v>-9.7181243371269599E-2</v>
          </cell>
          <cell r="AB59">
            <v>-9.7427500999612629E-2</v>
          </cell>
          <cell r="AC59">
            <v>-9.767745413512359E-2</v>
          </cell>
          <cell r="AD59">
            <v>-9.6292003259479619E-2</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1">
          <cell r="L61">
            <v>-0.08</v>
          </cell>
          <cell r="M61">
            <v>-0.08</v>
          </cell>
          <cell r="N61">
            <v>-0.08</v>
          </cell>
          <cell r="O61">
            <v>-11.819824064454863</v>
          </cell>
          <cell r="P61">
            <v>1.1904086725424374</v>
          </cell>
          <cell r="Q61">
            <v>-0.93638775799490215</v>
          </cell>
          <cell r="R61">
            <v>-0.96444638322526355</v>
          </cell>
          <cell r="S61">
            <v>-1.0883051696879555</v>
          </cell>
          <cell r="T61">
            <v>-0.84561522879960926</v>
          </cell>
          <cell r="U61">
            <v>-0.79091219754329845</v>
          </cell>
          <cell r="V61">
            <v>-0.73533855016136529</v>
          </cell>
          <cell r="W61">
            <v>-0.67828808875285496</v>
          </cell>
          <cell r="X61">
            <v>-0.62822622739120926</v>
          </cell>
          <cell r="Y61">
            <v>-0.65862588983562331</v>
          </cell>
          <cell r="Z61">
            <v>-2.4044797004614149E-2</v>
          </cell>
          <cell r="AA61">
            <v>1.0556928175111946</v>
          </cell>
          <cell r="AB61">
            <v>2.1529613452301199</v>
          </cell>
          <cell r="AC61">
            <v>3.2888282768411776</v>
          </cell>
          <cell r="AD61">
            <v>2.7247785082077289</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78">
          <cell r="L78">
            <v>1</v>
          </cell>
          <cell r="M78">
            <v>1</v>
          </cell>
          <cell r="N78">
            <v>1</v>
          </cell>
          <cell r="O78">
            <v>1</v>
          </cell>
          <cell r="P78">
            <v>1</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I79">
            <v>2022</v>
          </cell>
        </row>
        <row r="88">
          <cell r="L88">
            <v>0</v>
          </cell>
          <cell r="M88">
            <v>0</v>
          </cell>
          <cell r="N88">
            <v>0</v>
          </cell>
          <cell r="O88">
            <v>0</v>
          </cell>
          <cell r="P88">
            <v>0</v>
          </cell>
          <cell r="Q88">
            <v>0</v>
          </cell>
          <cell r="R88">
            <v>-5.506098865233362</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4">
          <cell r="L94">
            <v>-3.3710329999999997</v>
          </cell>
          <cell r="M94">
            <v>-32.458472999999998</v>
          </cell>
          <cell r="N94">
            <v>-69.173799000000002</v>
          </cell>
          <cell r="O94">
            <v>-27.024677064454863</v>
          </cell>
          <cell r="P94">
            <v>-2.2945233274575623</v>
          </cell>
          <cell r="Q94">
            <v>0</v>
          </cell>
          <cell r="R94">
            <v>-5.506098865233362</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-3.2910329999999997</v>
          </cell>
          <cell r="M95">
            <v>-32.378473</v>
          </cell>
          <cell r="N95">
            <v>-69.093799000000004</v>
          </cell>
          <cell r="O95">
            <v>-26.694272730500003</v>
          </cell>
          <cell r="P95">
            <v>20.718091427500006</v>
          </cell>
          <cell r="Q95">
            <v>0</v>
          </cell>
          <cell r="R95">
            <v>-5.506098865233362</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1.0932028945361929</v>
          </cell>
          <cell r="M96">
            <v>1.0717675436629344</v>
          </cell>
          <cell r="N96">
            <v>1.0507524937871904</v>
          </cell>
          <cell r="O96">
            <v>1.0301495037129318</v>
          </cell>
          <cell r="P96">
            <v>1.0099504938362074</v>
          </cell>
          <cell r="Q96">
            <v>0.99014754297667407</v>
          </cell>
          <cell r="R96">
            <v>0.97073288527124901</v>
          </cell>
          <cell r="S96">
            <v>0.95169890712867555</v>
          </cell>
          <cell r="T96">
            <v>0.93303814424379961</v>
          </cell>
          <cell r="U96">
            <v>0.91474327867039174</v>
          </cell>
          <cell r="V96">
            <v>0.89680713595136441</v>
          </cell>
          <cell r="W96">
            <v>0.87922268230525935</v>
          </cell>
          <cell r="X96">
            <v>0.86198302186790121</v>
          </cell>
          <cell r="Y96">
            <v>0.84508139398813853</v>
          </cell>
          <cell r="Z96">
            <v>0.82851117057660628</v>
          </cell>
          <cell r="AA96">
            <v>0.81226585350647684</v>
          </cell>
          <cell r="AB96">
            <v>0.7963390720651734</v>
          </cell>
          <cell r="AC96">
            <v>0.78072458045605231</v>
          </cell>
          <cell r="AD96">
            <v>0.76541625534907087</v>
          </cell>
          <cell r="AE96">
            <v>0.75040809347948123</v>
          </cell>
          <cell r="AF96">
            <v>0.73569420929360907</v>
          </cell>
          <cell r="AG96">
            <v>0.72126883264079311</v>
          </cell>
          <cell r="AH96">
            <v>0.7071263065105815</v>
          </cell>
          <cell r="AI96">
            <v>0.6932610848142956</v>
          </cell>
          <cell r="AJ96">
            <v>0.67966773021009375</v>
          </cell>
          <cell r="AK96">
            <v>0.66634091197068002</v>
          </cell>
          <cell r="AL96">
            <v>0.65327540389282357</v>
          </cell>
          <cell r="AM96">
            <v>0.64046608224786616</v>
          </cell>
          <cell r="AN96">
            <v>0.62790792377241778</v>
          </cell>
          <cell r="AO96">
            <v>0.61559600369844891</v>
          </cell>
          <cell r="AP96">
            <v>0.60352549382200871</v>
          </cell>
          <cell r="AQ96">
            <v>0.59169166060981238</v>
          </cell>
          <cell r="AR96">
            <v>0.58008986334295332</v>
          </cell>
          <cell r="AS96">
            <v>0.56871555229701298</v>
          </cell>
          <cell r="AT96">
            <v>0.55756426695785588</v>
          </cell>
          <cell r="AU96">
            <v>0.54663163427240768</v>
          </cell>
          <cell r="AV96">
            <v>0.53591336693373304</v>
          </cell>
          <cell r="AW96">
            <v>0.52540526169973822</v>
          </cell>
          <cell r="AX96">
            <v>0.51510319774484137</v>
          </cell>
          <cell r="AY96">
            <v>0.5050031350439621</v>
          </cell>
          <cell r="AZ96">
            <v>0.49510111278819813</v>
          </cell>
          <cell r="BA96">
            <v>0.48539324783156679</v>
          </cell>
          <cell r="BB96">
            <v>0.47587573316820264</v>
          </cell>
          <cell r="BC96">
            <v>0.46654483643941441</v>
          </cell>
          <cell r="BD96">
            <v>0.45739689847001408</v>
          </cell>
          <cell r="BE96">
            <v>0.44842833183334713</v>
          </cell>
          <cell r="BF96">
            <v>0.43963561944445795</v>
          </cell>
          <cell r="BG96">
            <v>0.43101531318084113</v>
          </cell>
          <cell r="BH96">
            <v>0.42256403253023633</v>
          </cell>
          <cell r="BI96">
            <v>0.41427846326493761</v>
          </cell>
          <cell r="BJ96">
            <v>0.40615535614209569</v>
          </cell>
          <cell r="BK96">
            <v>0.3981915256295056</v>
          </cell>
          <cell r="BL96">
            <v>0.39038384865637799</v>
          </cell>
          <cell r="BM96">
            <v>0.38272926338860586</v>
          </cell>
          <cell r="BN96">
            <v>0.375224768028045</v>
          </cell>
          <cell r="BO96">
            <v>0.36786741963533826</v>
          </cell>
          <cell r="BP96">
            <v>0.36065433297582183</v>
          </cell>
          <cell r="BQ96">
            <v>0.35358267938806059</v>
          </cell>
          <cell r="BR96">
            <v>0.34664968567456916</v>
          </cell>
          <cell r="BS96">
            <v>0.33985263301428348</v>
          </cell>
          <cell r="BT96">
            <v>0.33318885589635638</v>
          </cell>
          <cell r="BU96">
            <v>0.32665574107485917</v>
          </cell>
          <cell r="BV96">
            <v>0.32025072654397957</v>
          </cell>
          <cell r="BW96">
            <v>0.31397130053331329</v>
          </cell>
          <cell r="BX96">
            <v>0.30781500052285615</v>
          </cell>
          <cell r="BY96">
            <v>0.30177941227730998</v>
          </cell>
          <cell r="BZ96">
            <v>0.29586216889932349</v>
          </cell>
          <cell r="CA96">
            <v>0.29006094990129755</v>
          </cell>
          <cell r="CB96">
            <v>0.28437348029538978</v>
          </cell>
          <cell r="CC96">
            <v>0.27879752970136251</v>
          </cell>
          <cell r="CD96">
            <v>0.27333091147192407</v>
          </cell>
          <cell r="CE96">
            <v>0.26797148183521963</v>
          </cell>
          <cell r="CF96">
            <v>0.26271713905413691</v>
          </cell>
          <cell r="CG96">
            <v>0.25756582260209498</v>
          </cell>
          <cell r="CH96">
            <v>0.25251551235499509</v>
          </cell>
          <cell r="CI96">
            <v>0.2475642277990148</v>
          </cell>
          <cell r="CJ96">
            <v>0.24271002725393606</v>
          </cell>
          <cell r="CK96">
            <v>0.237951007111702</v>
          </cell>
          <cell r="CL96">
            <v>0.23328530108990392</v>
          </cell>
          <cell r="CM96">
            <v>0.22871107949990577</v>
          </cell>
          <cell r="CN96">
            <v>0.22422654852931939</v>
          </cell>
          <cell r="CO96">
            <v>0.2198299495385484</v>
          </cell>
          <cell r="CP96">
            <v>0.21551955837112588</v>
          </cell>
          <cell r="CQ96">
            <v>0.21129368467757439</v>
          </cell>
          <cell r="CR96">
            <v>0.20715067125252393</v>
          </cell>
          <cell r="CS96">
            <v>0.20308889338482738</v>
          </cell>
          <cell r="CT96">
            <v>0.19910675822041901</v>
          </cell>
          <cell r="CU96">
            <v>0.19520270413766569</v>
          </cell>
          <cell r="CV96">
            <v>0.19137520013496634</v>
          </cell>
          <cell r="CW96">
            <v>0.18762274523035916</v>
          </cell>
          <cell r="CX96">
            <v>0.18394386787290112</v>
          </cell>
          <cell r="CY96">
            <v>0.18033712536558932</v>
          </cell>
          <cell r="CZ96">
            <v>0.17680110329959739</v>
          </cell>
          <cell r="DA96">
            <v>0.17333441499960528</v>
          </cell>
          <cell r="DB96">
            <v>0.16993570098000516</v>
          </cell>
          <cell r="DC96">
            <v>0.16660362841176976</v>
          </cell>
          <cell r="DD96">
            <v>0.16333689059977427</v>
          </cell>
          <cell r="DE96">
            <v>0.16013420647036691</v>
          </cell>
          <cell r="DF96">
            <v>0.1569943200689872</v>
          </cell>
          <cell r="DG96">
            <v>0.15391600006763451</v>
          </cell>
          <cell r="DH96">
            <v>0.15089803928199461</v>
          </cell>
          <cell r="DI96">
            <v>0.14793925419803391</v>
          </cell>
          <cell r="DJ96">
            <v>0.14503848450787638</v>
          </cell>
          <cell r="DK96">
            <v>0.14219459265478077</v>
          </cell>
          <cell r="DL96">
            <v>0.13940646338703996</v>
          </cell>
          <cell r="DM96">
            <v>0.1366730033206274</v>
          </cell>
          <cell r="DN96">
            <v>0.13399314051041902</v>
          </cell>
          <cell r="DO96">
            <v>0.13136582402982258</v>
          </cell>
          <cell r="DP96">
            <v>0.12879002355864957</v>
          </cell>
          <cell r="DQ96">
            <v>0.12626472897906821</v>
          </cell>
          <cell r="DR96">
            <v>0.12378894997947863</v>
          </cell>
          <cell r="DS96">
            <v>0.12136171566615551</v>
          </cell>
          <cell r="DT96">
            <v>0.11898207418250539</v>
          </cell>
          <cell r="DU96">
            <v>0.1166490923357896</v>
          </cell>
          <cell r="DV96">
            <v>0.11436185523116628</v>
          </cell>
          <cell r="DW96">
            <v>0.11211946591290811</v>
          </cell>
          <cell r="DX96">
            <v>0.109921045012655</v>
          </cell>
          <cell r="DY96">
            <v>0.10776573040456372</v>
          </cell>
          <cell r="DZ96">
            <v>0.10565267686721934</v>
          </cell>
          <cell r="EA96">
            <v>0.10358105575217583</v>
          </cell>
          <cell r="EB96">
            <v>0.1015500546589959</v>
          </cell>
          <cell r="EC96">
            <v>9.9558877116662642E-2</v>
          </cell>
          <cell r="ED96">
            <v>9.7606742271237876E-2</v>
          </cell>
          <cell r="EE96">
            <v>9.5692884579644977E-2</v>
          </cell>
          <cell r="EF96">
            <v>9.3816553509455863E-2</v>
          </cell>
          <cell r="EG96">
            <v>9.1977013244564559E-2</v>
          </cell>
          <cell r="EH96">
            <v>9.0173542396631931E-2</v>
          </cell>
          <cell r="EI96">
            <v>8.8405433722188162E-2</v>
          </cell>
          <cell r="EJ96">
            <v>8.6671993845282513E-2</v>
          </cell>
          <cell r="EK96">
            <v>8.4972542985571081E-2</v>
          </cell>
          <cell r="EL96">
            <v>8.3306414691736358E-2</v>
          </cell>
          <cell r="EM96">
            <v>8.1672955580133683E-2</v>
          </cell>
          <cell r="EN96">
            <v>8.0071525078562439E-2</v>
          </cell>
          <cell r="EO96">
            <v>7.8501495175061206E-2</v>
          </cell>
          <cell r="EP96">
            <v>7.6962250171628638E-2</v>
          </cell>
          <cell r="EQ96">
            <v>7.5453186442773171E-2</v>
          </cell>
          <cell r="ER96">
            <v>7.3973712198797226E-2</v>
          </cell>
          <cell r="ES96">
            <v>7.2523247253722764E-2</v>
          </cell>
          <cell r="ET96">
            <v>7.1101222797767413E-2</v>
          </cell>
          <cell r="EU96">
            <v>6.9707081174281774E-2</v>
          </cell>
          <cell r="EV96">
            <v>6.8340275661060573E-2</v>
          </cell>
          <cell r="EW96">
            <v>6.7000270255941727E-2</v>
          </cell>
          <cell r="EX96">
            <v>6.5686539466609531E-2</v>
          </cell>
          <cell r="EY96">
            <v>6.4398568104519147E-2</v>
          </cell>
          <cell r="EZ96">
            <v>6.3135851082861918E-2</v>
          </cell>
          <cell r="FA96">
            <v>6.1897893218492074E-2</v>
          </cell>
          <cell r="FB96">
            <v>6.0684209037737323E-2</v>
          </cell>
          <cell r="FC96">
            <v>5.9494322586016987E-2</v>
          </cell>
          <cell r="FD96">
            <v>5.8327767241193124E-2</v>
          </cell>
          <cell r="FE96">
            <v>5.7184085530581491E-2</v>
          </cell>
          <cell r="FF96">
            <v>5.6062828951550472E-2</v>
          </cell>
          <cell r="FG96">
            <v>5.4963557795637719E-2</v>
          </cell>
          <cell r="FH96">
            <v>5.3885840976115408E-2</v>
          </cell>
          <cell r="FI96">
            <v>5.2829255858936677E-2</v>
          </cell>
          <cell r="FJ96">
            <v>5.1793388096996747E-2</v>
          </cell>
          <cell r="FK96">
            <v>5.0777831467643864E-2</v>
          </cell>
          <cell r="FL96">
            <v>4.9782187713376336E-2</v>
          </cell>
          <cell r="FM96">
            <v>4.880606638566308E-2</v>
          </cell>
          <cell r="FN96">
            <v>4.7849084691826547E-2</v>
          </cell>
          <cell r="FO96">
            <v>4.6910867344927991E-2</v>
          </cell>
          <cell r="FP96">
            <v>4.5991046416596071E-2</v>
          </cell>
          <cell r="FQ96">
            <v>4.5089261192741245E-2</v>
          </cell>
          <cell r="FR96">
            <v>4.4205158032099262E-2</v>
          </cell>
          <cell r="FS96">
            <v>4.333839022754829E-2</v>
          </cell>
          <cell r="FT96">
            <v>4.2488617870145386E-2</v>
          </cell>
          <cell r="FU96">
            <v>4.1655507715828807E-2</v>
          </cell>
          <cell r="FV96">
            <v>4.0838733054734122E-2</v>
          </cell>
          <cell r="FW96">
            <v>4.0037973583072671E-2</v>
          </cell>
          <cell r="FX96">
            <v>3.9252915277522227E-2</v>
          </cell>
          <cell r="FY96">
            <v>3.8483250272080612E-2</v>
          </cell>
          <cell r="FZ96">
            <v>3.7728676737333933E-2</v>
          </cell>
          <cell r="GA96">
            <v>3.698889876209209E-2</v>
          </cell>
          <cell r="GB96">
            <v>3.6263626237345185E-2</v>
          </cell>
          <cell r="GC96">
            <v>3.5552574742495284E-2</v>
          </cell>
          <cell r="GD96">
            <v>3.48554654338189E-2</v>
          </cell>
          <cell r="GE96">
            <v>3.417202493511657E-2</v>
          </cell>
          <cell r="GF96">
            <v>3.3501985230506438E-2</v>
          </cell>
          <cell r="GG96">
            <v>3.2845083559320039E-2</v>
          </cell>
          <cell r="GH96">
            <v>3.2201062313058859E-2</v>
          </cell>
          <cell r="GI96">
            <v>3.156966893437143E-2</v>
          </cell>
          <cell r="GJ96">
            <v>3.0950655818011204E-2</v>
          </cell>
          <cell r="GK96">
            <v>3.0343780213736474E-2</v>
          </cell>
          <cell r="GL96">
            <v>2.9748804131114189E-2</v>
          </cell>
          <cell r="GM96">
            <v>2.9165494246190381E-2</v>
          </cell>
          <cell r="GN96">
            <v>2.8593621809990574E-2</v>
          </cell>
          <cell r="GO96">
            <v>2.8032962558814285E-2</v>
          </cell>
          <cell r="GP96">
            <v>2.7483296626288511E-2</v>
          </cell>
          <cell r="GQ96">
            <v>2.6944408457145602E-2</v>
          </cell>
          <cell r="GR96">
            <v>2.6416086722691766E-2</v>
          </cell>
          <cell r="GS96">
            <v>2.5898124237933105E-2</v>
          </cell>
          <cell r="GT96">
            <v>2.5390317880326575E-2</v>
          </cell>
          <cell r="GU96">
            <v>2.4892468510124093E-2</v>
          </cell>
          <cell r="GV96">
            <v>2.4404380892278522E-2</v>
          </cell>
          <cell r="GW96">
            <v>2.3925863619880902E-2</v>
          </cell>
          <cell r="GX96">
            <v>2.3456729039098921E-2</v>
          </cell>
          <cell r="GY96">
            <v>2.2996793175587175E-2</v>
          </cell>
          <cell r="GZ96">
            <v>2.2545875662340367E-2</v>
          </cell>
          <cell r="HA96">
            <v>2.2103799668961144E-2</v>
          </cell>
          <cell r="HB96">
            <v>2.1670391832314846E-2</v>
          </cell>
          <cell r="HC96">
            <v>2.1245482188543965E-2</v>
          </cell>
          <cell r="HD96">
            <v>2.0828904106415653E-2</v>
          </cell>
          <cell r="HE96">
            <v>2.0420494221976129E-2</v>
          </cell>
          <cell r="HF96">
            <v>2.00200923744864E-2</v>
          </cell>
          <cell r="HG96">
            <v>1.9627541543614117E-2</v>
          </cell>
          <cell r="HH96">
            <v>1.9242687787856979E-2</v>
          </cell>
          <cell r="HI96">
            <v>1.8865380184173511E-2</v>
          </cell>
          <cell r="HJ96">
            <v>1.8495470768797557E-2</v>
          </cell>
          <cell r="HK96">
            <v>1.8132814479213291E-2</v>
          </cell>
          <cell r="HL96">
            <v>1.7777269097267932E-2</v>
          </cell>
          <cell r="HM96">
            <v>1.7428695193399932E-2</v>
          </cell>
          <cell r="HN96">
            <v>1.7086956071960719E-2</v>
          </cell>
          <cell r="HO96">
            <v>1.6751917717608547E-2</v>
          </cell>
          <cell r="HP96">
            <v>1.6423448742753477E-2</v>
          </cell>
          <cell r="HQ96">
            <v>1.6101420336032821E-2</v>
          </cell>
          <cell r="HR96">
            <v>1.5785706211796886E-2</v>
          </cell>
          <cell r="HS96">
            <v>1.5476182560585179E-2</v>
          </cell>
          <cell r="HT96">
            <v>1.5172728000573704E-2</v>
          </cell>
          <cell r="HU96">
            <v>1.4875223529974221E-2</v>
          </cell>
          <cell r="HV96">
            <v>1.4583552480366885E-2</v>
          </cell>
          <cell r="HW96">
            <v>1.4297600470947925E-2</v>
          </cell>
          <cell r="HX96">
            <v>1.4017255363674439E-2</v>
          </cell>
          <cell r="HY96">
            <v>1.3742407219288665E-2</v>
          </cell>
          <cell r="HZ96">
            <v>1.3472948254204574E-2</v>
          </cell>
          <cell r="IA96">
            <v>1.3208772798239779E-2</v>
          </cell>
          <cell r="IB96">
            <v>1.2949777253176253E-2</v>
          </cell>
          <cell r="IC96">
            <v>1.2695860052133582E-2</v>
          </cell>
          <cell r="ID96">
            <v>1.2446921619738805E-2</v>
          </cell>
          <cell r="IE96">
            <v>1.2202864333077259E-2</v>
          </cell>
          <cell r="IF96">
            <v>1.1963592483409077E-2</v>
          </cell>
          <cell r="IG96">
            <v>1.1729012238636351E-2</v>
          </cell>
          <cell r="IH96">
            <v>1.1499031606506225E-2</v>
          </cell>
          <cell r="II96">
            <v>1.1273560398535516E-2</v>
          </cell>
          <cell r="IJ96">
            <v>1.1052510194642661E-2</v>
          </cell>
          <cell r="IK96">
            <v>1.0835794308473198E-2</v>
          </cell>
          <cell r="IL96">
            <v>1.0623327753405095E-2</v>
          </cell>
          <cell r="IM96">
            <v>1.0415027209220681E-2</v>
          </cell>
          <cell r="IN96">
            <v>1.021081098943204E-2</v>
          </cell>
          <cell r="IO96">
            <v>1.0010599009247098E-2</v>
          </cell>
          <cell r="IP96">
            <v>9.8143127541638203E-3</v>
          </cell>
          <cell r="IQ96">
            <v>9.6218752491802166E-3</v>
          </cell>
          <cell r="IR96">
            <v>9.4332110286080555E-3</v>
          </cell>
          <cell r="IS96">
            <v>9.2482461064784856E-3</v>
          </cell>
          <cell r="IT96">
            <v>9.0669079475279267E-3</v>
          </cell>
          <cell r="IU96">
            <v>8.8891254387528686E-3</v>
          </cell>
          <cell r="IV96">
            <v>8.7148288615224202E-3</v>
          </cell>
          <cell r="IW96">
            <v>8.5439498642376679E-3</v>
          </cell>
          <cell r="IX96">
            <v>8.376421435527125E-3</v>
          </cell>
          <cell r="IY96">
            <v>8.212177877967769E-3</v>
          </cell>
          <cell r="IZ96">
            <v>8.0511547823213427E-3</v>
          </cell>
          <cell r="JA96">
            <v>7.8932890022758266E-3</v>
          </cell>
        </row>
        <row r="97">
          <cell r="L97">
            <v>-3.6852230331770257</v>
          </cell>
          <cell r="M97">
            <v>-34.787937878259676</v>
          </cell>
          <cell r="N97">
            <v>-72.684541803983862</v>
          </cell>
          <cell r="O97">
            <v>-27.839457665950427</v>
          </cell>
          <cell r="P97">
            <v>-2.3173549676844627</v>
          </cell>
          <cell r="Q97">
            <v>0</v>
          </cell>
          <cell r="R97">
            <v>-5.3449512380367317</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104">
          <cell r="L104">
            <v>0.96295001286293525</v>
          </cell>
          <cell r="M104">
            <v>0.89291728465472164</v>
          </cell>
          <cell r="N104">
            <v>0.82797784577074174</v>
          </cell>
          <cell r="O104">
            <v>0.76776127516923309</v>
          </cell>
          <cell r="P104">
            <v>0.71192409152056146</v>
          </cell>
          <cell r="Q104">
            <v>0.66014779395542977</v>
          </cell>
          <cell r="R104">
            <v>0.61213704530412572</v>
          </cell>
          <cell r="S104">
            <v>0.56761798746382552</v>
          </cell>
          <cell r="T104">
            <v>0.52633667928463812</v>
          </cell>
          <cell r="U104">
            <v>0.48805764806393709</v>
          </cell>
          <cell r="V104">
            <v>0.45256254638655968</v>
          </cell>
          <cell r="W104">
            <v>0.41964890664935539</v>
          </cell>
          <cell r="X104">
            <v>0.3891289861657658</v>
          </cell>
          <cell r="Y104">
            <v>0.36082869626280095</v>
          </cell>
          <cell r="Z104">
            <v>0.33458660926186995</v>
          </cell>
          <cell r="AA104">
            <v>0.31025303767918849</v>
          </cell>
          <cell r="AB104">
            <v>0.28768918039342922</v>
          </cell>
          <cell r="AC104">
            <v>0.26676633091027074</v>
          </cell>
          <cell r="AD104">
            <v>0.24736514320770558</v>
          </cell>
          <cell r="AE104">
            <v>0.22937495097441779</v>
          </cell>
          <cell r="AF104">
            <v>0.2126931363580965</v>
          </cell>
          <cell r="AG104">
            <v>0.19722454462296221</v>
          </cell>
          <cell r="AH104">
            <v>0.18288094137765579</v>
          </cell>
          <cell r="AI104">
            <v>0.16958050927746265</v>
          </cell>
          <cell r="AJ104">
            <v>0.15724738133001079</v>
          </cell>
          <cell r="AK104">
            <v>0.14581120814237364</v>
          </cell>
          <cell r="AL104">
            <v>0.13520675664111009</v>
          </cell>
          <cell r="AM104">
            <v>0.12537353797630205</v>
          </cell>
          <cell r="AN104">
            <v>0.11625546248711639</v>
          </cell>
          <cell r="AO104">
            <v>0.10780051976078069</v>
          </cell>
          <cell r="AP104">
            <v>9.99604819599966E-2</v>
          </cell>
          <cell r="AQ104">
            <v>9.2690628726542268E-2</v>
          </cell>
          <cell r="AR104">
            <v>8.5949492091884669E-2</v>
          </cell>
          <cell r="AS104">
            <v>7.9698619939747584E-2</v>
          </cell>
          <cell r="AT104">
            <v>7.3902356671402283E-2</v>
          </cell>
          <cell r="AU104">
            <v>6.8527639822573039E-2</v>
          </cell>
          <cell r="AV104">
            <v>6.354381147184042E-2</v>
          </cell>
          <cell r="AW104">
            <v>5.8922443364797475E-2</v>
          </cell>
          <cell r="AX104">
            <v>5.4637174756448567E-2</v>
          </cell>
          <cell r="AY104">
            <v>5.0663562046888655E-2</v>
          </cell>
          <cell r="AZ104">
            <v>4.6978939352569464E-2</v>
          </cell>
          <cell r="BA104">
            <v>4.3562289217837148E-2</v>
          </cell>
          <cell r="BB104">
            <v>4.0394122729267165E-2</v>
          </cell>
          <cell r="BC104">
            <v>3.7456368348956819E-2</v>
          </cell>
          <cell r="BD104">
            <v>3.4732268832669055E-2</v>
          </cell>
          <cell r="BE104">
            <v>3.2206285644838566E-2</v>
          </cell>
          <cell r="BF104">
            <v>2.9864010325213932E-2</v>
          </cell>
          <cell r="BG104">
            <v>2.7692082301562015E-2</v>
          </cell>
          <cell r="BH104">
            <v>2.5678112679630223E-2</v>
          </cell>
          <cell r="BI104">
            <v>2.3810613575657117E-2</v>
          </cell>
          <cell r="BJ104">
            <v>2.2078932588336597E-2</v>
          </cell>
          <cell r="BK104">
            <v>2.0473192036457564E-2</v>
          </cell>
          <cell r="BL104">
            <v>1.8984232615624288E-2</v>
          </cell>
          <cell r="BM104">
            <v>1.760356115266979E-2</v>
          </cell>
          <cell r="BN104">
            <v>1.6323302159748355E-2</v>
          </cell>
          <cell r="BO104">
            <v>1.5136152911766645E-2</v>
          </cell>
          <cell r="BP104">
            <v>1.403534179091089E-2</v>
          </cell>
          <cell r="BQ104">
            <v>1.3014589660662827E-2</v>
          </cell>
          <cell r="BR104">
            <v>1.2068074048978248E-2</v>
          </cell>
          <cell r="BS104">
            <v>1.1190395936325287E-2</v>
          </cell>
          <cell r="BT104">
            <v>1.0376548959137996E-2</v>
          </cell>
          <cell r="BU104">
            <v>9.6218908530188597E-3</v>
          </cell>
          <cell r="BV104">
            <v>8.9221169727993089E-3</v>
          </cell>
          <cell r="BW104">
            <v>8.273235738413905E-3</v>
          </cell>
          <cell r="BX104">
            <v>7.6715458665292521E-3</v>
          </cell>
          <cell r="BY104">
            <v>7.1136152580543984E-3</v>
          </cell>
          <cell r="BZ104">
            <v>6.5962614211049885E-3</v>
          </cell>
          <cell r="CA104">
            <v>6.1165333177518938E-3</v>
          </cell>
          <cell r="CB104">
            <v>5.671694531006302E-3</v>
          </cell>
          <cell r="CC104">
            <v>5.259207656024026E-3</v>
          </cell>
          <cell r="CD104">
            <v>4.8767198264950034E-3</v>
          </cell>
          <cell r="CE104">
            <v>4.5220492936590036E-3</v>
          </cell>
          <cell r="CF104">
            <v>4.1931729813928943E-3</v>
          </cell>
          <cell r="CG104">
            <v>3.8882149463824989E-3</v>
          </cell>
          <cell r="CH104">
            <v>3.6054356775546813E-3</v>
          </cell>
          <cell r="CI104">
            <v>3.3432221737325235E-3</v>
          </cell>
          <cell r="CJ104">
            <v>3.1000787429156101E-3</v>
          </cell>
          <cell r="CK104">
            <v>2.8746184707035662E-3</v>
          </cell>
          <cell r="CL104">
            <v>2.6655553091978527E-3</v>
          </cell>
          <cell r="CM104">
            <v>2.471696741256189E-3</v>
          </cell>
          <cell r="CN104">
            <v>2.2919369782557395E-3</v>
          </cell>
          <cell r="CO104">
            <v>2.1252506525644131E-3</v>
          </cell>
          <cell r="CP104">
            <v>1.970686968741545E-3</v>
          </cell>
          <cell r="CQ104">
            <v>1.8273642801057968E-3</v>
          </cell>
          <cell r="CR104">
            <v>1.6944650597344661E-3</v>
          </cell>
          <cell r="CS104">
            <v>1.5712312372083222E-3</v>
          </cell>
          <cell r="CT104">
            <v>1.4569598745022626E-3</v>
          </cell>
          <cell r="CU104">
            <v>1.3509991563566436E-3</v>
          </cell>
          <cell r="CV104">
            <v>1.2527446722579777E-3</v>
          </cell>
          <cell r="CW104">
            <v>1.1616359688210341E-3</v>
          </cell>
          <cell r="CX104">
            <v>1.0771533529067771E-3</v>
          </cell>
          <cell r="CY104">
            <v>9.9881492724082904E-4</v>
          </cell>
          <cell r="CZ104">
            <v>9.261738416233143E-4</v>
          </cell>
          <cell r="DA104">
            <v>8.5881574405070969E-4</v>
          </cell>
          <cell r="DB104">
            <v>7.9635641721065753E-4</v>
          </cell>
          <cell r="DC104">
            <v>7.3843958686806437E-4</v>
          </cell>
          <cell r="DD104">
            <v>6.8473488964129617E-4</v>
          </cell>
          <cell r="DE104">
            <v>6.3493598857647469E-4</v>
          </cell>
          <cell r="DF104">
            <v>5.8875882577091247E-4</v>
          </cell>
          <cell r="DG104">
            <v>5.4594000207848254E-4</v>
          </cell>
          <cell r="DH104">
            <v>5.0623527465459297E-4</v>
          </cell>
          <cell r="DI104">
            <v>4.6941816377062221E-4</v>
          </cell>
          <cell r="DJ104">
            <v>4.3527866095094067E-4</v>
          </cell>
          <cell r="DK104">
            <v>4.0362203106359957E-4</v>
          </cell>
          <cell r="DL104">
            <v>3.7426770153170118E-4</v>
          </cell>
          <cell r="DM104">
            <v>3.4704823232939566E-4</v>
          </cell>
          <cell r="DN104">
            <v>3.2180836088725788E-4</v>
          </cell>
          <cell r="DO104">
            <v>2.9840411645909345E-4</v>
          </cell>
          <cell r="DP104">
            <v>2.7670199889843187E-4</v>
          </cell>
          <cell r="DQ104">
            <v>2.5657821716036438E-4</v>
          </cell>
          <cell r="DR104">
            <v>2.3791798318506497E-4</v>
          </cell>
          <cell r="DS104">
            <v>2.2061485713524188E-4</v>
          </cell>
          <cell r="DT104">
            <v>2.0457014025267907E-4</v>
          </cell>
          <cell r="DU104">
            <v>1.8969231187066589E-4</v>
          </cell>
          <cell r="DV104">
            <v>1.7589650737098096E-4</v>
          </cell>
          <cell r="DW104">
            <v>1.6310403410763706E-4</v>
          </cell>
          <cell r="DX104">
            <v>1.5124192253617244E-4</v>
          </cell>
          <cell r="DY104">
            <v>1.4024250998808706E-4</v>
          </cell>
          <cell r="DZ104">
            <v>1.3004305471622633E-4</v>
          </cell>
          <cell r="EA104">
            <v>1.2058537800959159E-4</v>
          </cell>
          <cell r="EB104">
            <v>1.1181553233616666E-4</v>
          </cell>
          <cell r="EC104">
            <v>1.0368349362080919E-4</v>
          </cell>
          <cell r="ED104">
            <v>9.6142875902932096E-5</v>
          </cell>
          <cell r="EE104">
            <v>8.9150666746355133E-5</v>
          </cell>
          <cell r="EF104">
            <v>8.2666981892074861E-5</v>
          </cell>
          <cell r="EG104">
            <v>7.6654837754469354E-5</v>
          </cell>
          <cell r="EH104">
            <v>7.1079940463235163E-5</v>
          </cell>
          <cell r="EI104">
            <v>6.5910490247727231E-5</v>
          </cell>
          <cell r="EJ104">
            <v>6.1117000047892467E-5</v>
          </cell>
          <cell r="EK104">
            <v>5.6672127317136714E-5</v>
          </cell>
          <cell r="EL104">
            <v>5.2550518057708545E-5</v>
          </cell>
          <cell r="EM104">
            <v>4.872866219896607E-5</v>
          </cell>
          <cell r="EN104">
            <v>4.5184759493586769E-5</v>
          </cell>
          <cell r="EO104">
            <v>4.1898595166780427E-5</v>
          </cell>
          <cell r="EP104">
            <v>3.8851424609196366E-5</v>
          </cell>
          <cell r="EQ104">
            <v>3.6025866455800305E-5</v>
          </cell>
          <cell r="ER104">
            <v>3.3405803440832984E-5</v>
          </cell>
          <cell r="ES104">
            <v>3.0976290463317836E-5</v>
          </cell>
          <cell r="ET104">
            <v>2.8723469338712933E-5</v>
          </cell>
          <cell r="EU104">
            <v>2.663448975044288E-5</v>
          </cell>
          <cell r="EV104">
            <v>2.4697435950410653E-5</v>
          </cell>
          <cell r="EW104">
            <v>2.2901258790380811E-5</v>
          </cell>
          <cell r="EX104">
            <v>2.1235712696534918E-5</v>
          </cell>
          <cell r="EY104">
            <v>1.9691297227695999E-5</v>
          </cell>
          <cell r="EZ104">
            <v>1.8259202883863581E-5</v>
          </cell>
          <cell r="FA104">
            <v>1.693126085594622E-5</v>
          </cell>
          <cell r="FB104">
            <v>1.5699896430059208E-5</v>
          </cell>
          <cell r="FC104">
            <v>1.4558085780600373E-5</v>
          </cell>
          <cell r="FD104">
            <v>1.3499315905647608E-5</v>
          </cell>
          <cell r="FE104">
            <v>1.2517547476145955E-5</v>
          </cell>
          <cell r="FF104">
            <v>1.1607180386971716E-5</v>
          </cell>
          <cell r="FG104">
            <v>1.0763021813373763E-5</v>
          </cell>
          <cell r="FH104">
            <v>9.9802565905829377E-6</v>
          </cell>
          <cell r="FI104">
            <v>9.2544197476314601E-6</v>
          </cell>
          <cell r="FJ104">
            <v>8.5813710387128035E-6</v>
          </cell>
          <cell r="FK104">
            <v>7.9572713268064105E-6</v>
          </cell>
          <cell r="FL104">
            <v>7.378560684856862E-6</v>
          </cell>
          <cell r="FM104">
            <v>6.8419380895945384E-6</v>
          </cell>
          <cell r="FN104">
            <v>6.3443425921694776E-6</v>
          </cell>
          <cell r="FO104">
            <v>5.8829358581935211E-6</v>
          </cell>
          <cell r="FP104">
            <v>5.4550859775976249E-6</v>
          </cell>
          <cell r="FQ104">
            <v>5.0583524519541573E-6</v>
          </cell>
          <cell r="FR104">
            <v>4.6904722736302229E-6</v>
          </cell>
          <cell r="FS104">
            <v>4.3493470173662043E-6</v>
          </cell>
          <cell r="FT104">
            <v>4.0330308706486592E-6</v>
          </cell>
          <cell r="FU104">
            <v>3.7397195346014873E-6</v>
          </cell>
          <cell r="FV104">
            <v>3.4677399320850132E-6</v>
          </cell>
          <cell r="FW104">
            <v>3.2155406642970096E-6</v>
          </cell>
          <cell r="FX104">
            <v>2.9816831614390485E-6</v>
          </cell>
          <cell r="FY104">
            <v>2.7648334769707519E-6</v>
          </cell>
          <cell r="FZ104">
            <v>2.5637546786456047E-6</v>
          </cell>
          <cell r="GA104">
            <v>2.3772997929259266E-6</v>
          </cell>
          <cell r="GB104">
            <v>2.2044052625313118E-6</v>
          </cell>
          <cell r="GC104">
            <v>2.0440848798017607E-6</v>
          </cell>
          <cell r="GD104">
            <v>1.8954241612707255E-6</v>
          </cell>
          <cell r="GE104">
            <v>1.757575131360126E-6</v>
          </cell>
          <cell r="GF104">
            <v>1.6297514854430248E-6</v>
          </cell>
          <cell r="GG104">
            <v>1.5112241046835336E-6</v>
          </cell>
          <cell r="GH104">
            <v>1.4013168970701845E-6</v>
          </cell>
          <cell r="GI104">
            <v>1.2994029409196248E-6</v>
          </cell>
          <cell r="GJ104">
            <v>1.2049009088527443E-6</v>
          </cell>
          <cell r="GK104">
            <v>1.1172717518452711E-6</v>
          </cell>
          <cell r="GL104">
            <v>1.0360156244383415E-6</v>
          </cell>
          <cell r="GM104">
            <v>9.6066903357009931E-7</v>
          </cell>
          <cell r="GN104">
            <v>8.9080219476500069E-7</v>
          </cell>
          <cell r="GO104">
            <v>8.2601658060027268E-7</v>
          </cell>
          <cell r="GP104">
            <v>7.659426474657082E-7</v>
          </cell>
          <cell r="GQ104">
            <v>7.1023772765001981E-7</v>
          </cell>
          <cell r="GR104">
            <v>6.5858407473001785E-7</v>
          </cell>
          <cell r="GS104">
            <v>6.1068705111328988E-7</v>
          </cell>
          <cell r="GT104">
            <v>5.6627344739595933E-7</v>
          </cell>
          <cell r="GU104">
            <v>5.2508992394898007E-7</v>
          </cell>
          <cell r="GV104">
            <v>4.8690156584360025E-7</v>
          </cell>
          <cell r="GW104">
            <v>4.5149054287315622E-7</v>
          </cell>
          <cell r="GX104">
            <v>4.1865486702783544E-7</v>
          </cell>
          <cell r="GY104">
            <v>3.8820724033490238E-7</v>
          </cell>
          <cell r="GZ104">
            <v>3.5997398649236376E-7</v>
          </cell>
          <cell r="HA104">
            <v>3.3379406020200977E-7</v>
          </cell>
          <cell r="HB104">
            <v>3.0951812855095482E-7</v>
          </cell>
          <cell r="HC104">
            <v>2.8700771920179428E-7</v>
          </cell>
          <cell r="HD104">
            <v>2.6613443053257264E-7</v>
          </cell>
          <cell r="HE104">
            <v>2.4677919922111308E-7</v>
          </cell>
          <cell r="HF104">
            <v>2.2883162109594109E-7</v>
          </cell>
          <cell r="HG104">
            <v>2.1218932137987246E-7</v>
          </cell>
          <cell r="HH104">
            <v>1.9675737073406378E-7</v>
          </cell>
          <cell r="HI104">
            <v>1.8244774377158625E-7</v>
          </cell>
          <cell r="HJ104">
            <v>1.6917881695183438E-7</v>
          </cell>
          <cell r="HK104">
            <v>1.5687490299170117E-7</v>
          </cell>
          <cell r="HL104">
            <v>1.4546581913775915E-7</v>
          </cell>
          <cell r="HM104">
            <v>1.3488648683683112E-7</v>
          </cell>
          <cell r="HN104">
            <v>1.2507656052142535E-7</v>
          </cell>
          <cell r="HO104">
            <v>1.1598008339259431E-7</v>
          </cell>
          <cell r="HP104">
            <v>1.075451682367692E-7</v>
          </cell>
          <cell r="HQ104">
            <v>9.9723701455913182E-8</v>
          </cell>
          <cell r="HR104">
            <v>9.2471068622756109E-8</v>
          </cell>
          <cell r="HS104">
            <v>8.5745899995646516E-8</v>
          </cell>
          <cell r="HT104">
            <v>7.9509834541417619E-8</v>
          </cell>
          <cell r="HU104">
            <v>7.3727301120223558E-8</v>
          </cell>
          <cell r="HV104">
            <v>6.8365315584207248E-8</v>
          </cell>
          <cell r="HW104">
            <v>6.3393292632628491E-8</v>
          </cell>
          <cell r="HX104">
            <v>5.8782871350255674E-8</v>
          </cell>
          <cell r="HY104">
            <v>5.4507753433873402E-8</v>
          </cell>
          <cell r="HZ104">
            <v>5.054355318413712E-8</v>
          </cell>
          <cell r="IA104">
            <v>4.6867658407108933E-8</v>
          </cell>
          <cell r="IB104">
            <v>4.3459101432046428E-8</v>
          </cell>
          <cell r="IC104">
            <v>4.0298439509715753E-8</v>
          </cell>
          <cell r="ID104">
            <v>3.7367643909009252E-8</v>
          </cell>
          <cell r="IE104">
            <v>3.4649997079263098E-8</v>
          </cell>
          <cell r="IF104">
            <v>3.2129997291680308E-8</v>
          </cell>
          <cell r="IG104">
            <v>2.9793270215921712E-8</v>
          </cell>
          <cell r="IH104">
            <v>2.7626486927491023E-8</v>
          </cell>
          <cell r="II104">
            <v>2.5617287878218933E-8</v>
          </cell>
          <cell r="IJ104">
            <v>2.3754212396166713E-8</v>
          </cell>
          <cell r="IK104">
            <v>2.2026633312809117E-8</v>
          </cell>
          <cell r="IL104">
            <v>2.0424696344604805E-8</v>
          </cell>
          <cell r="IM104">
            <v>1.8939263883178986E-8</v>
          </cell>
          <cell r="IN104">
            <v>1.7561862873493225E-8</v>
          </cell>
          <cell r="IO104">
            <v>1.6284636482693709E-8</v>
          </cell>
          <cell r="IP104">
            <v>1.5100299283952389E-8</v>
          </cell>
          <cell r="IQ104">
            <v>1.4002095699664933E-8</v>
          </cell>
          <cell r="IR104">
            <v>1.2983761466962018E-8</v>
          </cell>
          <cell r="IS104">
            <v>1.2039487905728407E-8</v>
          </cell>
          <cell r="IT104">
            <v>1.1163888785311788E-8</v>
          </cell>
          <cell r="IU104">
            <v>1.0351969600925469E-8</v>
          </cell>
          <cell r="IV104">
            <v>9.5990990844945513E-9</v>
          </cell>
          <cell r="IW104">
            <v>8.9009827874403965E-9</v>
          </cell>
          <cell r="IX104">
            <v>8.2536385847174523E-9</v>
          </cell>
          <cell r="IY104">
            <v>7.6533739603743603E-9</v>
          </cell>
          <cell r="IZ104">
            <v>7.096764945074401E-9</v>
          </cell>
          <cell r="JA104">
            <v>6.580636585432621E-9</v>
          </cell>
        </row>
        <row r="105">
          <cell r="L105">
            <v>0.96295001286293525</v>
          </cell>
          <cell r="M105">
            <v>0.89291728465472164</v>
          </cell>
          <cell r="N105">
            <v>0.82797784577074174</v>
          </cell>
          <cell r="O105">
            <v>0.76776127516923309</v>
          </cell>
          <cell r="P105">
            <v>0.71192409152056146</v>
          </cell>
          <cell r="Q105">
            <v>0.66014779395542977</v>
          </cell>
          <cell r="R105">
            <v>0.61213704530412572</v>
          </cell>
          <cell r="S105">
            <v>0.56761798746382552</v>
          </cell>
          <cell r="T105">
            <v>0.52633667928463812</v>
          </cell>
          <cell r="U105">
            <v>0.48805764806393709</v>
          </cell>
          <cell r="V105">
            <v>0.45256254638655968</v>
          </cell>
          <cell r="W105">
            <v>0.41964890664935539</v>
          </cell>
          <cell r="X105">
            <v>0.3891289861657658</v>
          </cell>
          <cell r="Y105">
            <v>0.36082869626280095</v>
          </cell>
          <cell r="Z105">
            <v>0.33458660926186995</v>
          </cell>
          <cell r="AA105">
            <v>0.31025303767918849</v>
          </cell>
          <cell r="AB105">
            <v>0.28768918039342922</v>
          </cell>
          <cell r="AC105">
            <v>0.26676633091027074</v>
          </cell>
          <cell r="AD105">
            <v>0.24736514320770558</v>
          </cell>
          <cell r="AE105">
            <v>0.22937495097441779</v>
          </cell>
          <cell r="AF105">
            <v>0.2126931363580965</v>
          </cell>
          <cell r="AG105">
            <v>0.19722454462296221</v>
          </cell>
          <cell r="AH105">
            <v>0.18288094137765579</v>
          </cell>
          <cell r="AI105">
            <v>0.16958050927746265</v>
          </cell>
          <cell r="AJ105">
            <v>0.15724738133001079</v>
          </cell>
          <cell r="AK105">
            <v>0.14581120814237364</v>
          </cell>
          <cell r="AL105">
            <v>0.13520675664111009</v>
          </cell>
          <cell r="AM105">
            <v>0.12537353797630205</v>
          </cell>
          <cell r="AN105">
            <v>0.11625546248711639</v>
          </cell>
          <cell r="AO105">
            <v>0.10780051976078069</v>
          </cell>
          <cell r="AP105">
            <v>9.99604819599966E-2</v>
          </cell>
          <cell r="AQ105">
            <v>9.2690628726542268E-2</v>
          </cell>
          <cell r="AR105">
            <v>8.5949492091884669E-2</v>
          </cell>
          <cell r="AS105">
            <v>7.9698619939747584E-2</v>
          </cell>
          <cell r="AT105">
            <v>7.3902356671402283E-2</v>
          </cell>
          <cell r="AU105">
            <v>6.8527639822573039E-2</v>
          </cell>
          <cell r="AV105">
            <v>6.354381147184042E-2</v>
          </cell>
          <cell r="AW105">
            <v>5.8922443364797475E-2</v>
          </cell>
          <cell r="AX105">
            <v>5.4637174756448567E-2</v>
          </cell>
          <cell r="AY105">
            <v>5.0663562046888655E-2</v>
          </cell>
          <cell r="AZ105">
            <v>4.6978939352569464E-2</v>
          </cell>
          <cell r="BA105">
            <v>4.3562289217837148E-2</v>
          </cell>
          <cell r="BB105">
            <v>4.0394122729267165E-2</v>
          </cell>
          <cell r="BC105">
            <v>3.7456368348956819E-2</v>
          </cell>
          <cell r="BD105">
            <v>3.4732268832669055E-2</v>
          </cell>
          <cell r="BE105">
            <v>3.2206285644838566E-2</v>
          </cell>
          <cell r="BF105">
            <v>2.9864010325213932E-2</v>
          </cell>
          <cell r="BG105">
            <v>2.7692082301562015E-2</v>
          </cell>
          <cell r="BH105">
            <v>2.5678112679630223E-2</v>
          </cell>
          <cell r="BI105">
            <v>2.3810613575657117E-2</v>
          </cell>
          <cell r="BJ105">
            <v>2.2078932588336597E-2</v>
          </cell>
          <cell r="BK105">
            <v>2.0473192036457564E-2</v>
          </cell>
          <cell r="BL105">
            <v>1.8984232615624288E-2</v>
          </cell>
          <cell r="BM105">
            <v>1.760356115266979E-2</v>
          </cell>
          <cell r="BN105">
            <v>1.6323302159748355E-2</v>
          </cell>
          <cell r="BO105">
            <v>1.5136152911766645E-2</v>
          </cell>
          <cell r="BP105">
            <v>1.403534179091089E-2</v>
          </cell>
          <cell r="BQ105">
            <v>1.3014589660662827E-2</v>
          </cell>
          <cell r="BR105">
            <v>1.2068074048978248E-2</v>
          </cell>
          <cell r="BS105">
            <v>1.1190395936325287E-2</v>
          </cell>
          <cell r="BT105">
            <v>1.0376548959137996E-2</v>
          </cell>
          <cell r="BU105">
            <v>9.6218908530188597E-3</v>
          </cell>
          <cell r="BV105">
            <v>8.9221169727993089E-3</v>
          </cell>
          <cell r="BW105">
            <v>8.273235738413905E-3</v>
          </cell>
          <cell r="BX105">
            <v>7.6715458665292521E-3</v>
          </cell>
          <cell r="BY105">
            <v>7.1136152580543984E-3</v>
          </cell>
          <cell r="BZ105">
            <v>6.5962614211049885E-3</v>
          </cell>
          <cell r="CA105">
            <v>6.1165333177518938E-3</v>
          </cell>
          <cell r="CB105">
            <v>5.671694531006302E-3</v>
          </cell>
          <cell r="CC105">
            <v>5.259207656024026E-3</v>
          </cell>
          <cell r="CD105">
            <v>4.8767198264950034E-3</v>
          </cell>
          <cell r="CE105">
            <v>4.5220492936590036E-3</v>
          </cell>
          <cell r="CF105">
            <v>4.1931729813928943E-3</v>
          </cell>
          <cell r="CG105">
            <v>3.8882149463824989E-3</v>
          </cell>
          <cell r="CH105">
            <v>3.6054356775546813E-3</v>
          </cell>
          <cell r="CI105">
            <v>3.3432221737325235E-3</v>
          </cell>
          <cell r="CJ105">
            <v>3.1000787429156101E-3</v>
          </cell>
          <cell r="CK105">
            <v>2.8746184707035662E-3</v>
          </cell>
          <cell r="CL105">
            <v>2.6655553091978527E-3</v>
          </cell>
          <cell r="CM105">
            <v>2.471696741256189E-3</v>
          </cell>
          <cell r="CN105">
            <v>2.2919369782557395E-3</v>
          </cell>
          <cell r="CO105">
            <v>2.1252506525644131E-3</v>
          </cell>
          <cell r="CP105">
            <v>1.970686968741545E-3</v>
          </cell>
          <cell r="CQ105">
            <v>1.8273642801057968E-3</v>
          </cell>
          <cell r="CR105">
            <v>1.6944650597344661E-3</v>
          </cell>
          <cell r="CS105">
            <v>1.5712312372083222E-3</v>
          </cell>
          <cell r="CT105">
            <v>1.4569598745022626E-3</v>
          </cell>
          <cell r="CU105">
            <v>1.3509991563566436E-3</v>
          </cell>
          <cell r="CV105">
            <v>1.2527446722579777E-3</v>
          </cell>
          <cell r="CW105">
            <v>1.1616359688210341E-3</v>
          </cell>
          <cell r="CX105">
            <v>1.0771533529067771E-3</v>
          </cell>
          <cell r="CY105">
            <v>9.9881492724082904E-4</v>
          </cell>
          <cell r="CZ105">
            <v>9.261738416233143E-4</v>
          </cell>
          <cell r="DA105">
            <v>8.5881574405070969E-4</v>
          </cell>
          <cell r="DB105">
            <v>7.9635641721065753E-4</v>
          </cell>
          <cell r="DC105">
            <v>7.3843958686806437E-4</v>
          </cell>
          <cell r="DD105">
            <v>6.8473488964129617E-4</v>
          </cell>
          <cell r="DE105">
            <v>6.3493598857647469E-4</v>
          </cell>
          <cell r="DF105">
            <v>5.8875882577091247E-4</v>
          </cell>
          <cell r="DG105">
            <v>5.4594000207848254E-4</v>
          </cell>
          <cell r="DH105">
            <v>5.0623527465459297E-4</v>
          </cell>
          <cell r="DI105">
            <v>4.6941816377062221E-4</v>
          </cell>
          <cell r="DJ105">
            <v>4.3527866095094067E-4</v>
          </cell>
          <cell r="DK105">
            <v>4.0362203106359957E-4</v>
          </cell>
          <cell r="DL105">
            <v>3.7426770153170118E-4</v>
          </cell>
          <cell r="DM105">
            <v>3.4704823232939566E-4</v>
          </cell>
          <cell r="DN105">
            <v>3.2180836088725788E-4</v>
          </cell>
          <cell r="DO105">
            <v>2.9840411645909345E-4</v>
          </cell>
          <cell r="DP105">
            <v>2.7670199889843187E-4</v>
          </cell>
          <cell r="DQ105">
            <v>2.5657821716036438E-4</v>
          </cell>
          <cell r="DR105">
            <v>2.3791798318506497E-4</v>
          </cell>
          <cell r="DS105">
            <v>2.2061485713524188E-4</v>
          </cell>
          <cell r="DT105">
            <v>2.0457014025267907E-4</v>
          </cell>
          <cell r="DU105">
            <v>1.8969231187066589E-4</v>
          </cell>
          <cell r="DV105">
            <v>1.7589650737098096E-4</v>
          </cell>
          <cell r="DW105">
            <v>1.6310403410763706E-4</v>
          </cell>
          <cell r="DX105">
            <v>1.5124192253617244E-4</v>
          </cell>
          <cell r="DY105">
            <v>1.4024250998808706E-4</v>
          </cell>
          <cell r="DZ105">
            <v>1.3004305471622633E-4</v>
          </cell>
          <cell r="EA105">
            <v>1.2058537800959159E-4</v>
          </cell>
          <cell r="EB105">
            <v>1.1181553233616666E-4</v>
          </cell>
          <cell r="EC105">
            <v>1.0368349362080919E-4</v>
          </cell>
          <cell r="ED105">
            <v>9.6142875902932096E-5</v>
          </cell>
          <cell r="EE105">
            <v>8.9150666746355133E-5</v>
          </cell>
          <cell r="EF105">
            <v>8.2666981892074861E-5</v>
          </cell>
          <cell r="EG105">
            <v>7.6654837754469354E-5</v>
          </cell>
          <cell r="EH105">
            <v>7.1079940463235163E-5</v>
          </cell>
          <cell r="EI105">
            <v>6.5910490247727231E-5</v>
          </cell>
          <cell r="EJ105">
            <v>6.1117000047892467E-5</v>
          </cell>
          <cell r="EK105">
            <v>5.6672127317136714E-5</v>
          </cell>
          <cell r="EL105">
            <v>5.2550518057708545E-5</v>
          </cell>
          <cell r="EM105">
            <v>4.872866219896607E-5</v>
          </cell>
          <cell r="EN105">
            <v>4.5184759493586769E-5</v>
          </cell>
          <cell r="EO105">
            <v>4.1898595166780427E-5</v>
          </cell>
          <cell r="EP105">
            <v>3.8851424609196366E-5</v>
          </cell>
          <cell r="EQ105">
            <v>3.6025866455800305E-5</v>
          </cell>
          <cell r="ER105">
            <v>3.3405803440832984E-5</v>
          </cell>
          <cell r="ES105">
            <v>3.0976290463317836E-5</v>
          </cell>
          <cell r="ET105">
            <v>2.8723469338712933E-5</v>
          </cell>
          <cell r="EU105">
            <v>2.663448975044288E-5</v>
          </cell>
          <cell r="EV105">
            <v>2.4697435950410653E-5</v>
          </cell>
          <cell r="EW105">
            <v>2.2901258790380811E-5</v>
          </cell>
          <cell r="EX105">
            <v>2.1235712696534918E-5</v>
          </cell>
          <cell r="EY105">
            <v>1.9691297227695999E-5</v>
          </cell>
          <cell r="EZ105">
            <v>1.8259202883863581E-5</v>
          </cell>
          <cell r="FA105">
            <v>1.693126085594622E-5</v>
          </cell>
          <cell r="FB105">
            <v>1.5699896430059208E-5</v>
          </cell>
          <cell r="FC105">
            <v>1.4558085780600373E-5</v>
          </cell>
          <cell r="FD105">
            <v>1.3499315905647608E-5</v>
          </cell>
          <cell r="FE105">
            <v>1.2517547476145955E-5</v>
          </cell>
          <cell r="FF105">
            <v>1.1607180386971716E-5</v>
          </cell>
          <cell r="FG105">
            <v>1.0763021813373763E-5</v>
          </cell>
          <cell r="FH105">
            <v>9.9802565905829377E-6</v>
          </cell>
          <cell r="FI105">
            <v>9.2544197476314601E-6</v>
          </cell>
          <cell r="FJ105">
            <v>8.5813710387128035E-6</v>
          </cell>
          <cell r="FK105">
            <v>7.9572713268064105E-6</v>
          </cell>
          <cell r="FL105">
            <v>7.378560684856862E-6</v>
          </cell>
          <cell r="FM105">
            <v>6.8419380895945384E-6</v>
          </cell>
          <cell r="FN105">
            <v>6.3443425921694776E-6</v>
          </cell>
          <cell r="FO105">
            <v>5.8829358581935211E-6</v>
          </cell>
          <cell r="FP105">
            <v>5.4550859775976249E-6</v>
          </cell>
          <cell r="FQ105">
            <v>5.0583524519541573E-6</v>
          </cell>
          <cell r="FR105">
            <v>4.6904722736302229E-6</v>
          </cell>
          <cell r="FS105">
            <v>4.3493470173662043E-6</v>
          </cell>
          <cell r="FT105">
            <v>4.0330308706486592E-6</v>
          </cell>
          <cell r="FU105">
            <v>3.7397195346014873E-6</v>
          </cell>
          <cell r="FV105">
            <v>3.4677399320850132E-6</v>
          </cell>
          <cell r="FW105">
            <v>3.2155406642970096E-6</v>
          </cell>
          <cell r="FX105">
            <v>2.9816831614390485E-6</v>
          </cell>
          <cell r="FY105">
            <v>2.7648334769707519E-6</v>
          </cell>
          <cell r="FZ105">
            <v>2.5637546786456047E-6</v>
          </cell>
          <cell r="GA105">
            <v>2.3772997929259266E-6</v>
          </cell>
          <cell r="GB105">
            <v>2.2044052625313118E-6</v>
          </cell>
          <cell r="GC105">
            <v>2.0440848798017607E-6</v>
          </cell>
          <cell r="GD105">
            <v>1.8954241612707255E-6</v>
          </cell>
          <cell r="GE105">
            <v>1.757575131360126E-6</v>
          </cell>
          <cell r="GF105">
            <v>1.6297514854430248E-6</v>
          </cell>
          <cell r="GG105">
            <v>1.5112241046835336E-6</v>
          </cell>
          <cell r="GH105">
            <v>1.4013168970701845E-6</v>
          </cell>
          <cell r="GI105">
            <v>1.2994029409196248E-6</v>
          </cell>
          <cell r="GJ105">
            <v>1.2049009088527443E-6</v>
          </cell>
          <cell r="GK105">
            <v>1.1172717518452711E-6</v>
          </cell>
          <cell r="GL105">
            <v>1.0360156244383415E-6</v>
          </cell>
          <cell r="GM105">
            <v>9.6066903357009931E-7</v>
          </cell>
          <cell r="GN105">
            <v>8.9080219476500069E-7</v>
          </cell>
          <cell r="GO105">
            <v>8.2601658060027268E-7</v>
          </cell>
          <cell r="GP105">
            <v>7.659426474657082E-7</v>
          </cell>
          <cell r="GQ105">
            <v>7.1023772765001981E-7</v>
          </cell>
          <cell r="GR105">
            <v>6.5858407473001785E-7</v>
          </cell>
          <cell r="GS105">
            <v>6.1068705111328988E-7</v>
          </cell>
          <cell r="GT105">
            <v>5.6627344739595933E-7</v>
          </cell>
          <cell r="GU105">
            <v>5.2508992394898007E-7</v>
          </cell>
          <cell r="GV105">
            <v>4.8690156584360025E-7</v>
          </cell>
          <cell r="GW105">
            <v>4.5149054287315622E-7</v>
          </cell>
          <cell r="GX105">
            <v>4.1865486702783544E-7</v>
          </cell>
          <cell r="GY105">
            <v>3.8820724033490238E-7</v>
          </cell>
          <cell r="GZ105">
            <v>3.5997398649236376E-7</v>
          </cell>
          <cell r="HA105">
            <v>3.3379406020200977E-7</v>
          </cell>
          <cell r="HB105">
            <v>3.0951812855095482E-7</v>
          </cell>
          <cell r="HC105">
            <v>2.8700771920179428E-7</v>
          </cell>
          <cell r="HD105">
            <v>2.6613443053257264E-7</v>
          </cell>
          <cell r="HE105">
            <v>2.4677919922111308E-7</v>
          </cell>
          <cell r="HF105">
            <v>2.2883162109594109E-7</v>
          </cell>
          <cell r="HG105">
            <v>2.1218932137987246E-7</v>
          </cell>
          <cell r="HH105">
            <v>1.9675737073406378E-7</v>
          </cell>
          <cell r="HI105">
            <v>1.8244774377158625E-7</v>
          </cell>
          <cell r="HJ105">
            <v>1.6917881695183438E-7</v>
          </cell>
          <cell r="HK105">
            <v>1.5687490299170117E-7</v>
          </cell>
          <cell r="HL105">
            <v>1.4546581913775915E-7</v>
          </cell>
          <cell r="HM105">
            <v>1.3488648683683112E-7</v>
          </cell>
          <cell r="HN105">
            <v>1.2507656052142535E-7</v>
          </cell>
          <cell r="HO105">
            <v>1.1598008339259431E-7</v>
          </cell>
          <cell r="HP105">
            <v>1.075451682367692E-7</v>
          </cell>
          <cell r="HQ105">
            <v>9.9723701455913182E-8</v>
          </cell>
          <cell r="HR105">
            <v>9.2471068622756109E-8</v>
          </cell>
          <cell r="HS105">
            <v>8.5745899995646516E-8</v>
          </cell>
          <cell r="HT105">
            <v>7.9509834541417619E-8</v>
          </cell>
          <cell r="HU105">
            <v>7.3727301120223558E-8</v>
          </cell>
          <cell r="HV105">
            <v>6.8365315584207248E-8</v>
          </cell>
          <cell r="HW105">
            <v>6.3393292632628491E-8</v>
          </cell>
          <cell r="HX105">
            <v>5.8782871350255674E-8</v>
          </cell>
          <cell r="HY105">
            <v>5.4507753433873402E-8</v>
          </cell>
          <cell r="HZ105">
            <v>5.054355318413712E-8</v>
          </cell>
          <cell r="IA105">
            <v>4.6867658407108933E-8</v>
          </cell>
          <cell r="IB105">
            <v>4.3459101432046428E-8</v>
          </cell>
          <cell r="IC105">
            <v>4.0298439509715753E-8</v>
          </cell>
          <cell r="ID105">
            <v>3.7367643909009252E-8</v>
          </cell>
          <cell r="IE105">
            <v>3.4649997079263098E-8</v>
          </cell>
          <cell r="IF105">
            <v>3.2129997291680308E-8</v>
          </cell>
          <cell r="IG105">
            <v>2.9793270215921712E-8</v>
          </cell>
          <cell r="IH105">
            <v>2.7626486927491023E-8</v>
          </cell>
          <cell r="II105">
            <v>2.5617287878218933E-8</v>
          </cell>
          <cell r="IJ105">
            <v>2.3754212396166713E-8</v>
          </cell>
          <cell r="IK105">
            <v>2.2026633312809117E-8</v>
          </cell>
          <cell r="IL105">
            <v>2.0424696344604805E-8</v>
          </cell>
          <cell r="IM105">
            <v>1.8939263883178986E-8</v>
          </cell>
          <cell r="IN105">
            <v>1.7561862873493225E-8</v>
          </cell>
          <cell r="IO105">
            <v>1.6284636482693709E-8</v>
          </cell>
          <cell r="IP105">
            <v>1.5100299283952389E-8</v>
          </cell>
          <cell r="IQ105">
            <v>1.4002095699664933E-8</v>
          </cell>
          <cell r="IR105">
            <v>1.2983761466962018E-8</v>
          </cell>
          <cell r="IS105">
            <v>1.2039487905728407E-8</v>
          </cell>
          <cell r="IT105">
            <v>1.1163888785311788E-8</v>
          </cell>
          <cell r="IU105">
            <v>1.0351969600925469E-8</v>
          </cell>
          <cell r="IV105">
            <v>9.5990990844945513E-9</v>
          </cell>
          <cell r="IW105">
            <v>8.9009827874403965E-9</v>
          </cell>
          <cell r="IX105">
            <v>8.2536385847174523E-9</v>
          </cell>
          <cell r="IY105">
            <v>7.6533739603743603E-9</v>
          </cell>
          <cell r="IZ105">
            <v>7.096764945074401E-9</v>
          </cell>
          <cell r="JA105">
            <v>6.580636585432621E-9</v>
          </cell>
        </row>
        <row r="106">
          <cell r="L106">
            <v>0</v>
          </cell>
          <cell r="M106">
            <v>0</v>
          </cell>
          <cell r="N106">
            <v>0</v>
          </cell>
          <cell r="O106">
            <v>0</v>
          </cell>
          <cell r="P106">
            <v>0</v>
          </cell>
          <cell r="Q106">
            <v>0.96295001286293525</v>
          </cell>
          <cell r="R106">
            <v>0.89291728465472164</v>
          </cell>
          <cell r="S106">
            <v>0.82797784577074174</v>
          </cell>
          <cell r="T106">
            <v>0.76776127516923309</v>
          </cell>
          <cell r="U106">
            <v>0.71192409152056146</v>
          </cell>
          <cell r="V106">
            <v>0.66014779395542977</v>
          </cell>
          <cell r="W106">
            <v>0.61213704530412572</v>
          </cell>
          <cell r="X106">
            <v>0.56761798746382552</v>
          </cell>
          <cell r="Y106">
            <v>0.52633667928463812</v>
          </cell>
          <cell r="Z106">
            <v>0.48805764806393709</v>
          </cell>
          <cell r="AA106">
            <v>0.45256254638655968</v>
          </cell>
          <cell r="AB106">
            <v>0.41964890664935539</v>
          </cell>
          <cell r="AC106">
            <v>0.3891289861657658</v>
          </cell>
          <cell r="AD106">
            <v>0.36082869626280095</v>
          </cell>
          <cell r="AE106">
            <v>0.33458660926186995</v>
          </cell>
          <cell r="AF106">
            <v>0.31025303767918849</v>
          </cell>
          <cell r="AG106">
            <v>0.28768918039342922</v>
          </cell>
          <cell r="AH106">
            <v>0.26676633091027074</v>
          </cell>
          <cell r="AI106">
            <v>0.24736514320770558</v>
          </cell>
          <cell r="AJ106">
            <v>0.22937495097441779</v>
          </cell>
          <cell r="AK106">
            <v>0.2126931363580965</v>
          </cell>
          <cell r="AL106">
            <v>0.19722454462296221</v>
          </cell>
          <cell r="AM106">
            <v>0.18288094137765579</v>
          </cell>
          <cell r="AN106">
            <v>0.16958050927746265</v>
          </cell>
          <cell r="AO106">
            <v>0.15724738133001079</v>
          </cell>
          <cell r="AP106">
            <v>0.14581120814237364</v>
          </cell>
          <cell r="AQ106">
            <v>0.13520675664111009</v>
          </cell>
          <cell r="AR106">
            <v>0.12537353797630205</v>
          </cell>
          <cell r="AS106">
            <v>0.11625546248711639</v>
          </cell>
          <cell r="AT106">
            <v>0.10780051976078069</v>
          </cell>
          <cell r="AU106">
            <v>9.99604819599966E-2</v>
          </cell>
          <cell r="AV106">
            <v>9.2690628726542268E-2</v>
          </cell>
          <cell r="AW106">
            <v>8.5949492091884669E-2</v>
          </cell>
          <cell r="AX106">
            <v>7.9698619939747584E-2</v>
          </cell>
          <cell r="AY106">
            <v>7.3902356671402283E-2</v>
          </cell>
          <cell r="AZ106">
            <v>6.8527639822573039E-2</v>
          </cell>
          <cell r="BA106">
            <v>6.354381147184042E-2</v>
          </cell>
          <cell r="BB106">
            <v>5.8922443364797475E-2</v>
          </cell>
          <cell r="BC106">
            <v>5.4637174756448567E-2</v>
          </cell>
          <cell r="BD106">
            <v>5.0663562046888655E-2</v>
          </cell>
          <cell r="BE106">
            <v>4.6978939352569464E-2</v>
          </cell>
          <cell r="BF106">
            <v>4.3562289217837148E-2</v>
          </cell>
          <cell r="BG106">
            <v>4.0394122729267165E-2</v>
          </cell>
          <cell r="BH106">
            <v>3.7456368348956819E-2</v>
          </cell>
          <cell r="BI106">
            <v>3.4732268832669055E-2</v>
          </cell>
          <cell r="BJ106">
            <v>3.2206285644838566E-2</v>
          </cell>
          <cell r="BK106">
            <v>2.9864010325213932E-2</v>
          </cell>
          <cell r="BL106">
            <v>2.7692082301562015E-2</v>
          </cell>
          <cell r="BM106">
            <v>2.5678112679630223E-2</v>
          </cell>
          <cell r="BN106">
            <v>2.3810613575657117E-2</v>
          </cell>
          <cell r="BO106">
            <v>2.2078932588336597E-2</v>
          </cell>
          <cell r="BP106">
            <v>2.0473192036457564E-2</v>
          </cell>
          <cell r="BQ106">
            <v>1.8984232615624288E-2</v>
          </cell>
          <cell r="BR106">
            <v>1.760356115266979E-2</v>
          </cell>
          <cell r="BS106">
            <v>1.6323302159748355E-2</v>
          </cell>
          <cell r="BT106">
            <v>1.5136152911766645E-2</v>
          </cell>
          <cell r="BU106">
            <v>1.403534179091089E-2</v>
          </cell>
          <cell r="BV106">
            <v>1.3014589660662827E-2</v>
          </cell>
          <cell r="BW106">
            <v>1.2068074048978248E-2</v>
          </cell>
          <cell r="BX106">
            <v>1.1190395936325287E-2</v>
          </cell>
          <cell r="BY106">
            <v>1.0376548959137996E-2</v>
          </cell>
          <cell r="BZ106">
            <v>9.6218908530188597E-3</v>
          </cell>
          <cell r="CA106">
            <v>8.9221169727993089E-3</v>
          </cell>
          <cell r="CB106">
            <v>8.273235738413905E-3</v>
          </cell>
          <cell r="CC106">
            <v>7.6715458665292521E-3</v>
          </cell>
          <cell r="CD106">
            <v>7.1136152580543984E-3</v>
          </cell>
          <cell r="CE106">
            <v>6.5962614211049885E-3</v>
          </cell>
          <cell r="CF106">
            <v>6.1165333177518938E-3</v>
          </cell>
          <cell r="CG106">
            <v>5.671694531006302E-3</v>
          </cell>
          <cell r="CH106">
            <v>5.259207656024026E-3</v>
          </cell>
          <cell r="CI106">
            <v>4.8767198264950034E-3</v>
          </cell>
          <cell r="CJ106">
            <v>4.5220492936590036E-3</v>
          </cell>
          <cell r="CK106">
            <v>4.1931729813928943E-3</v>
          </cell>
          <cell r="CL106">
            <v>3.8882149463824989E-3</v>
          </cell>
          <cell r="CM106">
            <v>3.6054356775546813E-3</v>
          </cell>
          <cell r="CN106">
            <v>3.3432221737325235E-3</v>
          </cell>
          <cell r="CO106">
            <v>3.1000787429156101E-3</v>
          </cell>
          <cell r="CP106">
            <v>2.8746184707035662E-3</v>
          </cell>
          <cell r="CQ106">
            <v>2.6655553091978527E-3</v>
          </cell>
          <cell r="CR106">
            <v>2.471696741256189E-3</v>
          </cell>
          <cell r="CS106">
            <v>2.2919369782557395E-3</v>
          </cell>
          <cell r="CT106">
            <v>2.1252506525644131E-3</v>
          </cell>
          <cell r="CU106">
            <v>1.970686968741545E-3</v>
          </cell>
          <cell r="CV106">
            <v>1.8273642801057968E-3</v>
          </cell>
          <cell r="CW106">
            <v>1.6944650597344661E-3</v>
          </cell>
          <cell r="CX106">
            <v>1.5712312372083222E-3</v>
          </cell>
          <cell r="CY106">
            <v>1.4569598745022626E-3</v>
          </cell>
          <cell r="CZ106">
            <v>1.3509991563566436E-3</v>
          </cell>
          <cell r="DA106">
            <v>1.2527446722579777E-3</v>
          </cell>
          <cell r="DB106">
            <v>1.1616359688210341E-3</v>
          </cell>
          <cell r="DC106">
            <v>1.0771533529067771E-3</v>
          </cell>
          <cell r="DD106">
            <v>9.9881492724082904E-4</v>
          </cell>
          <cell r="DE106">
            <v>9.261738416233143E-4</v>
          </cell>
          <cell r="DF106">
            <v>8.5881574405070969E-4</v>
          </cell>
          <cell r="DG106">
            <v>7.9635641721065753E-4</v>
          </cell>
          <cell r="DH106">
            <v>7.3843958686806437E-4</v>
          </cell>
          <cell r="DI106">
            <v>6.8473488964129617E-4</v>
          </cell>
          <cell r="DJ106">
            <v>6.3493598857647469E-4</v>
          </cell>
          <cell r="DK106">
            <v>5.8875882577091247E-4</v>
          </cell>
          <cell r="DL106">
            <v>5.4594000207848254E-4</v>
          </cell>
          <cell r="DM106">
            <v>5.0623527465459297E-4</v>
          </cell>
          <cell r="DN106">
            <v>4.6941816377062221E-4</v>
          </cell>
          <cell r="DO106">
            <v>4.3527866095094067E-4</v>
          </cell>
          <cell r="DP106">
            <v>4.0362203106359957E-4</v>
          </cell>
          <cell r="DQ106">
            <v>3.7426770153170118E-4</v>
          </cell>
          <cell r="DR106">
            <v>3.4704823232939566E-4</v>
          </cell>
          <cell r="DS106">
            <v>3.2180836088725788E-4</v>
          </cell>
          <cell r="DT106">
            <v>2.9840411645909345E-4</v>
          </cell>
          <cell r="DU106">
            <v>2.7670199889843187E-4</v>
          </cell>
          <cell r="DV106">
            <v>2.5657821716036438E-4</v>
          </cell>
          <cell r="DW106">
            <v>2.3791798318506497E-4</v>
          </cell>
          <cell r="DX106">
            <v>2.2061485713524188E-4</v>
          </cell>
          <cell r="DY106">
            <v>2.0457014025267907E-4</v>
          </cell>
          <cell r="DZ106">
            <v>1.8969231187066589E-4</v>
          </cell>
          <cell r="EA106">
            <v>1.7589650737098096E-4</v>
          </cell>
          <cell r="EB106">
            <v>1.6310403410763706E-4</v>
          </cell>
          <cell r="EC106">
            <v>1.5124192253617244E-4</v>
          </cell>
          <cell r="ED106">
            <v>1.4024250998808706E-4</v>
          </cell>
          <cell r="EE106">
            <v>1.3004305471622633E-4</v>
          </cell>
          <cell r="EF106">
            <v>1.2058537800959159E-4</v>
          </cell>
          <cell r="EG106">
            <v>1.1181553233616666E-4</v>
          </cell>
          <cell r="EH106">
            <v>1.0368349362080919E-4</v>
          </cell>
          <cell r="EI106">
            <v>9.6142875902932096E-5</v>
          </cell>
          <cell r="EJ106">
            <v>8.9150666746355133E-5</v>
          </cell>
          <cell r="EK106">
            <v>8.2666981892074861E-5</v>
          </cell>
          <cell r="EL106">
            <v>7.6654837754469354E-5</v>
          </cell>
          <cell r="EM106">
            <v>7.1079940463235163E-5</v>
          </cell>
          <cell r="EN106">
            <v>6.5910490247727231E-5</v>
          </cell>
          <cell r="EO106">
            <v>6.1117000047892467E-5</v>
          </cell>
          <cell r="EP106">
            <v>5.6672127317136714E-5</v>
          </cell>
          <cell r="EQ106">
            <v>5.2550518057708545E-5</v>
          </cell>
          <cell r="ER106">
            <v>4.872866219896607E-5</v>
          </cell>
          <cell r="ES106">
            <v>4.5184759493586769E-5</v>
          </cell>
          <cell r="ET106">
            <v>4.1898595166780427E-5</v>
          </cell>
          <cell r="EU106">
            <v>3.8851424609196366E-5</v>
          </cell>
          <cell r="EV106">
            <v>3.6025866455800305E-5</v>
          </cell>
          <cell r="EW106">
            <v>3.3405803440832984E-5</v>
          </cell>
          <cell r="EX106">
            <v>3.0976290463317836E-5</v>
          </cell>
          <cell r="EY106">
            <v>2.8723469338712933E-5</v>
          </cell>
          <cell r="EZ106">
            <v>2.663448975044288E-5</v>
          </cell>
          <cell r="FA106">
            <v>2.4697435950410653E-5</v>
          </cell>
          <cell r="FB106">
            <v>2.2901258790380811E-5</v>
          </cell>
          <cell r="FC106">
            <v>2.1235712696534918E-5</v>
          </cell>
          <cell r="FD106">
            <v>1.9691297227695999E-5</v>
          </cell>
          <cell r="FE106">
            <v>1.8259202883863581E-5</v>
          </cell>
          <cell r="FF106">
            <v>1.693126085594622E-5</v>
          </cell>
          <cell r="FG106">
            <v>1.5699896430059208E-5</v>
          </cell>
          <cell r="FH106">
            <v>1.4558085780600373E-5</v>
          </cell>
          <cell r="FI106">
            <v>1.3499315905647608E-5</v>
          </cell>
          <cell r="FJ106">
            <v>1.2517547476145955E-5</v>
          </cell>
          <cell r="FK106">
            <v>1.1607180386971716E-5</v>
          </cell>
          <cell r="FL106">
            <v>1.0763021813373763E-5</v>
          </cell>
          <cell r="FM106">
            <v>9.9802565905829377E-6</v>
          </cell>
          <cell r="FN106">
            <v>9.2544197476314601E-6</v>
          </cell>
          <cell r="FO106">
            <v>8.5813710387128035E-6</v>
          </cell>
          <cell r="FP106">
            <v>7.9572713268064105E-6</v>
          </cell>
          <cell r="FQ106">
            <v>7.378560684856862E-6</v>
          </cell>
          <cell r="FR106">
            <v>6.8419380895945384E-6</v>
          </cell>
          <cell r="FS106">
            <v>6.3443425921694776E-6</v>
          </cell>
          <cell r="FT106">
            <v>5.8829358581935211E-6</v>
          </cell>
          <cell r="FU106">
            <v>5.4550859775976249E-6</v>
          </cell>
          <cell r="FV106">
            <v>5.0583524519541573E-6</v>
          </cell>
          <cell r="FW106">
            <v>4.6904722736302229E-6</v>
          </cell>
          <cell r="FX106">
            <v>4.3493470173662043E-6</v>
          </cell>
          <cell r="FY106">
            <v>4.0330308706486592E-6</v>
          </cell>
          <cell r="FZ106">
            <v>3.7397195346014873E-6</v>
          </cell>
          <cell r="GA106">
            <v>3.4677399320850132E-6</v>
          </cell>
          <cell r="GB106">
            <v>3.2155406642970096E-6</v>
          </cell>
          <cell r="GC106">
            <v>2.9816831614390485E-6</v>
          </cell>
          <cell r="GD106">
            <v>2.7648334769707519E-6</v>
          </cell>
          <cell r="GE106">
            <v>2.5637546786456047E-6</v>
          </cell>
          <cell r="GF106">
            <v>2.3772997929259266E-6</v>
          </cell>
          <cell r="GG106">
            <v>2.2044052625313118E-6</v>
          </cell>
          <cell r="GH106">
            <v>2.0440848798017607E-6</v>
          </cell>
          <cell r="GI106">
            <v>1.8954241612707255E-6</v>
          </cell>
          <cell r="GJ106">
            <v>1.757575131360126E-6</v>
          </cell>
          <cell r="GK106">
            <v>1.6297514854430248E-6</v>
          </cell>
          <cell r="GL106">
            <v>1.5112241046835336E-6</v>
          </cell>
          <cell r="GM106">
            <v>1.4013168970701845E-6</v>
          </cell>
          <cell r="GN106">
            <v>1.2994029409196248E-6</v>
          </cell>
          <cell r="GO106">
            <v>1.2049009088527443E-6</v>
          </cell>
          <cell r="GP106">
            <v>1.1172717518452711E-6</v>
          </cell>
          <cell r="GQ106">
            <v>1.0360156244383415E-6</v>
          </cell>
          <cell r="GR106">
            <v>9.6066903357009931E-7</v>
          </cell>
          <cell r="GS106">
            <v>8.9080219476500069E-7</v>
          </cell>
          <cell r="GT106">
            <v>8.2601658060027268E-7</v>
          </cell>
          <cell r="GU106">
            <v>7.659426474657082E-7</v>
          </cell>
          <cell r="GV106">
            <v>7.1023772765001981E-7</v>
          </cell>
          <cell r="GW106">
            <v>6.5858407473001785E-7</v>
          </cell>
          <cell r="GX106">
            <v>6.1068705111328988E-7</v>
          </cell>
          <cell r="GY106">
            <v>5.6627344739595933E-7</v>
          </cell>
          <cell r="GZ106">
            <v>5.2508992394898007E-7</v>
          </cell>
          <cell r="HA106">
            <v>4.8690156584360025E-7</v>
          </cell>
          <cell r="HB106">
            <v>4.5149054287315622E-7</v>
          </cell>
          <cell r="HC106">
            <v>4.1865486702783544E-7</v>
          </cell>
          <cell r="HD106">
            <v>3.8820724033490238E-7</v>
          </cell>
          <cell r="HE106">
            <v>3.5997398649236376E-7</v>
          </cell>
          <cell r="HF106">
            <v>3.3379406020200977E-7</v>
          </cell>
          <cell r="HG106">
            <v>3.0951812855095482E-7</v>
          </cell>
          <cell r="HH106">
            <v>2.8700771920179428E-7</v>
          </cell>
          <cell r="HI106">
            <v>2.6613443053257264E-7</v>
          </cell>
          <cell r="HJ106">
            <v>2.4677919922111308E-7</v>
          </cell>
          <cell r="HK106">
            <v>2.2883162109594109E-7</v>
          </cell>
          <cell r="HL106">
            <v>2.1218932137987246E-7</v>
          </cell>
          <cell r="HM106">
            <v>1.9675737073406378E-7</v>
          </cell>
          <cell r="HN106">
            <v>1.8244774377158625E-7</v>
          </cell>
          <cell r="HO106">
            <v>1.6917881695183438E-7</v>
          </cell>
          <cell r="HP106">
            <v>1.5687490299170117E-7</v>
          </cell>
          <cell r="HQ106">
            <v>1.4546581913775915E-7</v>
          </cell>
          <cell r="HR106">
            <v>1.3488648683683112E-7</v>
          </cell>
          <cell r="HS106">
            <v>1.2507656052142535E-7</v>
          </cell>
          <cell r="HT106">
            <v>1.1598008339259431E-7</v>
          </cell>
          <cell r="HU106">
            <v>1.075451682367692E-7</v>
          </cell>
          <cell r="HV106">
            <v>9.9723701455913182E-8</v>
          </cell>
          <cell r="HW106">
            <v>9.2471068622756109E-8</v>
          </cell>
          <cell r="HX106">
            <v>8.5745899995646516E-8</v>
          </cell>
          <cell r="HY106">
            <v>7.9509834541417619E-8</v>
          </cell>
          <cell r="HZ106">
            <v>7.3727301120223558E-8</v>
          </cell>
          <cell r="IA106">
            <v>6.8365315584207248E-8</v>
          </cell>
          <cell r="IB106">
            <v>6.3393292632628491E-8</v>
          </cell>
          <cell r="IC106">
            <v>5.8782871350255674E-8</v>
          </cell>
          <cell r="ID106">
            <v>5.4507753433873402E-8</v>
          </cell>
          <cell r="IE106">
            <v>5.054355318413712E-8</v>
          </cell>
          <cell r="IF106">
            <v>4.6867658407108933E-8</v>
          </cell>
          <cell r="IG106">
            <v>4.3459101432046428E-8</v>
          </cell>
          <cell r="IH106">
            <v>4.0298439509715753E-8</v>
          </cell>
          <cell r="II106">
            <v>3.7367643909009252E-8</v>
          </cell>
          <cell r="IJ106">
            <v>3.4649997079263098E-8</v>
          </cell>
          <cell r="IK106">
            <v>3.2129997291680308E-8</v>
          </cell>
          <cell r="IL106">
            <v>2.9793270215921712E-8</v>
          </cell>
          <cell r="IM106">
            <v>2.7626486927491023E-8</v>
          </cell>
          <cell r="IN106">
            <v>2.5617287878218933E-8</v>
          </cell>
          <cell r="IO106">
            <v>2.3754212396166713E-8</v>
          </cell>
          <cell r="IP106">
            <v>2.2026633312809117E-8</v>
          </cell>
          <cell r="IQ106">
            <v>2.0424696344604805E-8</v>
          </cell>
          <cell r="IR106">
            <v>1.8939263883178986E-8</v>
          </cell>
          <cell r="IS106">
            <v>1.7561862873493225E-8</v>
          </cell>
          <cell r="IT106">
            <v>1.6284636482693709E-8</v>
          </cell>
          <cell r="IU106">
            <v>1.5100299283952389E-8</v>
          </cell>
          <cell r="IV106">
            <v>1.4002095699664933E-8</v>
          </cell>
          <cell r="IW106">
            <v>1.2983761466962018E-8</v>
          </cell>
          <cell r="IX106">
            <v>1.2039487905728407E-8</v>
          </cell>
          <cell r="IY106">
            <v>1.1163888785311788E-8</v>
          </cell>
          <cell r="IZ106">
            <v>1.0351969600925469E-8</v>
          </cell>
          <cell r="JA106">
            <v>9.5990990844945513E-9</v>
          </cell>
        </row>
        <row r="113">
          <cell r="G113">
            <v>-121.08830794576518</v>
          </cell>
          <cell r="H113">
            <v>-121.08830794576518</v>
          </cell>
          <cell r="I113">
            <v>-4.7725993460796508</v>
          </cell>
        </row>
        <row r="114">
          <cell r="G114" t="str">
            <v>na</v>
          </cell>
          <cell r="H114" t="str">
            <v>na</v>
          </cell>
          <cell r="I114" t="str">
            <v>na</v>
          </cell>
        </row>
        <row r="122">
          <cell r="L122">
            <v>-3.3710329999999997</v>
          </cell>
          <cell r="M122">
            <v>-32.458472999999998</v>
          </cell>
          <cell r="N122">
            <v>-69.173799000000002</v>
          </cell>
          <cell r="O122">
            <v>-27.024677064454863</v>
          </cell>
          <cell r="P122">
            <v>-2.2945233274575623</v>
          </cell>
          <cell r="Q122">
            <v>0</v>
          </cell>
          <cell r="R122">
            <v>-5.506098865233362</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-3.6852230331770257</v>
          </cell>
          <cell r="M123">
            <v>-34.787937878259676</v>
          </cell>
          <cell r="N123">
            <v>-72.684541803983862</v>
          </cell>
          <cell r="O123">
            <v>-27.839457665950427</v>
          </cell>
          <cell r="P123">
            <v>-2.3173549676844627</v>
          </cell>
          <cell r="Q123">
            <v>0</v>
          </cell>
          <cell r="R123">
            <v>-5.3449512380367317</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43">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C143">
            <v>0</v>
          </cell>
          <cell r="CD143">
            <v>0</v>
          </cell>
          <cell r="CE143">
            <v>0</v>
          </cell>
          <cell r="CF143">
            <v>0</v>
          </cell>
          <cell r="CG143">
            <v>0</v>
          </cell>
          <cell r="CH143">
            <v>0</v>
          </cell>
          <cell r="CI143">
            <v>0</v>
          </cell>
          <cell r="CJ143">
            <v>0</v>
          </cell>
          <cell r="CK143">
            <v>0</v>
          </cell>
          <cell r="CL143">
            <v>0</v>
          </cell>
          <cell r="CM143">
            <v>0</v>
          </cell>
          <cell r="CN143">
            <v>0</v>
          </cell>
          <cell r="CO143">
            <v>0</v>
          </cell>
          <cell r="CP143">
            <v>0</v>
          </cell>
          <cell r="CQ143">
            <v>0</v>
          </cell>
          <cell r="CR143">
            <v>0</v>
          </cell>
          <cell r="CS143">
            <v>0</v>
          </cell>
          <cell r="CT143">
            <v>0</v>
          </cell>
          <cell r="CU143">
            <v>0</v>
          </cell>
          <cell r="CV143">
            <v>0</v>
          </cell>
          <cell r="CW143">
            <v>0</v>
          </cell>
          <cell r="CX143">
            <v>0</v>
          </cell>
          <cell r="CY143">
            <v>0</v>
          </cell>
          <cell r="CZ143">
            <v>0</v>
          </cell>
          <cell r="DA143">
            <v>0</v>
          </cell>
          <cell r="DB143">
            <v>0</v>
          </cell>
          <cell r="DC143">
            <v>0</v>
          </cell>
          <cell r="DD143">
            <v>0</v>
          </cell>
          <cell r="DE143">
            <v>0</v>
          </cell>
          <cell r="DF143">
            <v>0</v>
          </cell>
          <cell r="DG143">
            <v>0</v>
          </cell>
          <cell r="DH143">
            <v>0</v>
          </cell>
          <cell r="DI143">
            <v>0</v>
          </cell>
          <cell r="DJ143">
            <v>0</v>
          </cell>
          <cell r="DK143">
            <v>0</v>
          </cell>
          <cell r="DL143">
            <v>0</v>
          </cell>
          <cell r="DM143">
            <v>0</v>
          </cell>
          <cell r="DN143">
            <v>0</v>
          </cell>
          <cell r="DO143">
            <v>0</v>
          </cell>
          <cell r="DP143">
            <v>0</v>
          </cell>
          <cell r="DQ143">
            <v>0</v>
          </cell>
          <cell r="DR143">
            <v>0</v>
          </cell>
          <cell r="DS143">
            <v>0</v>
          </cell>
          <cell r="DT143">
            <v>0</v>
          </cell>
          <cell r="DU143">
            <v>0</v>
          </cell>
          <cell r="DV143">
            <v>0</v>
          </cell>
          <cell r="DW143">
            <v>0</v>
          </cell>
          <cell r="DX143">
            <v>0</v>
          </cell>
          <cell r="DY143">
            <v>0</v>
          </cell>
          <cell r="DZ143">
            <v>0</v>
          </cell>
          <cell r="EA143">
            <v>0</v>
          </cell>
          <cell r="EB143">
            <v>0</v>
          </cell>
          <cell r="EC143">
            <v>0</v>
          </cell>
          <cell r="ED143">
            <v>0</v>
          </cell>
          <cell r="EE143">
            <v>0</v>
          </cell>
          <cell r="EF143">
            <v>0</v>
          </cell>
          <cell r="EG143">
            <v>0</v>
          </cell>
          <cell r="EH143">
            <v>0</v>
          </cell>
          <cell r="EI143">
            <v>0</v>
          </cell>
          <cell r="EJ143">
            <v>0</v>
          </cell>
          <cell r="EK143">
            <v>0</v>
          </cell>
          <cell r="EL143">
            <v>0</v>
          </cell>
          <cell r="EM143">
            <v>0</v>
          </cell>
          <cell r="EN143">
            <v>0</v>
          </cell>
          <cell r="EO143">
            <v>0</v>
          </cell>
          <cell r="EP143">
            <v>0</v>
          </cell>
          <cell r="EQ143">
            <v>0</v>
          </cell>
          <cell r="ER143">
            <v>0</v>
          </cell>
          <cell r="ES143">
            <v>0</v>
          </cell>
          <cell r="ET143">
            <v>0</v>
          </cell>
          <cell r="EU143">
            <v>0</v>
          </cell>
          <cell r="EV143">
            <v>0</v>
          </cell>
          <cell r="EW143">
            <v>0</v>
          </cell>
          <cell r="EX143">
            <v>0</v>
          </cell>
          <cell r="EY143">
            <v>0</v>
          </cell>
          <cell r="EZ143">
            <v>0</v>
          </cell>
          <cell r="FA143">
            <v>0</v>
          </cell>
          <cell r="FB143">
            <v>0</v>
          </cell>
          <cell r="FC143">
            <v>0</v>
          </cell>
          <cell r="FD143">
            <v>0</v>
          </cell>
          <cell r="FE143">
            <v>0</v>
          </cell>
          <cell r="FF143">
            <v>0</v>
          </cell>
          <cell r="FG143">
            <v>0</v>
          </cell>
          <cell r="FH143">
            <v>0</v>
          </cell>
          <cell r="FI143">
            <v>0</v>
          </cell>
          <cell r="FJ143">
            <v>0</v>
          </cell>
          <cell r="FK143">
            <v>0</v>
          </cell>
          <cell r="FL143">
            <v>0</v>
          </cell>
          <cell r="FM143">
            <v>0</v>
          </cell>
          <cell r="FN143">
            <v>0</v>
          </cell>
          <cell r="FO143">
            <v>0</v>
          </cell>
          <cell r="FP143">
            <v>0</v>
          </cell>
          <cell r="FQ143">
            <v>0</v>
          </cell>
          <cell r="FR143">
            <v>0</v>
          </cell>
          <cell r="FS143">
            <v>0</v>
          </cell>
          <cell r="FT143">
            <v>0</v>
          </cell>
          <cell r="FU143">
            <v>0</v>
          </cell>
          <cell r="FV143">
            <v>0</v>
          </cell>
          <cell r="FW143">
            <v>0</v>
          </cell>
          <cell r="FX143">
            <v>0</v>
          </cell>
          <cell r="FY143">
            <v>0</v>
          </cell>
          <cell r="FZ143">
            <v>0</v>
          </cell>
          <cell r="GA143">
            <v>0</v>
          </cell>
          <cell r="GB143">
            <v>0</v>
          </cell>
          <cell r="GC143">
            <v>0</v>
          </cell>
          <cell r="GD143">
            <v>0</v>
          </cell>
          <cell r="GE143">
            <v>0</v>
          </cell>
          <cell r="GF143">
            <v>0</v>
          </cell>
          <cell r="GG143">
            <v>0</v>
          </cell>
          <cell r="GH143">
            <v>0</v>
          </cell>
          <cell r="GI143">
            <v>0</v>
          </cell>
          <cell r="GJ143">
            <v>0</v>
          </cell>
          <cell r="GK143">
            <v>0</v>
          </cell>
          <cell r="GL143">
            <v>0</v>
          </cell>
          <cell r="GM143">
            <v>0</v>
          </cell>
          <cell r="GN143">
            <v>0</v>
          </cell>
          <cell r="GO143">
            <v>0</v>
          </cell>
          <cell r="GP143">
            <v>0</v>
          </cell>
          <cell r="GQ143">
            <v>0</v>
          </cell>
          <cell r="GR143">
            <v>0</v>
          </cell>
          <cell r="GS143">
            <v>0</v>
          </cell>
          <cell r="GT143">
            <v>0</v>
          </cell>
          <cell r="GU143">
            <v>0</v>
          </cell>
          <cell r="GV143">
            <v>0</v>
          </cell>
          <cell r="GW143">
            <v>0</v>
          </cell>
          <cell r="GX143">
            <v>0</v>
          </cell>
          <cell r="GY143">
            <v>0</v>
          </cell>
          <cell r="GZ143">
            <v>0</v>
          </cell>
          <cell r="HA143">
            <v>0</v>
          </cell>
          <cell r="HB143">
            <v>0</v>
          </cell>
          <cell r="HC143">
            <v>0</v>
          </cell>
          <cell r="HD143">
            <v>0</v>
          </cell>
          <cell r="HE143">
            <v>0</v>
          </cell>
          <cell r="HF143">
            <v>0</v>
          </cell>
          <cell r="HG143">
            <v>0</v>
          </cell>
          <cell r="HH143">
            <v>0</v>
          </cell>
          <cell r="HI143">
            <v>0</v>
          </cell>
          <cell r="HJ143">
            <v>0</v>
          </cell>
          <cell r="HK143">
            <v>0</v>
          </cell>
          <cell r="HL143">
            <v>0</v>
          </cell>
          <cell r="HM143">
            <v>0</v>
          </cell>
          <cell r="HN143">
            <v>0</v>
          </cell>
          <cell r="HO143">
            <v>0</v>
          </cell>
          <cell r="HP143">
            <v>0</v>
          </cell>
          <cell r="HQ143">
            <v>0</v>
          </cell>
          <cell r="HR143">
            <v>0</v>
          </cell>
          <cell r="HS143">
            <v>0</v>
          </cell>
          <cell r="HT143">
            <v>0</v>
          </cell>
          <cell r="HU143">
            <v>0</v>
          </cell>
          <cell r="HV143">
            <v>0</v>
          </cell>
          <cell r="HW143">
            <v>0</v>
          </cell>
          <cell r="HX143">
            <v>0</v>
          </cell>
          <cell r="HY143">
            <v>0</v>
          </cell>
          <cell r="HZ143">
            <v>0</v>
          </cell>
          <cell r="IA143">
            <v>0</v>
          </cell>
          <cell r="IB143">
            <v>0</v>
          </cell>
          <cell r="IC143">
            <v>0</v>
          </cell>
          <cell r="ID143">
            <v>0</v>
          </cell>
          <cell r="IE143">
            <v>0</v>
          </cell>
          <cell r="IF143">
            <v>0</v>
          </cell>
          <cell r="IG143">
            <v>0</v>
          </cell>
          <cell r="IH143">
            <v>0</v>
          </cell>
          <cell r="II143">
            <v>0</v>
          </cell>
          <cell r="IJ143">
            <v>0</v>
          </cell>
          <cell r="IK143">
            <v>0</v>
          </cell>
          <cell r="IL143">
            <v>0</v>
          </cell>
          <cell r="IM143">
            <v>0</v>
          </cell>
          <cell r="IN143">
            <v>0</v>
          </cell>
          <cell r="IO143">
            <v>0</v>
          </cell>
          <cell r="IP143">
            <v>0</v>
          </cell>
          <cell r="IQ143">
            <v>0</v>
          </cell>
          <cell r="IR143">
            <v>0</v>
          </cell>
          <cell r="IS143">
            <v>0</v>
          </cell>
          <cell r="IT143">
            <v>0</v>
          </cell>
          <cell r="IU143">
            <v>0</v>
          </cell>
          <cell r="IV143">
            <v>0</v>
          </cell>
          <cell r="IW143">
            <v>0</v>
          </cell>
          <cell r="IX143">
            <v>0</v>
          </cell>
          <cell r="IY143">
            <v>0</v>
          </cell>
          <cell r="IZ143">
            <v>0</v>
          </cell>
          <cell r="JA143">
            <v>0</v>
          </cell>
        </row>
        <row r="144">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cell r="BV144">
            <v>0</v>
          </cell>
          <cell r="BW144">
            <v>0</v>
          </cell>
          <cell r="BX144">
            <v>0</v>
          </cell>
          <cell r="BY144">
            <v>0</v>
          </cell>
          <cell r="BZ144">
            <v>0</v>
          </cell>
          <cell r="CA144">
            <v>0</v>
          </cell>
          <cell r="CB144">
            <v>0</v>
          </cell>
          <cell r="CC144">
            <v>0</v>
          </cell>
          <cell r="CD144">
            <v>0</v>
          </cell>
          <cell r="CE144">
            <v>0</v>
          </cell>
          <cell r="CF144">
            <v>0</v>
          </cell>
          <cell r="CG144">
            <v>0</v>
          </cell>
          <cell r="CH144">
            <v>0</v>
          </cell>
          <cell r="CI144">
            <v>0</v>
          </cell>
          <cell r="CJ144">
            <v>0</v>
          </cell>
          <cell r="CK144">
            <v>0</v>
          </cell>
          <cell r="CL144">
            <v>0</v>
          </cell>
          <cell r="CM144">
            <v>0</v>
          </cell>
          <cell r="CN144">
            <v>0</v>
          </cell>
          <cell r="CO144">
            <v>0</v>
          </cell>
          <cell r="CP144">
            <v>0</v>
          </cell>
          <cell r="CQ144">
            <v>0</v>
          </cell>
          <cell r="CR144">
            <v>0</v>
          </cell>
          <cell r="CS144">
            <v>0</v>
          </cell>
          <cell r="CT144">
            <v>0</v>
          </cell>
          <cell r="CU144">
            <v>0</v>
          </cell>
          <cell r="CV144">
            <v>0</v>
          </cell>
          <cell r="CW144">
            <v>0</v>
          </cell>
          <cell r="CX144">
            <v>0</v>
          </cell>
          <cell r="CY144">
            <v>0</v>
          </cell>
          <cell r="CZ144">
            <v>0</v>
          </cell>
          <cell r="DA144">
            <v>0</v>
          </cell>
          <cell r="DB144">
            <v>0</v>
          </cell>
          <cell r="DC144">
            <v>0</v>
          </cell>
          <cell r="DD144">
            <v>0</v>
          </cell>
          <cell r="DE144">
            <v>0</v>
          </cell>
          <cell r="DF144">
            <v>0</v>
          </cell>
          <cell r="DG144">
            <v>0</v>
          </cell>
          <cell r="DH144">
            <v>0</v>
          </cell>
          <cell r="DI144">
            <v>0</v>
          </cell>
          <cell r="DJ144">
            <v>0</v>
          </cell>
          <cell r="DK144">
            <v>0</v>
          </cell>
          <cell r="DL144">
            <v>0</v>
          </cell>
          <cell r="DM144">
            <v>0</v>
          </cell>
          <cell r="DN144">
            <v>0</v>
          </cell>
          <cell r="DO144">
            <v>0</v>
          </cell>
          <cell r="DP144">
            <v>0</v>
          </cell>
          <cell r="DQ144">
            <v>0</v>
          </cell>
          <cell r="DR144">
            <v>0</v>
          </cell>
          <cell r="DS144">
            <v>0</v>
          </cell>
          <cell r="DT144">
            <v>0</v>
          </cell>
          <cell r="DU144">
            <v>0</v>
          </cell>
          <cell r="DV144">
            <v>0</v>
          </cell>
          <cell r="DW144">
            <v>0</v>
          </cell>
          <cell r="DX144">
            <v>0</v>
          </cell>
          <cell r="DY144">
            <v>0</v>
          </cell>
          <cell r="DZ144">
            <v>0</v>
          </cell>
          <cell r="EA144">
            <v>0</v>
          </cell>
          <cell r="EB144">
            <v>0</v>
          </cell>
          <cell r="EC144">
            <v>0</v>
          </cell>
          <cell r="ED144">
            <v>0</v>
          </cell>
          <cell r="EE144">
            <v>0</v>
          </cell>
          <cell r="EF144">
            <v>0</v>
          </cell>
          <cell r="EG144">
            <v>0</v>
          </cell>
          <cell r="EH144">
            <v>0</v>
          </cell>
          <cell r="EI144">
            <v>0</v>
          </cell>
          <cell r="EJ144">
            <v>0</v>
          </cell>
          <cell r="EK144">
            <v>0</v>
          </cell>
          <cell r="EL144">
            <v>0</v>
          </cell>
          <cell r="EM144">
            <v>0</v>
          </cell>
          <cell r="EN144">
            <v>0</v>
          </cell>
          <cell r="EO144">
            <v>0</v>
          </cell>
          <cell r="EP144">
            <v>0</v>
          </cell>
          <cell r="EQ144">
            <v>0</v>
          </cell>
          <cell r="ER144">
            <v>0</v>
          </cell>
          <cell r="ES144">
            <v>0</v>
          </cell>
          <cell r="ET144">
            <v>0</v>
          </cell>
          <cell r="EU144">
            <v>0</v>
          </cell>
          <cell r="EV144">
            <v>0</v>
          </cell>
          <cell r="EW144">
            <v>0</v>
          </cell>
          <cell r="EX144">
            <v>0</v>
          </cell>
          <cell r="EY144">
            <v>0</v>
          </cell>
          <cell r="EZ144">
            <v>0</v>
          </cell>
          <cell r="FA144">
            <v>0</v>
          </cell>
          <cell r="FB144">
            <v>0</v>
          </cell>
          <cell r="FC144">
            <v>0</v>
          </cell>
          <cell r="FD144">
            <v>0</v>
          </cell>
          <cell r="FE144">
            <v>0</v>
          </cell>
          <cell r="FF144">
            <v>0</v>
          </cell>
          <cell r="FG144">
            <v>0</v>
          </cell>
          <cell r="FH144">
            <v>0</v>
          </cell>
          <cell r="FI144">
            <v>0</v>
          </cell>
          <cell r="FJ144">
            <v>0</v>
          </cell>
          <cell r="FK144">
            <v>0</v>
          </cell>
          <cell r="FL144">
            <v>0</v>
          </cell>
          <cell r="FM144">
            <v>0</v>
          </cell>
          <cell r="FN144">
            <v>0</v>
          </cell>
          <cell r="FO144">
            <v>0</v>
          </cell>
          <cell r="FP144">
            <v>0</v>
          </cell>
          <cell r="FQ144">
            <v>0</v>
          </cell>
          <cell r="FR144">
            <v>0</v>
          </cell>
          <cell r="FS144">
            <v>0</v>
          </cell>
          <cell r="FT144">
            <v>0</v>
          </cell>
          <cell r="FU144">
            <v>0</v>
          </cell>
          <cell r="FV144">
            <v>0</v>
          </cell>
          <cell r="FW144">
            <v>0</v>
          </cell>
          <cell r="FX144">
            <v>0</v>
          </cell>
          <cell r="FY144">
            <v>0</v>
          </cell>
          <cell r="FZ144">
            <v>0</v>
          </cell>
          <cell r="GA144">
            <v>0</v>
          </cell>
          <cell r="GB144">
            <v>0</v>
          </cell>
          <cell r="GC144">
            <v>0</v>
          </cell>
          <cell r="GD144">
            <v>0</v>
          </cell>
          <cell r="GE144">
            <v>0</v>
          </cell>
          <cell r="GF144">
            <v>0</v>
          </cell>
          <cell r="GG144">
            <v>0</v>
          </cell>
          <cell r="GH144">
            <v>0</v>
          </cell>
          <cell r="GI144">
            <v>0</v>
          </cell>
          <cell r="GJ144">
            <v>0</v>
          </cell>
          <cell r="GK144">
            <v>0</v>
          </cell>
          <cell r="GL144">
            <v>0</v>
          </cell>
          <cell r="GM144">
            <v>0</v>
          </cell>
          <cell r="GN144">
            <v>0</v>
          </cell>
          <cell r="GO144">
            <v>0</v>
          </cell>
          <cell r="GP144">
            <v>0</v>
          </cell>
          <cell r="GQ144">
            <v>0</v>
          </cell>
          <cell r="GR144">
            <v>0</v>
          </cell>
          <cell r="GS144">
            <v>0</v>
          </cell>
          <cell r="GT144">
            <v>0</v>
          </cell>
          <cell r="GU144">
            <v>0</v>
          </cell>
          <cell r="GV144">
            <v>0</v>
          </cell>
          <cell r="GW144">
            <v>0</v>
          </cell>
          <cell r="GX144">
            <v>0</v>
          </cell>
          <cell r="GY144">
            <v>0</v>
          </cell>
          <cell r="GZ144">
            <v>0</v>
          </cell>
          <cell r="HA144">
            <v>0</v>
          </cell>
          <cell r="HB144">
            <v>0</v>
          </cell>
          <cell r="HC144">
            <v>0</v>
          </cell>
          <cell r="HD144">
            <v>0</v>
          </cell>
          <cell r="HE144">
            <v>0</v>
          </cell>
          <cell r="HF144">
            <v>0</v>
          </cell>
          <cell r="HG144">
            <v>0</v>
          </cell>
          <cell r="HH144">
            <v>0</v>
          </cell>
          <cell r="HI144">
            <v>0</v>
          </cell>
          <cell r="HJ144">
            <v>0</v>
          </cell>
          <cell r="HK144">
            <v>0</v>
          </cell>
          <cell r="HL144">
            <v>0</v>
          </cell>
          <cell r="HM144">
            <v>0</v>
          </cell>
          <cell r="HN144">
            <v>0</v>
          </cell>
          <cell r="HO144">
            <v>0</v>
          </cell>
          <cell r="HP144">
            <v>0</v>
          </cell>
          <cell r="HQ144">
            <v>0</v>
          </cell>
          <cell r="HR144">
            <v>0</v>
          </cell>
          <cell r="HS144">
            <v>0</v>
          </cell>
          <cell r="HT144">
            <v>0</v>
          </cell>
          <cell r="HU144">
            <v>0</v>
          </cell>
          <cell r="HV144">
            <v>0</v>
          </cell>
          <cell r="HW144">
            <v>0</v>
          </cell>
          <cell r="HX144">
            <v>0</v>
          </cell>
          <cell r="HY144">
            <v>0</v>
          </cell>
          <cell r="HZ144">
            <v>0</v>
          </cell>
          <cell r="IA144">
            <v>0</v>
          </cell>
          <cell r="IB144">
            <v>0</v>
          </cell>
          <cell r="IC144">
            <v>0</v>
          </cell>
          <cell r="ID144">
            <v>0</v>
          </cell>
          <cell r="IE144">
            <v>0</v>
          </cell>
          <cell r="IF144">
            <v>0</v>
          </cell>
          <cell r="IG144">
            <v>0</v>
          </cell>
          <cell r="IH144">
            <v>0</v>
          </cell>
          <cell r="II144">
            <v>0</v>
          </cell>
          <cell r="IJ144">
            <v>0</v>
          </cell>
          <cell r="IK144">
            <v>0</v>
          </cell>
          <cell r="IL144">
            <v>0</v>
          </cell>
          <cell r="IM144">
            <v>0</v>
          </cell>
          <cell r="IN144">
            <v>0</v>
          </cell>
          <cell r="IO144">
            <v>0</v>
          </cell>
          <cell r="IP144">
            <v>0</v>
          </cell>
          <cell r="IQ144">
            <v>0</v>
          </cell>
          <cell r="IR144">
            <v>0</v>
          </cell>
          <cell r="IS144">
            <v>0</v>
          </cell>
          <cell r="IT144">
            <v>0</v>
          </cell>
          <cell r="IU144">
            <v>0</v>
          </cell>
          <cell r="IV144">
            <v>0</v>
          </cell>
          <cell r="IW144">
            <v>0</v>
          </cell>
          <cell r="IX144">
            <v>0</v>
          </cell>
          <cell r="IY144">
            <v>0</v>
          </cell>
          <cell r="IZ144">
            <v>0</v>
          </cell>
          <cell r="JA144">
            <v>0</v>
          </cell>
        </row>
        <row r="165">
          <cell r="L165">
            <v>8.7456231562895503E-2</v>
          </cell>
          <cell r="M165">
            <v>8.5741403493032928E-2</v>
          </cell>
          <cell r="N165">
            <v>8.4060199502973443E-2</v>
          </cell>
          <cell r="O165">
            <v>0.34036586064820074</v>
          </cell>
          <cell r="P165">
            <v>23.241601636231788</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sheetData>
      <sheetData sheetId="6">
        <row r="5">
          <cell r="M5" t="str">
            <v>Point Forward</v>
          </cell>
        </row>
        <row r="6">
          <cell r="M6" t="str">
            <v>Real</v>
          </cell>
        </row>
        <row r="261">
          <cell r="J261">
            <v>0</v>
          </cell>
          <cell r="L261">
            <v>0</v>
          </cell>
          <cell r="N261">
            <v>0</v>
          </cell>
          <cell r="P261">
            <v>0</v>
          </cell>
          <cell r="R261">
            <v>0</v>
          </cell>
        </row>
        <row r="263">
          <cell r="M263">
            <v>-0.5</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UserGuide"/>
      <sheetName val="Summary"/>
      <sheetName val="General Config"/>
      <sheetName val="Fiscal Config"/>
      <sheetName val="Prod Oil"/>
      <sheetName val="Prod Gas"/>
      <sheetName val="Prod LPG Propane"/>
      <sheetName val="Prod LPG Butane"/>
      <sheetName val="Prod CO2"/>
      <sheetName val="Prod Sulfur"/>
      <sheetName val="Prod Electricity"/>
      <sheetName val="Gross Split Config (2)"/>
      <sheetName val="Cost Recovery Config"/>
      <sheetName val="Gross Split Config"/>
      <sheetName val="Cost Recovery Config (2)"/>
      <sheetName val="Cost Tangible"/>
      <sheetName val="Cost Intangible"/>
      <sheetName val="Cost OPEX"/>
      <sheetName val="Cost ASR"/>
      <sheetName val="Sensitivity"/>
      <sheetName val="Optimization"/>
      <sheetName val="Uncertainity"/>
      <sheetName val="Result Table GS"/>
      <sheetName val="Result Table C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7">
          <cell r="D7">
            <v>0</v>
          </cell>
        </row>
        <row r="8">
          <cell r="D8">
            <v>0</v>
          </cell>
        </row>
        <row r="9">
          <cell r="D9">
            <v>0</v>
          </cell>
        </row>
        <row r="10">
          <cell r="D10">
            <v>0</v>
          </cell>
        </row>
        <row r="11">
          <cell r="D11">
            <v>0</v>
          </cell>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C3C40E7-52FB-440A-9DB6-AAE8A67EA042}" name="tbl_prod_oil14" displayName="tbl_prod_oil14" ref="A1:E50" totalsRowShown="0" headerRowDxfId="143" dataDxfId="142">
  <tableColumns count="5">
    <tableColumn id="1" xr3:uid="{BF85EA32-AE5B-4ACF-B0CE-DCA9C08DAFF7}" name="Year" dataDxfId="141"/>
    <tableColumn id="2" xr3:uid="{86C2E2C3-A208-4BF4-9EF0-F45F7D090DA7}" name="Oil Sales (MMBOPY)" dataDxfId="140"/>
    <tableColumn id="3" xr3:uid="{6C0425E9-F62A-4BDE-AECD-46AC41451458}" name="Oil Price (USD/BBL)" dataDxfId="139"/>
    <tableColumn id="4" xr3:uid="{C3F115D1-CFFB-4E34-8F0F-F82960B7F01E}" name="Condensate Sales (MMBOPY)" dataDxfId="138"/>
    <tableColumn id="5" xr3:uid="{6EAB8FFB-D6B5-4708-BA25-05F5A5BC7FFE}" name="Condensate Price (USD/BBL)" dataDxfId="137"/>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55B9959-FE06-47CC-A638-6EFD768FCF61}" name="tbl_prod_oil" displayName="tbl_prod_oil" ref="A1:E50" totalsRowShown="0" headerRowDxfId="136" dataDxfId="135">
  <tableColumns count="5">
    <tableColumn id="1" xr3:uid="{F5C1188B-5A01-4D20-9CDA-43938053BE14}" name="Year" dataDxfId="134"/>
    <tableColumn id="2" xr3:uid="{488F6F74-60C4-41C0-8968-CFABEEC8C577}" name="Oil Sales (MMBOPY)" dataDxfId="133"/>
    <tableColumn id="3" xr3:uid="{FA019DEC-C16E-43AA-B922-7626C07066D2}" name="Oil Price (USD/BBL)" dataDxfId="132"/>
    <tableColumn id="4" xr3:uid="{E46E713A-179D-444E-88B6-019AD68876B5}" name="Condensate Sales (MMBOPY)" dataDxfId="131"/>
    <tableColumn id="5" xr3:uid="{04F0C769-33F5-487D-B7D5-F46799049A69}" name="Condensate Price (USD/BBL)" dataDxfId="130"/>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B5FD60-3EF6-4239-90D9-138C2E5C0533}" name="tbl_prod_gas" displayName="tbl_prod_gas" ref="A1:BJ50" totalsRowShown="0" headerRowDxfId="129" dataDxfId="128">
  <autoFilter ref="A1:BJ50" xr:uid="{F3B5FD60-3EF6-4239-90D9-138C2E5C0533}"/>
  <tableColumns count="62">
    <tableColumn id="1" xr3:uid="{77AB1563-534C-4000-8990-E78C5E489BD7}" name="Year" dataDxfId="127"/>
    <tableColumn id="2" xr3:uid="{D229AC35-73B4-42FD-BBA3-AD438E380811}" name="Gas Production (BSCF)" dataDxfId="126"/>
    <tableColumn id="3" xr3:uid="{FCC8C31C-5036-4AF9-B6CE-1EEA31C5FAE9}" name="GSA 1 Volume (BSCF)" dataDxfId="125"/>
    <tableColumn id="4" xr3:uid="{C43DEA5B-2B33-4E7F-A57F-5476C60E7DCB}" name="GSA 1 GHV (BTU/SCF)" dataDxfId="124"/>
    <tableColumn id="5" xr3:uid="{41CF3913-D317-4E9F-B718-27DD21583BF7}" name="GSA 1 Price (USD/MMBTU)" dataDxfId="123"/>
    <tableColumn id="6" xr3:uid="{D3447C8E-599C-4059-A25A-5992EAF3CA98}" name="GSA 2 Volume (BSCF)" dataDxfId="122"/>
    <tableColumn id="7" xr3:uid="{08251CDD-AB2B-44EA-BB2B-B83A1024372A}" name="GSA 2 GHV (BTU/SCF)" dataDxfId="121"/>
    <tableColumn id="8" xr3:uid="{2AAA0FEE-F453-4CDC-BB43-9260633E2A77}" name="GSA 2 Price (USD/MMBTU)" dataDxfId="120"/>
    <tableColumn id="9" xr3:uid="{11DE7FD8-4E88-43BA-9FC1-5BFC6B7A4152}" name="GSA 3 Volume (BSCF)" dataDxfId="119"/>
    <tableColumn id="10" xr3:uid="{62D5C9C4-267A-4911-9B26-395CA0A13963}" name="GSA 3 GHV (BTU/SCF)" dataDxfId="118"/>
    <tableColumn id="11" xr3:uid="{8E831C1F-1E47-4011-B7F2-3315ADF97880}" name="GSA 3 Price (USD/MMBTU)" dataDxfId="117"/>
    <tableColumn id="12" xr3:uid="{7495CB1E-FAD1-4D28-AFB9-5721BE9D6A62}" name="GSA 4 Volume (BSCF)" dataDxfId="116"/>
    <tableColumn id="13" xr3:uid="{CCEEC0D9-E00C-4AE0-A6FB-2A21358BEFD2}" name="GSA 4 GHV (BTU/SCF)" dataDxfId="115"/>
    <tableColumn id="14" xr3:uid="{02D4E6A1-2B65-421C-8510-61E7E14C93AF}" name="GSA 4 Price (USD/MMBTU)" dataDxfId="114"/>
    <tableColumn id="15" xr3:uid="{81A66C00-B18B-44A8-B655-2F196AEDE152}" name="GSA 5 Volume (BSCF)" dataDxfId="113"/>
    <tableColumn id="16" xr3:uid="{E3C45877-F389-429D-8AA5-C760BD17A529}" name="GSA 5 GHV (BTU/SCF)" dataDxfId="112"/>
    <tableColumn id="17" xr3:uid="{29EC26AB-1FD3-4B90-8A35-51DD0A51A022}" name="GSA 5 Price (USD/MMBTU)" dataDxfId="111"/>
    <tableColumn id="18" xr3:uid="{13A537C0-0178-4CB4-B395-6E350791AFD2}" name="GSA 6 Volume (BSCF)5" dataDxfId="110"/>
    <tableColumn id="19" xr3:uid="{200121C4-4603-4606-9C7C-E8E2BEB00D03}" name="GSA 6 GHV (BTU/SCF)" dataDxfId="109"/>
    <tableColumn id="20" xr3:uid="{8C225936-78F4-424A-A66E-AC5E32060AAF}" name="GSA 6 Price (USD/MMBTU)" dataDxfId="108"/>
    <tableColumn id="21" xr3:uid="{44CE13E9-EEEF-4BEC-8518-6B116C1AD26B}" name="GSA 7 Volume (BSCF)" dataDxfId="107"/>
    <tableColumn id="22" xr3:uid="{ECD91665-11BC-45C6-9498-68BDC2D7C660}" name="GSA 7 GHV (BTU/SCF)" dataDxfId="106"/>
    <tableColumn id="23" xr3:uid="{BBCF0D25-A5E6-4644-964E-087F828A3214}" name="GSA 7 Price (USD/MMBTU)" dataDxfId="105"/>
    <tableColumn id="24" xr3:uid="{8DBCA4FF-FABE-4194-B3F6-1DBCEF167B28}" name="GSA 8 Volume (BSCF)" dataDxfId="104"/>
    <tableColumn id="25" xr3:uid="{C036027E-6E33-43E1-BE27-B060EB711E54}" name="GSA 8 GHV (BTU/SCF)" dataDxfId="103"/>
    <tableColumn id="26" xr3:uid="{F97DC2DB-AC07-4EF5-8063-0BE58357542D}" name="GSA 8 Price (USD/MMBTU)" dataDxfId="102"/>
    <tableColumn id="27" xr3:uid="{DA65A24F-CADB-4DE1-8A15-3A7FBA499C71}" name="GSA 9 Volume (BSCF)" dataDxfId="101"/>
    <tableColumn id="28" xr3:uid="{965B634C-0E56-49A6-8114-ACEABD08501E}" name="GSA 9 GHV (BTU/SCF)" dataDxfId="100"/>
    <tableColumn id="29" xr3:uid="{EBB76C16-8154-4DF6-ACC0-632DF52511A6}" name="GSA 9 Price (USD/MMBTU)" dataDxfId="99"/>
    <tableColumn id="30" xr3:uid="{2EE56E13-7901-46A4-B827-82F154323535}" name="GSA 10 Volume (BSCF)" dataDxfId="98"/>
    <tableColumn id="31" xr3:uid="{B059A543-383C-48AF-974C-15AEF15B1E83}" name="GSA 10 GHV (BTU/SCF)" dataDxfId="97"/>
    <tableColumn id="32" xr3:uid="{EB5FE66C-4F13-4C5A-9295-9CA6B5EBE0DB}" name="GSA 10 Price (USD/MMBTU)" dataDxfId="96"/>
    <tableColumn id="33" xr3:uid="{48C2A0C4-CDE1-43D4-80DA-9A04CFD50DF3}" name="GSA 11 Volume (BSCF)" dataDxfId="95"/>
    <tableColumn id="34" xr3:uid="{D58B2C50-D5D3-4FA0-BF0F-B249498FE2E5}" name="GSA 11 GHV (BTU/SCF)" dataDxfId="94"/>
    <tableColumn id="35" xr3:uid="{086395B3-EDF7-4416-824F-DADC5A41C808}" name="GSA 11 Price (USD/MMBTU)" dataDxfId="93"/>
    <tableColumn id="36" xr3:uid="{50F0227B-E5CB-4438-A313-A1630B0C4478}" name="GSA 12 Volume (BSCF)" dataDxfId="92"/>
    <tableColumn id="37" xr3:uid="{2E59E514-274A-4FF3-97F1-4C10C438F92C}" name="GSA 12 GHV (BTU/SCF)" dataDxfId="91"/>
    <tableColumn id="38" xr3:uid="{DC78227B-224D-4D70-AAA8-998E0854A236}" name="GSA 12 Price (USD/MMBTU)" dataDxfId="90"/>
    <tableColumn id="39" xr3:uid="{380FF60C-4086-4E19-B225-F579C632C9DF}" name="GSA 13 Volume (BSCF)5" dataDxfId="89"/>
    <tableColumn id="40" xr3:uid="{EA265128-A0AF-496A-8215-D7EA67E172D9}" name="GSA 13 GHV (BTU/SCF)" dataDxfId="88"/>
    <tableColumn id="41" xr3:uid="{6B34D3A2-F4F8-4588-9485-1E1F4AB9929F}" name="GSA 13 Price (USD/MMBTU)" dataDxfId="87"/>
    <tableColumn id="42" xr3:uid="{13937CA0-4E6B-49CB-82C8-CD285DE9A0AD}" name="GSA 14 Volume (BSCF)" dataDxfId="86"/>
    <tableColumn id="43" xr3:uid="{F104848B-FC0E-4CBC-8952-456A40422817}" name="GSA 14 GHV (BTU/SCF)" dataDxfId="85"/>
    <tableColumn id="44" xr3:uid="{A52502E1-9A56-45E0-B86B-4ADC54D7C46F}" name="GSA 14 Price (USD/MMBTU)" dataDxfId="84"/>
    <tableColumn id="45" xr3:uid="{D0E6F40C-E9D8-476C-974F-CD8BD0CC9E3E}" name="GSA 15 Volume (BSCF)" dataDxfId="83"/>
    <tableColumn id="46" xr3:uid="{D56CBA84-14DB-427F-BA7E-8A9A8CD3EF99}" name="GSA 15 GHV (BTU/SCF)" dataDxfId="82"/>
    <tableColumn id="47" xr3:uid="{79C8FA99-16A2-404A-8433-D73D4D3115E8}" name="GSA 15 Price (USD/MMBTU)" dataDxfId="81"/>
    <tableColumn id="48" xr3:uid="{7000071C-AB3D-4E5E-BAFD-6D0FF7DC3959}" name="GSA 16 Volume (BSCF)" dataDxfId="80"/>
    <tableColumn id="49" xr3:uid="{666AD423-FDD2-4B36-B9F4-1190CD03FDA3}" name="GSA 16 GHV (BTU/SCF)" dataDxfId="79"/>
    <tableColumn id="50" xr3:uid="{AE6DCD42-F2A8-4EA9-8085-856DCD64C3F8}" name="GSA 16 Price (USD/MMBTU)" dataDxfId="78"/>
    <tableColumn id="51" xr3:uid="{0691CFC8-568E-4AD2-920C-23CAEB458DAD}" name="GSA 17 Volume (BSCF)" dataDxfId="77"/>
    <tableColumn id="52" xr3:uid="{16C1EC1E-B5AC-4161-A0BF-CBB9D4021BC8}" name="GSA 17 GHV (BTU/SCF)" dataDxfId="76"/>
    <tableColumn id="53" xr3:uid="{1508BBC4-8EA3-47F1-8A28-5F141C9A3043}" name="GSA 17 Price (USD/MMBTU)" dataDxfId="75"/>
    <tableColumn id="62" xr3:uid="{969F6049-83E6-4535-A53A-482126AA77D7}" name="GSA 18 Volume (BSCF)" dataDxfId="74"/>
    <tableColumn id="61" xr3:uid="{03793DC0-561A-4F93-A29A-C63F176A5815}" name="GSA 18 GHV (BTU/SCF)" dataDxfId="73"/>
    <tableColumn id="60" xr3:uid="{FEAD4B29-4CB5-4083-BBB7-B1DBD002BE7E}" name="GSA 18 Price (USD/MMBTU)" dataDxfId="72"/>
    <tableColumn id="54" xr3:uid="{FDC4A9DF-4688-4830-B992-39D1F5107766}" name="GSA 19 Volume (BSCF)" dataDxfId="71"/>
    <tableColumn id="55" xr3:uid="{B0D7E298-E213-45EC-81C3-3AEA0B511A75}" name="GSA 19 GHV (BTU/SCF)" dataDxfId="70"/>
    <tableColumn id="56" xr3:uid="{65BE7B38-E137-4116-BE99-9732D0D27601}" name="GSA 19 Price (USD/MMBTU)" dataDxfId="69"/>
    <tableColumn id="57" xr3:uid="{66A45D79-4EFD-4A60-B7FC-2AAF364EBD1D}" name="GSA 20 Volume (BSCF)5" dataDxfId="68"/>
    <tableColumn id="58" xr3:uid="{F6354756-CE1B-4E3C-993B-28993F1AAAD2}" name="GSA 20 GHV (BTU/SCF)" dataDxfId="67"/>
    <tableColumn id="59" xr3:uid="{DCC94FD8-C643-4565-AB15-65A7E5B1F9AA}" name="GSA 20 Price (USD/MMBTU)" dataDxfId="66"/>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F6CF9AB-FA3D-4BB4-ADAA-CA685555616C}" name="tbl_prod_lpgpropane" displayName="tbl_prod_lpgpropane" ref="A1:C50" totalsRowShown="0" headerRowDxfId="65" dataDxfId="64">
  <autoFilter ref="A1:C50" xr:uid="{4F6CF9AB-FA3D-4BB4-ADAA-CA685555616C}"/>
  <tableColumns count="3">
    <tableColumn id="1" xr3:uid="{0DB2853D-2883-477A-BEC2-C3A8EC6BE1B6}" name="Year" dataDxfId="63"/>
    <tableColumn id="2" xr3:uid="{01418EAC-C4F4-48E8-9287-8988948DB9F1}" name="LPG Propane Sales (MT)" dataDxfId="62"/>
    <tableColumn id="3" xr3:uid="{4374CFEA-F40D-4DFA-9E1A-50C068F77BB6}" name="LPG Propane Price (USD/T)" dataDxfId="61"/>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B16AAF-E66E-4CE6-9E4E-EF4357083D9F}" name="tbl_prod_lpgbutane" displayName="tbl_prod_lpgbutane" ref="A1:C50" totalsRowShown="0" headerRowDxfId="60" dataDxfId="59" tableBorderDxfId="58">
  <autoFilter ref="A1:C50" xr:uid="{A8B16AAF-E66E-4CE6-9E4E-EF4357083D9F}"/>
  <tableColumns count="3">
    <tableColumn id="1" xr3:uid="{6D5873CF-438A-4FB6-916E-EE4D8EA16C1B}" name="Year" dataDxfId="57"/>
    <tableColumn id="2" xr3:uid="{43FF55CD-251A-41D3-8DF3-39F98EEBC7E1}" name="LPG Butane Sales (MT)" dataDxfId="56"/>
    <tableColumn id="3" xr3:uid="{2AAABAE2-6AC9-4B24-A446-5622714DF15D}" name="LPG Butane Price(USD/T)" dataDxfId="55"/>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C9D790-2204-4F4A-AEE5-A13F7CE6AF28}" name="tbl_prod_co2" displayName="tbl_prod_co2" ref="A1:C50" totalsRowShown="0" headerRowDxfId="54" dataDxfId="53" tableBorderDxfId="52">
  <autoFilter ref="A1:C50" xr:uid="{AFC9D790-2204-4F4A-AEE5-A13F7CE6AF28}"/>
  <tableColumns count="3">
    <tableColumn id="1" xr3:uid="{B94BBB40-0B72-4B57-B720-38EEC1B95A78}" name="Year" dataDxfId="51"/>
    <tableColumn id="2" xr3:uid="{F53E2F6F-AB58-41DA-895C-419E73EC60A8}" name="CO2 Sales (Ton)" dataDxfId="50"/>
    <tableColumn id="3" xr3:uid="{6782EC61-C652-4E3C-B9F2-11DB4EFF1616}" name="Price (MMUSD/Unit)" dataDxfId="49"/>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E72A9B-4BBC-4F3F-80BF-BC7085A5EA38}" name="tbl_prod_sulfur" displayName="tbl_prod_sulfur" ref="A1:C50" totalsRowShown="0" headerRowDxfId="48" dataDxfId="47">
  <autoFilter ref="A1:C50" xr:uid="{DEE72A9B-4BBC-4F3F-80BF-BC7085A5EA38}"/>
  <tableColumns count="3">
    <tableColumn id="1" xr3:uid="{36797F45-B4D8-4AAF-9EF9-72A94931E9BD}" name="Year" dataDxfId="46"/>
    <tableColumn id="2" xr3:uid="{F565D607-058E-4CC9-A868-ABC946C30F0A}" name="Sulfur Sales (Ton)" dataDxfId="45"/>
    <tableColumn id="3" xr3:uid="{FE95A159-27F7-4729-98BD-3BC24A13F318}" name="Price (MMUSD/Unit)" dataDxfId="44"/>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434656A-D131-4D00-9297-8F082A6F9D92}" name="tbl_prod_sulfur12" displayName="tbl_prod_sulfur12" ref="A1:C50" totalsRowShown="0" headerRowDxfId="43" dataDxfId="42">
  <autoFilter ref="A1:C50" xr:uid="{DEE72A9B-4BBC-4F3F-80BF-BC7085A5EA38}"/>
  <tableColumns count="3">
    <tableColumn id="1" xr3:uid="{9046D9DD-2F71-4AF2-8197-1C4A99CD21F1}" name="Year" dataDxfId="41"/>
    <tableColumn id="2" xr3:uid="{AC666C38-3CBA-4F89-96AF-CD0114273121}" name="Electricity Sales (Unit)" dataDxfId="40"/>
    <tableColumn id="3" xr3:uid="{A9E705E7-0E52-4109-A72A-9C8AD1165D12}" name="Price (MMUSD/Unit)" dataDxfId="39"/>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A4FC051-400F-4299-988C-F1E450AA8028}" name="tbl_cost_tangible" displayName="tbl_cost_tangible" ref="A1:K200" totalsRowShown="0" headerRowDxfId="38" dataDxfId="37">
  <autoFilter ref="A1:K200" xr:uid="{7C91890B-09E6-4AFA-B40C-6F75BB3A42FE}"/>
  <tableColumns count="11">
    <tableColumn id="1" xr3:uid="{C5E29AD2-AE25-44BD-901B-58F05DE5E702}" name="Year" dataDxfId="36"/>
    <tableColumn id="3" xr3:uid="{34B633CC-B7D2-4E02-B4C0-6546AED90ECD}" name="Associated With" dataDxfId="35"/>
    <tableColumn id="4" xr3:uid="{15363438-3001-44B3-BFFB-44F0E337DA0F}" name="Cost (MUSD)" dataDxfId="34"/>
    <tableColumn id="5" xr3:uid="{26A9C678-E732-4913-AC99-C95C83093FA8}" name="PIS Year" dataDxfId="33"/>
    <tableColumn id="8" xr3:uid="{7364EFAD-EAA4-45EB-8863-C84BB6B52FCF}" name="Useful Life (Years)" dataDxfId="32"/>
    <tableColumn id="9" xr3:uid="{7894BF9B-F0BD-4BFE-BFA3-3BE9D613C40A}" name="Depreciation Factor" dataDxfId="31"/>
    <tableColumn id="11" xr3:uid="{3328797F-722A-43DE-B743-779488C03E40}" name="Salvage Value" dataDxfId="30"/>
    <tableColumn id="10" xr3:uid="{88614DD2-0187-4679-A89D-61C72EA94D65}" name="Applied By IC" dataDxfId="29"/>
    <tableColumn id="6" xr3:uid="{A9867297-A677-4A93-9B0F-A32163B58107}" name="VAT Portion" dataDxfId="28"/>
    <tableColumn id="12" xr3:uid="{E4597EDC-E479-4B07-9316-B7D3C15AAE4C}" name="LBT Portion" dataDxfId="27"/>
    <tableColumn id="7" xr3:uid="{E6363697-EFAA-4A7E-A486-8D9583D38261}" name="Description" dataDxfId="26"/>
  </tableColumns>
  <tableStyleInfo name="TableStyleLight1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19A09713-7CE3-4BDC-8F68-13E05CAC0DA2}" name="tbl_cost_intangible" displayName="tbl_cost_intangible" ref="A1:F200" totalsRowShown="0" headerRowDxfId="25" dataDxfId="24">
  <autoFilter ref="A1:F200" xr:uid="{7C91890B-09E6-4AFA-B40C-6F75BB3A42FE}"/>
  <tableColumns count="6">
    <tableColumn id="1" xr3:uid="{EA9912A2-FB4D-4FF7-8E68-51936E856411}" name="Year" dataDxfId="23"/>
    <tableColumn id="3" xr3:uid="{1CE8F2C7-DD5F-4DEA-9086-BF2335D1081C}" name="Associated With" dataDxfId="22"/>
    <tableColumn id="4" xr3:uid="{7E00D1F9-CE30-44EC-8013-F359F8BB7526}" name="Cost (MUSD)" dataDxfId="21"/>
    <tableColumn id="6" xr3:uid="{6AA0DA30-A6A0-4F5A-8A9D-599F23F31F9A}" name="VAT Portion" dataDxfId="20"/>
    <tableColumn id="2" xr3:uid="{20C207BB-9D25-48F4-A557-2DE98DC86DE2}" name="LBT Portion" dataDxfId="19"/>
    <tableColumn id="7" xr3:uid="{88C69571-67EC-47E5-9D42-08FE1421FD7B}" name="Description" dataDxfId="18"/>
  </tableColumns>
  <tableStyleInfo name="TableStyleLight1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F8F5CDBA-B8DA-4D23-ADC9-4DD9EEFEB691}" name="tbl_cost_opex" displayName="tbl_cost_opex" ref="A1:H200" totalsRowShown="0" headerRowDxfId="17" dataDxfId="16">
  <autoFilter ref="A1:H200" xr:uid="{7C91890B-09E6-4AFA-B40C-6F75BB3A42FE}"/>
  <tableColumns count="8">
    <tableColumn id="1" xr3:uid="{AC895082-1EAA-441F-8FD0-34C18A1CB089}" name="Year" dataDxfId="15"/>
    <tableColumn id="3" xr3:uid="{FE660166-2BA0-42A0-937E-5DBF97CED42C}" name="Associated With" dataDxfId="14"/>
    <tableColumn id="4" xr3:uid="{C739732C-69FF-4102-B6A2-101C10C34836}" name="Fixed Cost (MUSD)" dataDxfId="13"/>
    <tableColumn id="5" xr3:uid="{67A869D6-1E1C-47FA-9CB2-B9EBAB8A9115}" name="Production Rate" dataDxfId="12"/>
    <tableColumn id="8" xr3:uid="{45C3823F-84A4-4F62-A0A4-DA263536063F}" name="Cost Per Production Volume" dataDxfId="11"/>
    <tableColumn id="6" xr3:uid="{1A0F968A-3852-413A-94F7-58572EA4EED6}" name="VAT Portion" dataDxfId="10"/>
    <tableColumn id="2" xr3:uid="{3BE87D45-FDD7-4B44-8923-9B29FC792264}" name="LBT Portion" dataDxfId="9"/>
    <tableColumn id="7" xr3:uid="{4719FAF0-B894-4DE5-830E-BDF8B52BACBC}" name="Description" dataDxfId="8"/>
  </tableColumns>
  <tableStyleInfo name="TableStyleLight1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E420C3B-664F-4027-B3B6-25F3FDEF80D8}" name="tbl_cost_opex10" displayName="tbl_cost_opex10" ref="A1:F200" totalsRowShown="0" headerRowDxfId="7" dataDxfId="6">
  <autoFilter ref="A1:F200" xr:uid="{7C91890B-09E6-4AFA-B40C-6F75BB3A42FE}"/>
  <tableColumns count="6">
    <tableColumn id="1" xr3:uid="{D90C6F3C-116C-43AA-9F64-E2131D95E5C5}" name="Year" dataDxfId="5"/>
    <tableColumn id="3" xr3:uid="{9372B980-5592-43DD-ACB0-807DB4570841}" name="Associated With" dataDxfId="4"/>
    <tableColumn id="4" xr3:uid="{206A9B04-1A88-477A-8F64-4C0F0E3C5733}" name="Cost (MUSD)" dataDxfId="3"/>
    <tableColumn id="6" xr3:uid="{6949DE12-A1F2-402E-AD64-B2E62B7B03B0}" name="VAT Portion" dataDxfId="2"/>
    <tableColumn id="2" xr3:uid="{8AB5815F-EA72-48B7-8147-A2F48253134F}" name="LBT Portion" dataDxfId="1"/>
    <tableColumn id="7" xr3:uid="{409BC20B-C4FF-4632-A019-CE1FBF972D05}" name="Description" dataDxfId="0"/>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3" Type="http://schemas.openxmlformats.org/officeDocument/2006/relationships/ctrlProp" Target="../ctrlProps/ctrlProp20.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 Type="http://schemas.openxmlformats.org/officeDocument/2006/relationships/vmlDrawing" Target="../drawings/vmlDrawing5.vml"/><Relationship Id="rId16" Type="http://schemas.openxmlformats.org/officeDocument/2006/relationships/ctrlProp" Target="../ctrlProps/ctrlProp33.xml"/><Relationship Id="rId1" Type="http://schemas.openxmlformats.org/officeDocument/2006/relationships/drawing" Target="../drawings/drawing6.xml"/><Relationship Id="rId6" Type="http://schemas.openxmlformats.org/officeDocument/2006/relationships/ctrlProp" Target="../ctrlProps/ctrlProp23.xml"/><Relationship Id="rId11" Type="http://schemas.openxmlformats.org/officeDocument/2006/relationships/ctrlProp" Target="../ctrlProps/ctrlProp28.xml"/><Relationship Id="rId5" Type="http://schemas.openxmlformats.org/officeDocument/2006/relationships/ctrlProp" Target="../ctrlProps/ctrlProp22.xml"/><Relationship Id="rId15" Type="http://schemas.openxmlformats.org/officeDocument/2006/relationships/ctrlProp" Target="../ctrlProps/ctrlProp32.xml"/><Relationship Id="rId10" Type="http://schemas.openxmlformats.org/officeDocument/2006/relationships/ctrlProp" Target="../ctrlProps/ctrlProp27.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0DFA5-5EED-428C-B9AD-4939526EBEED}">
  <sheetPr codeName="Sheet16">
    <tabColor rgb="FFFC080F"/>
  </sheetPr>
  <dimension ref="A1:M17"/>
  <sheetViews>
    <sheetView showGridLines="0" showRowColHeaders="0" zoomScale="150" zoomScaleNormal="150" workbookViewId="0">
      <selection activeCell="D6" sqref="D6"/>
    </sheetView>
  </sheetViews>
  <sheetFormatPr defaultColWidth="0" defaultRowHeight="15" zeroHeight="1" x14ac:dyDescent="0.25"/>
  <cols>
    <col min="1" max="13" width="8.85546875" customWidth="1"/>
    <col min="14" max="16384" width="8.85546875" hidden="1"/>
  </cols>
  <sheetData>
    <row r="1" spans="1:8" x14ac:dyDescent="0.25"/>
    <row r="2" spans="1:8" x14ac:dyDescent="0.25"/>
    <row r="3" spans="1:8" x14ac:dyDescent="0.25"/>
    <row r="4" spans="1:8" x14ac:dyDescent="0.25"/>
    <row r="5" spans="1:8" x14ac:dyDescent="0.25"/>
    <row r="6" spans="1:8" x14ac:dyDescent="0.25"/>
    <row r="7" spans="1:8" x14ac:dyDescent="0.25"/>
    <row r="8" spans="1:8" x14ac:dyDescent="0.25"/>
    <row r="9" spans="1:8" ht="47.25" x14ac:dyDescent="0.6">
      <c r="E9" s="84" t="s">
        <v>377</v>
      </c>
      <c r="F9" s="84"/>
      <c r="G9" s="84"/>
      <c r="H9" s="84"/>
    </row>
    <row r="10" spans="1:8" x14ac:dyDescent="0.25"/>
    <row r="11" spans="1:8" x14ac:dyDescent="0.25"/>
    <row r="12" spans="1:8" x14ac:dyDescent="0.25"/>
    <row r="13" spans="1:8" x14ac:dyDescent="0.25"/>
    <row r="14" spans="1:8" x14ac:dyDescent="0.25"/>
    <row r="15" spans="1:8" ht="15.75" x14ac:dyDescent="0.25">
      <c r="A15" s="41">
        <v>2023</v>
      </c>
      <c r="B15" s="40"/>
    </row>
    <row r="16" spans="1:8" x14ac:dyDescent="0.25"/>
    <row r="17" x14ac:dyDescent="0.25"/>
  </sheetData>
  <mergeCells count="1">
    <mergeCell ref="E9:H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4ABEC-1980-4D67-A615-72FC44F2B811}">
  <sheetPr codeName="Sheet2">
    <tabColor rgb="FFFC080F"/>
    <pageSetUpPr autoPageBreaks="0"/>
  </sheetPr>
  <dimension ref="A1:U68"/>
  <sheetViews>
    <sheetView showGridLines="0" showRowColHeaders="0" zoomScale="85" zoomScaleNormal="85" workbookViewId="0">
      <selection activeCell="T4" sqref="T4"/>
    </sheetView>
  </sheetViews>
  <sheetFormatPr defaultColWidth="0" defaultRowHeight="15" zeroHeight="1" x14ac:dyDescent="0.25"/>
  <cols>
    <col min="1" max="1" width="4.5703125" customWidth="1"/>
    <col min="2" max="21" width="8.85546875" customWidth="1"/>
    <col min="22" max="16384" width="8.85546875" hidden="1"/>
  </cols>
  <sheetData>
    <row r="1" spans="1:19" ht="6" customHeight="1" x14ac:dyDescent="0.25"/>
    <row r="2" spans="1:19" x14ac:dyDescent="0.25">
      <c r="A2" s="6" t="s">
        <v>181</v>
      </c>
    </row>
    <row r="3" spans="1:19" ht="4.3499999999999996" customHeight="1" x14ac:dyDescent="0.25"/>
    <row r="4" spans="1:19" ht="30" customHeight="1" x14ac:dyDescent="0.25">
      <c r="B4" s="85" t="s">
        <v>182</v>
      </c>
      <c r="C4" s="85"/>
      <c r="D4" s="85"/>
      <c r="E4" s="85"/>
      <c r="F4" s="85"/>
      <c r="G4" s="85"/>
      <c r="H4" s="85"/>
      <c r="I4" s="85"/>
      <c r="J4" s="85"/>
      <c r="K4" s="85"/>
      <c r="L4" s="85"/>
      <c r="M4" s="85"/>
      <c r="N4" s="85"/>
      <c r="O4" s="85"/>
      <c r="P4" s="85"/>
      <c r="Q4" s="85"/>
      <c r="R4" s="85"/>
      <c r="S4" s="85"/>
    </row>
    <row r="5" spans="1:19" x14ac:dyDescent="0.25"/>
    <row r="6" spans="1:19" x14ac:dyDescent="0.25">
      <c r="A6" s="6" t="s">
        <v>183</v>
      </c>
    </row>
    <row r="7" spans="1:19" ht="6" customHeight="1" x14ac:dyDescent="0.25">
      <c r="A7" s="6"/>
    </row>
    <row r="8" spans="1:19" x14ac:dyDescent="0.25">
      <c r="B8" s="82"/>
      <c r="C8" s="85" t="s">
        <v>366</v>
      </c>
      <c r="D8" s="85"/>
      <c r="E8" s="85"/>
      <c r="F8" s="85"/>
      <c r="G8" s="85"/>
      <c r="H8" s="85"/>
      <c r="I8" s="85"/>
      <c r="J8" s="85"/>
      <c r="K8" s="85"/>
      <c r="L8" s="85"/>
      <c r="M8" s="85"/>
      <c r="N8" s="85"/>
      <c r="O8" s="85"/>
      <c r="P8" s="85"/>
      <c r="Q8" s="85"/>
      <c r="R8" s="85"/>
      <c r="S8" s="85"/>
    </row>
    <row r="9" spans="1:19" ht="6" customHeight="1" x14ac:dyDescent="0.25"/>
    <row r="10" spans="1:19" ht="14.45" customHeight="1" x14ac:dyDescent="0.25">
      <c r="B10" s="81"/>
      <c r="C10" s="85" t="s">
        <v>184</v>
      </c>
      <c r="D10" s="85"/>
      <c r="E10" s="85"/>
      <c r="F10" s="85"/>
      <c r="G10" s="85"/>
      <c r="H10" s="85"/>
      <c r="I10" s="85"/>
      <c r="J10" s="85"/>
      <c r="K10" s="85"/>
      <c r="L10" s="85"/>
      <c r="M10" s="85"/>
      <c r="N10" s="85"/>
      <c r="O10" s="85"/>
      <c r="P10" s="85"/>
      <c r="Q10" s="85"/>
      <c r="R10" s="85"/>
      <c r="S10" s="85"/>
    </row>
    <row r="11" spans="1:19" ht="6" customHeight="1" x14ac:dyDescent="0.25"/>
    <row r="12" spans="1:19" ht="14.45" customHeight="1" x14ac:dyDescent="0.25"/>
    <row r="13" spans="1:19" x14ac:dyDescent="0.25">
      <c r="A13" s="6" t="s">
        <v>12</v>
      </c>
    </row>
    <row r="14" spans="1:19" ht="4.3499999999999996" customHeight="1" x14ac:dyDescent="0.25">
      <c r="A14" s="6"/>
    </row>
    <row r="15" spans="1:19" x14ac:dyDescent="0.25">
      <c r="B15" s="7">
        <v>0</v>
      </c>
      <c r="C15" t="s">
        <v>185</v>
      </c>
    </row>
    <row r="16" spans="1:19" ht="6" customHeight="1" x14ac:dyDescent="0.25"/>
    <row r="17" spans="1:3" x14ac:dyDescent="0.25">
      <c r="B17" s="8">
        <f>+G12</f>
        <v>0</v>
      </c>
      <c r="C17" t="s">
        <v>186</v>
      </c>
    </row>
    <row r="18" spans="1:3" ht="12.6" customHeight="1" x14ac:dyDescent="0.25"/>
    <row r="19" spans="1:3" x14ac:dyDescent="0.25">
      <c r="A19" s="6" t="s">
        <v>13</v>
      </c>
    </row>
    <row r="20" spans="1:3" ht="2.1" customHeight="1" x14ac:dyDescent="0.25">
      <c r="A20" s="6"/>
    </row>
    <row r="21" spans="1:3" x14ac:dyDescent="0.25">
      <c r="A21" s="9" t="s">
        <v>187</v>
      </c>
    </row>
    <row r="22" spans="1:3" x14ac:dyDescent="0.25">
      <c r="A22" s="10"/>
      <c r="B22" t="s">
        <v>188</v>
      </c>
    </row>
    <row r="23" spans="1:3" ht="6.6" customHeight="1" x14ac:dyDescent="0.25">
      <c r="A23" s="10"/>
    </row>
    <row r="24" spans="1:3" x14ac:dyDescent="0.25">
      <c r="A24" s="9" t="s">
        <v>189</v>
      </c>
    </row>
    <row r="25" spans="1:3" x14ac:dyDescent="0.25">
      <c r="B25" t="s">
        <v>190</v>
      </c>
    </row>
    <row r="26" spans="1:3" ht="7.35" customHeight="1" x14ac:dyDescent="0.25"/>
    <row r="27" spans="1:3" x14ac:dyDescent="0.25">
      <c r="A27" s="9" t="s">
        <v>193</v>
      </c>
    </row>
    <row r="28" spans="1:3" x14ac:dyDescent="0.25">
      <c r="B28" t="s">
        <v>191</v>
      </c>
    </row>
    <row r="29" spans="1:3" ht="6.6" customHeight="1" x14ac:dyDescent="0.25"/>
    <row r="30" spans="1:3" x14ac:dyDescent="0.25">
      <c r="A30" s="9" t="s">
        <v>194</v>
      </c>
    </row>
    <row r="31" spans="1:3" x14ac:dyDescent="0.25">
      <c r="B31" t="s">
        <v>192</v>
      </c>
    </row>
    <row r="32" spans="1:3" ht="8.1" customHeight="1" x14ac:dyDescent="0.25"/>
    <row r="33" spans="1:2" x14ac:dyDescent="0.25">
      <c r="A33" s="9" t="s">
        <v>195</v>
      </c>
    </row>
    <row r="34" spans="1:2" x14ac:dyDescent="0.25">
      <c r="B34" t="s">
        <v>196</v>
      </c>
    </row>
    <row r="35" spans="1:2" ht="8.1" customHeight="1" x14ac:dyDescent="0.25"/>
    <row r="36" spans="1:2" x14ac:dyDescent="0.25">
      <c r="A36" s="9" t="s">
        <v>197</v>
      </c>
    </row>
    <row r="37" spans="1:2" x14ac:dyDescent="0.25">
      <c r="B37" t="s">
        <v>198</v>
      </c>
    </row>
    <row r="38" spans="1:2" ht="9" customHeight="1" x14ac:dyDescent="0.25"/>
    <row r="39" spans="1:2" x14ac:dyDescent="0.25">
      <c r="A39" s="9" t="s">
        <v>200</v>
      </c>
    </row>
    <row r="40" spans="1:2" x14ac:dyDescent="0.25">
      <c r="B40" t="s">
        <v>199</v>
      </c>
    </row>
    <row r="41" spans="1:2" ht="9" customHeight="1" x14ac:dyDescent="0.25"/>
    <row r="42" spans="1:2" x14ac:dyDescent="0.25">
      <c r="A42" s="9" t="s">
        <v>201</v>
      </c>
    </row>
    <row r="43" spans="1:2" x14ac:dyDescent="0.25">
      <c r="B43" t="s">
        <v>203</v>
      </c>
    </row>
    <row r="44" spans="1:2" ht="9" customHeight="1" x14ac:dyDescent="0.25"/>
    <row r="45" spans="1:2" x14ac:dyDescent="0.25">
      <c r="A45" s="9" t="s">
        <v>202</v>
      </c>
    </row>
    <row r="46" spans="1:2" x14ac:dyDescent="0.25">
      <c r="B46" t="s">
        <v>204</v>
      </c>
    </row>
    <row r="47" spans="1:2" ht="9.6" customHeight="1" x14ac:dyDescent="0.25"/>
    <row r="48" spans="1:2" x14ac:dyDescent="0.25">
      <c r="A48" s="9" t="s">
        <v>205</v>
      </c>
    </row>
    <row r="49" spans="1:2" x14ac:dyDescent="0.25">
      <c r="A49" s="10"/>
      <c r="B49" t="s">
        <v>206</v>
      </c>
    </row>
    <row r="50" spans="1:2" ht="10.35" customHeight="1" x14ac:dyDescent="0.25"/>
    <row r="51" spans="1:2" x14ac:dyDescent="0.25">
      <c r="A51" s="9" t="s">
        <v>209</v>
      </c>
    </row>
    <row r="52" spans="1:2" x14ac:dyDescent="0.25">
      <c r="A52" s="10"/>
      <c r="B52" t="s">
        <v>207</v>
      </c>
    </row>
    <row r="53" spans="1:2" ht="10.35" customHeight="1" x14ac:dyDescent="0.25"/>
    <row r="54" spans="1:2" x14ac:dyDescent="0.25">
      <c r="A54" s="9" t="s">
        <v>210</v>
      </c>
    </row>
    <row r="55" spans="1:2" x14ac:dyDescent="0.25">
      <c r="A55" s="10"/>
      <c r="B55" t="s">
        <v>208</v>
      </c>
    </row>
    <row r="56" spans="1:2" ht="10.35" customHeight="1" x14ac:dyDescent="0.25"/>
    <row r="57" spans="1:2" x14ac:dyDescent="0.25">
      <c r="A57" s="9" t="s">
        <v>211</v>
      </c>
    </row>
    <row r="58" spans="1:2" x14ac:dyDescent="0.25">
      <c r="A58" s="10"/>
      <c r="B58" t="s">
        <v>212</v>
      </c>
    </row>
    <row r="59" spans="1:2" x14ac:dyDescent="0.25"/>
    <row r="60" spans="1:2" x14ac:dyDescent="0.25"/>
    <row r="61" spans="1:2" x14ac:dyDescent="0.25"/>
    <row r="62" spans="1:2" x14ac:dyDescent="0.25"/>
    <row r="63" spans="1:2" x14ac:dyDescent="0.25"/>
    <row r="64" spans="1:2" x14ac:dyDescent="0.25"/>
    <row r="65" customFormat="1" x14ac:dyDescent="0.25"/>
    <row r="66" customFormat="1" x14ac:dyDescent="0.25"/>
    <row r="67" customFormat="1" x14ac:dyDescent="0.25"/>
    <row r="68" customFormat="1" x14ac:dyDescent="0.25"/>
  </sheetData>
  <mergeCells count="3">
    <mergeCell ref="B4:S4"/>
    <mergeCell ref="C8:S8"/>
    <mergeCell ref="C10:S10"/>
  </mergeCells>
  <dataValidations disablePrompts="1" count="1">
    <dataValidation type="decimal" allowBlank="1" showInputMessage="1" showErrorMessage="1" errorTitle="Max Value" error="You can't enter a carry that is higher than the participation level." sqref="B17" xr:uid="{CF17629E-2F95-497B-B3D8-9F9CBB29A6DB}">
      <formula1>0</formula1>
      <formula2>#REF!</formula2>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4161C-7007-438D-9541-630FC1F7C1DB}">
  <sheetPr codeName="Sheet15">
    <tabColor rgb="FFB3FF03"/>
  </sheetPr>
  <dimension ref="A1:F41"/>
  <sheetViews>
    <sheetView showGridLines="0" showRowColHeaders="0" zoomScale="115" zoomScaleNormal="115" workbookViewId="0">
      <selection activeCell="E5" sqref="E5"/>
    </sheetView>
  </sheetViews>
  <sheetFormatPr defaultColWidth="0" defaultRowHeight="15" zeroHeight="1" x14ac:dyDescent="0.25"/>
  <cols>
    <col min="1" max="1" width="3.42578125" customWidth="1"/>
    <col min="2" max="2" width="8.85546875" customWidth="1"/>
    <col min="3" max="3" width="34.42578125" customWidth="1"/>
    <col min="4" max="4" width="11.85546875" bestFit="1" customWidth="1"/>
    <col min="5" max="5" width="12.5703125" bestFit="1" customWidth="1"/>
    <col min="6" max="6" width="4.42578125" customWidth="1"/>
    <col min="7" max="16384" width="8.85546875" hidden="1"/>
  </cols>
  <sheetData>
    <row r="1" spans="2:5" x14ac:dyDescent="0.25"/>
    <row r="2" spans="2:5" x14ac:dyDescent="0.25">
      <c r="B2" s="87" t="s">
        <v>122</v>
      </c>
      <c r="C2" s="87" t="s">
        <v>213</v>
      </c>
      <c r="D2" s="87" t="s">
        <v>214</v>
      </c>
      <c r="E2" s="87" t="s">
        <v>215</v>
      </c>
    </row>
    <row r="3" spans="2:5" x14ac:dyDescent="0.25">
      <c r="B3" s="87"/>
      <c r="C3" s="87"/>
      <c r="D3" s="87"/>
      <c r="E3" s="87"/>
    </row>
    <row r="4" spans="2:5" x14ac:dyDescent="0.25">
      <c r="B4" s="87"/>
      <c r="C4" s="87"/>
      <c r="D4" s="87"/>
      <c r="E4" s="87"/>
    </row>
    <row r="5" spans="2:5" x14ac:dyDescent="0.25">
      <c r="B5" s="30">
        <v>1</v>
      </c>
      <c r="C5" s="31" t="s">
        <v>216</v>
      </c>
      <c r="D5" s="30" t="s">
        <v>217</v>
      </c>
      <c r="E5" s="32">
        <v>0</v>
      </c>
    </row>
    <row r="6" spans="2:5" x14ac:dyDescent="0.25">
      <c r="B6" s="30">
        <v>2</v>
      </c>
      <c r="C6" s="31" t="s">
        <v>218</v>
      </c>
      <c r="D6" s="30" t="s">
        <v>219</v>
      </c>
      <c r="E6" s="32">
        <v>0</v>
      </c>
    </row>
    <row r="7" spans="2:5" x14ac:dyDescent="0.25">
      <c r="B7" s="30">
        <v>3</v>
      </c>
      <c r="C7" s="31" t="s">
        <v>359</v>
      </c>
      <c r="D7" s="30" t="s">
        <v>362</v>
      </c>
      <c r="E7" s="32">
        <v>0</v>
      </c>
    </row>
    <row r="8" spans="2:5" x14ac:dyDescent="0.25">
      <c r="B8" s="30">
        <v>4</v>
      </c>
      <c r="C8" s="31" t="s">
        <v>360</v>
      </c>
      <c r="D8" s="30" t="s">
        <v>361</v>
      </c>
      <c r="E8" s="32">
        <v>0</v>
      </c>
    </row>
    <row r="9" spans="2:5" x14ac:dyDescent="0.25">
      <c r="B9" s="30">
        <v>5</v>
      </c>
      <c r="C9" s="31" t="s">
        <v>220</v>
      </c>
      <c r="D9" s="30" t="s">
        <v>221</v>
      </c>
      <c r="E9" s="32">
        <v>0</v>
      </c>
    </row>
    <row r="10" spans="2:5" x14ac:dyDescent="0.25">
      <c r="B10" s="86">
        <v>6</v>
      </c>
      <c r="C10" s="31" t="s">
        <v>222</v>
      </c>
      <c r="D10" s="30" t="s">
        <v>221</v>
      </c>
      <c r="E10" s="32">
        <v>0</v>
      </c>
    </row>
    <row r="11" spans="2:5" x14ac:dyDescent="0.25">
      <c r="B11" s="86"/>
      <c r="C11" s="33" t="s">
        <v>223</v>
      </c>
      <c r="D11" s="30" t="s">
        <v>221</v>
      </c>
      <c r="E11" s="32">
        <v>0</v>
      </c>
    </row>
    <row r="12" spans="2:5" x14ac:dyDescent="0.25">
      <c r="B12" s="86"/>
      <c r="C12" s="33" t="s">
        <v>224</v>
      </c>
      <c r="D12" s="30" t="s">
        <v>221</v>
      </c>
      <c r="E12" s="32">
        <v>0</v>
      </c>
    </row>
    <row r="13" spans="2:5" x14ac:dyDescent="0.25">
      <c r="B13" s="30">
        <v>7</v>
      </c>
      <c r="C13" s="31" t="s">
        <v>225</v>
      </c>
      <c r="D13" s="30" t="s">
        <v>221</v>
      </c>
      <c r="E13" s="32">
        <v>0</v>
      </c>
    </row>
    <row r="14" spans="2:5" x14ac:dyDescent="0.25">
      <c r="B14" s="86">
        <v>8</v>
      </c>
      <c r="C14" s="31" t="s">
        <v>226</v>
      </c>
      <c r="D14" s="30" t="s">
        <v>221</v>
      </c>
      <c r="E14" s="32">
        <v>0</v>
      </c>
    </row>
    <row r="15" spans="2:5" x14ac:dyDescent="0.25">
      <c r="B15" s="86"/>
      <c r="C15" s="33" t="s">
        <v>227</v>
      </c>
      <c r="D15" s="30" t="s">
        <v>221</v>
      </c>
      <c r="E15" s="32">
        <v>0</v>
      </c>
    </row>
    <row r="16" spans="2:5" x14ac:dyDescent="0.25">
      <c r="B16" s="86"/>
      <c r="C16" s="33" t="s">
        <v>228</v>
      </c>
      <c r="D16" s="30" t="s">
        <v>221</v>
      </c>
      <c r="E16" s="32">
        <v>0</v>
      </c>
    </row>
    <row r="17" spans="2:5" x14ac:dyDescent="0.25">
      <c r="B17" s="86">
        <v>9</v>
      </c>
      <c r="C17" s="31" t="s">
        <v>229</v>
      </c>
      <c r="D17" s="30" t="s">
        <v>221</v>
      </c>
      <c r="E17" s="32">
        <v>0</v>
      </c>
    </row>
    <row r="18" spans="2:5" x14ac:dyDescent="0.25">
      <c r="B18" s="86"/>
      <c r="C18" s="33" t="s">
        <v>230</v>
      </c>
      <c r="D18" s="30" t="s">
        <v>221</v>
      </c>
      <c r="E18" s="32">
        <v>0</v>
      </c>
    </row>
    <row r="19" spans="2:5" x14ac:dyDescent="0.25">
      <c r="B19" s="86"/>
      <c r="C19" s="33" t="s">
        <v>231</v>
      </c>
      <c r="D19" s="30" t="s">
        <v>221</v>
      </c>
      <c r="E19" s="32">
        <v>0</v>
      </c>
    </row>
    <row r="20" spans="2:5" x14ac:dyDescent="0.25">
      <c r="B20" s="86">
        <v>10</v>
      </c>
      <c r="C20" s="31" t="s">
        <v>363</v>
      </c>
      <c r="D20" s="30" t="s">
        <v>221</v>
      </c>
      <c r="E20" s="32">
        <v>0</v>
      </c>
    </row>
    <row r="21" spans="2:5" x14ac:dyDescent="0.25">
      <c r="B21" s="86"/>
      <c r="C21" s="31" t="s">
        <v>233</v>
      </c>
      <c r="D21" s="30" t="s">
        <v>234</v>
      </c>
      <c r="E21" s="39">
        <v>0</v>
      </c>
    </row>
    <row r="22" spans="2:5" x14ac:dyDescent="0.25">
      <c r="B22" s="86">
        <v>11</v>
      </c>
      <c r="C22" s="31" t="s">
        <v>364</v>
      </c>
      <c r="D22" s="30" t="s">
        <v>221</v>
      </c>
      <c r="E22" s="32">
        <v>0</v>
      </c>
    </row>
    <row r="23" spans="2:5" x14ac:dyDescent="0.25">
      <c r="B23" s="86"/>
      <c r="C23" s="31" t="s">
        <v>233</v>
      </c>
      <c r="D23" s="30" t="s">
        <v>234</v>
      </c>
      <c r="E23" s="32">
        <v>0</v>
      </c>
    </row>
    <row r="24" spans="2:5" x14ac:dyDescent="0.25">
      <c r="B24" s="86">
        <v>12</v>
      </c>
      <c r="C24" s="31" t="s">
        <v>235</v>
      </c>
      <c r="D24" s="30"/>
      <c r="E24" s="32"/>
    </row>
    <row r="25" spans="2:5" x14ac:dyDescent="0.25">
      <c r="B25" s="86"/>
      <c r="C25" s="33" t="s">
        <v>236</v>
      </c>
      <c r="D25" s="30" t="s">
        <v>221</v>
      </c>
      <c r="E25" s="32">
        <v>0</v>
      </c>
    </row>
    <row r="26" spans="2:5" x14ac:dyDescent="0.25">
      <c r="B26" s="86"/>
      <c r="C26" s="33" t="s">
        <v>237</v>
      </c>
      <c r="D26" s="30" t="s">
        <v>234</v>
      </c>
      <c r="E26" s="39">
        <v>0</v>
      </c>
    </row>
    <row r="27" spans="2:5" x14ac:dyDescent="0.25">
      <c r="B27" s="86"/>
      <c r="C27" s="33" t="s">
        <v>238</v>
      </c>
      <c r="D27" s="30" t="s">
        <v>221</v>
      </c>
      <c r="E27" s="32">
        <v>0</v>
      </c>
    </row>
    <row r="28" spans="2:5" x14ac:dyDescent="0.25">
      <c r="B28" s="86"/>
      <c r="C28" s="33" t="s">
        <v>237</v>
      </c>
      <c r="D28" s="30" t="s">
        <v>234</v>
      </c>
      <c r="E28" s="39">
        <v>0</v>
      </c>
    </row>
    <row r="29" spans="2:5" x14ac:dyDescent="0.25">
      <c r="B29" s="86"/>
      <c r="C29" s="34" t="s">
        <v>239</v>
      </c>
      <c r="D29" s="35" t="s">
        <v>221</v>
      </c>
      <c r="E29" s="32">
        <v>0</v>
      </c>
    </row>
    <row r="30" spans="2:5" x14ac:dyDescent="0.25">
      <c r="B30" s="86"/>
      <c r="C30" s="34" t="s">
        <v>240</v>
      </c>
      <c r="D30" s="35" t="s">
        <v>221</v>
      </c>
      <c r="E30" s="32">
        <v>0</v>
      </c>
    </row>
    <row r="31" spans="2:5" x14ac:dyDescent="0.25">
      <c r="B31" s="86"/>
      <c r="C31" s="34" t="s">
        <v>241</v>
      </c>
      <c r="D31" s="35" t="s">
        <v>242</v>
      </c>
      <c r="E31" s="32">
        <v>0</v>
      </c>
    </row>
    <row r="32" spans="2:5" x14ac:dyDescent="0.25">
      <c r="B32" s="86"/>
      <c r="C32" s="34" t="s">
        <v>243</v>
      </c>
      <c r="D32" s="36"/>
      <c r="E32" s="32">
        <v>0</v>
      </c>
    </row>
    <row r="33" spans="2:5" x14ac:dyDescent="0.25">
      <c r="B33" s="86">
        <v>13</v>
      </c>
      <c r="C33" s="37" t="s">
        <v>244</v>
      </c>
      <c r="D33" s="35"/>
      <c r="E33" s="32"/>
    </row>
    <row r="34" spans="2:5" x14ac:dyDescent="0.25">
      <c r="B34" s="86"/>
      <c r="C34" s="34" t="s">
        <v>224</v>
      </c>
      <c r="D34" s="35" t="s">
        <v>221</v>
      </c>
      <c r="E34" s="32">
        <v>0</v>
      </c>
    </row>
    <row r="35" spans="2:5" x14ac:dyDescent="0.25">
      <c r="B35" s="86"/>
      <c r="C35" s="34" t="s">
        <v>365</v>
      </c>
      <c r="D35" s="35" t="s">
        <v>221</v>
      </c>
      <c r="E35" s="32">
        <v>0</v>
      </c>
    </row>
    <row r="36" spans="2:5" x14ac:dyDescent="0.25">
      <c r="B36" s="86"/>
      <c r="C36" s="34" t="s">
        <v>245</v>
      </c>
      <c r="D36" s="35" t="s">
        <v>221</v>
      </c>
      <c r="E36" s="32">
        <v>0</v>
      </c>
    </row>
    <row r="37" spans="2:5" x14ac:dyDescent="0.25">
      <c r="B37" s="86"/>
      <c r="C37" s="34" t="s">
        <v>246</v>
      </c>
      <c r="D37" s="35" t="s">
        <v>221</v>
      </c>
      <c r="E37" s="32">
        <v>0</v>
      </c>
    </row>
    <row r="38" spans="2:5" x14ac:dyDescent="0.25">
      <c r="B38" s="86"/>
      <c r="C38" s="34" t="s">
        <v>247</v>
      </c>
      <c r="D38" s="35" t="s">
        <v>221</v>
      </c>
      <c r="E38" s="32">
        <v>0</v>
      </c>
    </row>
    <row r="39" spans="2:5" x14ac:dyDescent="0.25">
      <c r="B39" s="86"/>
      <c r="C39" s="34" t="s">
        <v>237</v>
      </c>
      <c r="D39" s="35" t="s">
        <v>234</v>
      </c>
      <c r="E39" s="39">
        <v>0</v>
      </c>
    </row>
    <row r="40" spans="2:5" x14ac:dyDescent="0.25">
      <c r="B40" s="86"/>
      <c r="C40" s="34" t="s">
        <v>248</v>
      </c>
      <c r="D40" s="38" t="s">
        <v>221</v>
      </c>
      <c r="E40" s="32">
        <v>0</v>
      </c>
    </row>
    <row r="41" spans="2:5" x14ac:dyDescent="0.25"/>
  </sheetData>
  <mergeCells count="11">
    <mergeCell ref="B14:B16"/>
    <mergeCell ref="B2:B4"/>
    <mergeCell ref="C2:C4"/>
    <mergeCell ref="D2:D4"/>
    <mergeCell ref="E2:E4"/>
    <mergeCell ref="B10:B12"/>
    <mergeCell ref="B17:B19"/>
    <mergeCell ref="B20:B21"/>
    <mergeCell ref="B22:B23"/>
    <mergeCell ref="B24:B32"/>
    <mergeCell ref="B33:B4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52A24-8EC9-44C8-995C-74E2527B6521}">
  <sheetPr codeName="Sheet1">
    <tabColor rgb="FFA3B8BA"/>
  </sheetPr>
  <dimension ref="A1:J33"/>
  <sheetViews>
    <sheetView showGridLines="0" showRowColHeaders="0" zoomScale="115" zoomScaleNormal="115" workbookViewId="0">
      <selection activeCell="C19" sqref="C19:E19"/>
    </sheetView>
  </sheetViews>
  <sheetFormatPr defaultColWidth="0" defaultRowHeight="15" zeroHeight="1" x14ac:dyDescent="0.25"/>
  <cols>
    <col min="1" max="1" width="3.5703125" customWidth="1"/>
    <col min="2" max="2" width="34.42578125" customWidth="1"/>
    <col min="3" max="3" width="7.5703125" customWidth="1"/>
    <col min="4" max="4" width="12.42578125" customWidth="1"/>
    <col min="5" max="5" width="7.42578125" customWidth="1"/>
    <col min="6" max="6" width="2.42578125" hidden="1" customWidth="1"/>
    <col min="7" max="7" width="9.140625" hidden="1" customWidth="1"/>
    <col min="8" max="8" width="3.85546875" hidden="1" customWidth="1"/>
    <col min="9" max="9" width="5.42578125" hidden="1" customWidth="1"/>
    <col min="10" max="10" width="2.42578125" customWidth="1"/>
    <col min="11" max="16384" width="8.85546875" hidden="1"/>
  </cols>
  <sheetData>
    <row r="1" spans="1:9" x14ac:dyDescent="0.25">
      <c r="A1" s="9" t="s">
        <v>103</v>
      </c>
      <c r="B1" s="9"/>
    </row>
    <row r="2" spans="1:9" x14ac:dyDescent="0.25">
      <c r="B2" t="s">
        <v>19</v>
      </c>
      <c r="C2" s="88" t="s">
        <v>378</v>
      </c>
      <c r="D2" s="89"/>
      <c r="E2" s="90"/>
    </row>
    <row r="3" spans="1:9" x14ac:dyDescent="0.25">
      <c r="B3" t="s">
        <v>20</v>
      </c>
      <c r="C3" s="88">
        <v>2023</v>
      </c>
      <c r="D3" s="89"/>
      <c r="E3" s="90"/>
    </row>
    <row r="4" spans="1:9" x14ac:dyDescent="0.25">
      <c r="B4" t="s">
        <v>262</v>
      </c>
      <c r="C4" s="88">
        <v>0.1</v>
      </c>
      <c r="D4" s="89"/>
      <c r="E4" s="90"/>
    </row>
    <row r="5" spans="1:9" x14ac:dyDescent="0.25">
      <c r="B5" t="s">
        <v>21</v>
      </c>
      <c r="C5" s="88" t="s">
        <v>259</v>
      </c>
      <c r="D5" s="89"/>
      <c r="E5" s="90"/>
    </row>
    <row r="6" spans="1:9" x14ac:dyDescent="0.25">
      <c r="B6" t="s">
        <v>98</v>
      </c>
      <c r="C6" s="91">
        <v>44927</v>
      </c>
      <c r="D6" s="92"/>
      <c r="E6" s="93"/>
    </row>
    <row r="7" spans="1:9" x14ac:dyDescent="0.25">
      <c r="B7" t="s">
        <v>99</v>
      </c>
      <c r="C7" s="91">
        <v>48579</v>
      </c>
      <c r="D7" s="92"/>
      <c r="E7" s="93"/>
    </row>
    <row r="8" spans="1:9" x14ac:dyDescent="0.25">
      <c r="B8" t="s">
        <v>100</v>
      </c>
      <c r="C8" s="91"/>
      <c r="D8" s="92"/>
      <c r="E8" s="93"/>
    </row>
    <row r="9" spans="1:9" hidden="1" x14ac:dyDescent="0.25">
      <c r="B9" t="s">
        <v>101</v>
      </c>
      <c r="C9" s="91"/>
      <c r="D9" s="92"/>
      <c r="E9" s="93"/>
    </row>
    <row r="10" spans="1:9" x14ac:dyDescent="0.25">
      <c r="B10" s="42" t="s">
        <v>102</v>
      </c>
      <c r="C10" s="43"/>
      <c r="D10" s="45">
        <v>2</v>
      </c>
      <c r="E10" s="44"/>
    </row>
    <row r="11" spans="1:9" x14ac:dyDescent="0.25">
      <c r="B11" s="42"/>
      <c r="C11" s="43"/>
      <c r="D11" s="45">
        <v>0</v>
      </c>
      <c r="E11" s="44"/>
      <c r="G11" s="62" t="s">
        <v>257</v>
      </c>
      <c r="H11" s="61">
        <v>4</v>
      </c>
      <c r="I11" s="60"/>
    </row>
    <row r="12" spans="1:9" x14ac:dyDescent="0.25">
      <c r="C12" s="43"/>
      <c r="D12" s="45">
        <v>0</v>
      </c>
      <c r="E12" s="44"/>
    </row>
    <row r="13" spans="1:9" x14ac:dyDescent="0.25">
      <c r="C13" s="43"/>
      <c r="D13" s="45">
        <v>0</v>
      </c>
      <c r="E13" s="44"/>
    </row>
    <row r="14" spans="1:9" x14ac:dyDescent="0.25">
      <c r="C14" s="43"/>
      <c r="D14" s="45">
        <v>0</v>
      </c>
      <c r="E14" s="44"/>
    </row>
    <row r="15" spans="1:9" x14ac:dyDescent="0.25">
      <c r="C15" s="43"/>
      <c r="D15" s="45">
        <v>0</v>
      </c>
      <c r="E15" s="44"/>
    </row>
    <row r="16" spans="1:9" x14ac:dyDescent="0.25">
      <c r="C16" s="43"/>
      <c r="D16" s="45">
        <v>0</v>
      </c>
      <c r="E16" s="44"/>
    </row>
    <row r="17" spans="2:5" x14ac:dyDescent="0.25"/>
    <row r="18" spans="2:5" ht="14.45" customHeight="1" x14ac:dyDescent="0.25">
      <c r="B18" t="s">
        <v>272</v>
      </c>
      <c r="C18" s="94">
        <v>0</v>
      </c>
      <c r="D18" s="95"/>
      <c r="E18" s="96"/>
    </row>
    <row r="19" spans="2:5" x14ac:dyDescent="0.25">
      <c r="B19" t="s">
        <v>273</v>
      </c>
      <c r="C19" s="94">
        <v>0</v>
      </c>
      <c r="D19" s="95"/>
      <c r="E19" s="96"/>
    </row>
    <row r="20" spans="2:5" x14ac:dyDescent="0.25"/>
    <row r="33" x14ac:dyDescent="0.25"/>
  </sheetData>
  <mergeCells count="10">
    <mergeCell ref="C2:E2"/>
    <mergeCell ref="C3:E3"/>
    <mergeCell ref="C5:E5"/>
    <mergeCell ref="C6:E6"/>
    <mergeCell ref="C19:E19"/>
    <mergeCell ref="C4:E4"/>
    <mergeCell ref="C18:E18"/>
    <mergeCell ref="C7:E7"/>
    <mergeCell ref="C8:E8"/>
    <mergeCell ref="C9:E9"/>
  </mergeCells>
  <dataValidations count="7">
    <dataValidation type="list" showInputMessage="1" showErrorMessage="1" sqref="C5" xr:uid="{249D1BF8-29D2-47ED-B7F5-3945E5812E48}">
      <formula1>"CAPEX,OPEX,CAPEX AND OPEX,None"</formula1>
    </dataValidation>
    <dataValidation type="date" allowBlank="1" showInputMessage="1" showErrorMessage="1" errorTitle="Data Type Error" error="Should be Data" sqref="C8:E9" xr:uid="{DD057F8D-D0DD-4C84-B93F-6C209D5D1B60}">
      <formula1>16438</formula1>
      <formula2>401769</formula2>
    </dataValidation>
    <dataValidation showInputMessage="1" showErrorMessage="1" sqref="C2:E2" xr:uid="{CB4E7E80-5CF3-4B6B-9537-D98EB0ACB387}"/>
    <dataValidation type="whole" operator="lessThanOrEqual" allowBlank="1" showInputMessage="1" showErrorMessage="1" errorTitle="Maimum Number" error="Maximum GSA is 20" sqref="C10:C16" xr:uid="{712D2BFD-3D7A-46DF-8776-1E2D351DAE89}">
      <formula1>10</formula1>
    </dataValidation>
    <dataValidation type="whole" allowBlank="1" showInputMessage="1" showErrorMessage="1" errorTitle="Data Type" error="Should be integer" sqref="C3:E3" xr:uid="{6A39EE01-CF99-4150-962D-1B6FBB413D72}">
      <formula1>0</formula1>
      <formula2>99999</formula2>
    </dataValidation>
    <dataValidation type="date" allowBlank="1" showInputMessage="1" showErrorMessage="1" errorTitle="Data Type" error="Should be short date format" sqref="C6:E7" xr:uid="{B79AECBC-3119-45C7-9374-6C0167E1399F}">
      <formula1>16438</formula1>
      <formula2>401769</formula2>
    </dataValidation>
    <dataValidation type="decimal" allowBlank="1" showInputMessage="1" showErrorMessage="1" errorTitle="Data Type" error="Should be integer" sqref="C4:E4 C18:E19" xr:uid="{44EC628A-CE61-43D2-96A9-10235EA6A9DA}">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Check Box 3">
              <controlPr defaultSize="0" autoFill="0" autoLine="0" autoPict="0" macro="[0]!ThisWorkbook.ShowSheetOil">
                <anchor moveWithCells="1">
                  <from>
                    <xdr:col>2</xdr:col>
                    <xdr:colOff>38100</xdr:colOff>
                    <xdr:row>9</xdr:row>
                    <xdr:rowOff>28575</xdr:rowOff>
                  </from>
                  <to>
                    <xdr:col>2</xdr:col>
                    <xdr:colOff>523875</xdr:colOff>
                    <xdr:row>10</xdr:row>
                    <xdr:rowOff>0</xdr:rowOff>
                  </to>
                </anchor>
              </controlPr>
            </control>
          </mc:Choice>
        </mc:AlternateContent>
        <mc:AlternateContent xmlns:mc="http://schemas.openxmlformats.org/markup-compatibility/2006">
          <mc:Choice Requires="x14">
            <control shapeId="2065" r:id="rId4" name="Check Box 17">
              <controlPr defaultSize="0" autoFill="0" autoLine="0" autoPict="0" macro="[0]!ThisWorkbook.ShowSheetGas">
                <anchor moveWithCells="1">
                  <from>
                    <xdr:col>2</xdr:col>
                    <xdr:colOff>38100</xdr:colOff>
                    <xdr:row>10</xdr:row>
                    <xdr:rowOff>28575</xdr:rowOff>
                  </from>
                  <to>
                    <xdr:col>2</xdr:col>
                    <xdr:colOff>523875</xdr:colOff>
                    <xdr:row>10</xdr:row>
                    <xdr:rowOff>180975</xdr:rowOff>
                  </to>
                </anchor>
              </controlPr>
            </control>
          </mc:Choice>
        </mc:AlternateContent>
        <mc:AlternateContent xmlns:mc="http://schemas.openxmlformats.org/markup-compatibility/2006">
          <mc:Choice Requires="x14">
            <control shapeId="2066" r:id="rId5" name="Check Box 18">
              <controlPr defaultSize="0" autoFill="0" autoLine="0" autoPict="0" macro="[0]!ThisWorkbook.ShowSheetLPGPropane">
                <anchor moveWithCells="1">
                  <from>
                    <xdr:col>2</xdr:col>
                    <xdr:colOff>38100</xdr:colOff>
                    <xdr:row>11</xdr:row>
                    <xdr:rowOff>9525</xdr:rowOff>
                  </from>
                  <to>
                    <xdr:col>3</xdr:col>
                    <xdr:colOff>276225</xdr:colOff>
                    <xdr:row>11</xdr:row>
                    <xdr:rowOff>180975</xdr:rowOff>
                  </to>
                </anchor>
              </controlPr>
            </control>
          </mc:Choice>
        </mc:AlternateContent>
        <mc:AlternateContent xmlns:mc="http://schemas.openxmlformats.org/markup-compatibility/2006">
          <mc:Choice Requires="x14">
            <control shapeId="2067" r:id="rId6" name="Check Box 19">
              <controlPr defaultSize="0" autoFill="0" autoLine="0" autoPict="0" macro="[0]!ThisWorkbook.ShowSheetLPGButane">
                <anchor moveWithCells="1">
                  <from>
                    <xdr:col>2</xdr:col>
                    <xdr:colOff>38100</xdr:colOff>
                    <xdr:row>12</xdr:row>
                    <xdr:rowOff>28575</xdr:rowOff>
                  </from>
                  <to>
                    <xdr:col>3</xdr:col>
                    <xdr:colOff>352425</xdr:colOff>
                    <xdr:row>12</xdr:row>
                    <xdr:rowOff>180975</xdr:rowOff>
                  </to>
                </anchor>
              </controlPr>
            </control>
          </mc:Choice>
        </mc:AlternateContent>
        <mc:AlternateContent xmlns:mc="http://schemas.openxmlformats.org/markup-compatibility/2006">
          <mc:Choice Requires="x14">
            <control shapeId="2068" r:id="rId7" name="Check Box 20">
              <controlPr defaultSize="0" autoFill="0" autoLine="0" autoPict="0" macro="[0]!ThisWorkbook.ShowSheetSulfur">
                <anchor moveWithCells="1">
                  <from>
                    <xdr:col>2</xdr:col>
                    <xdr:colOff>38100</xdr:colOff>
                    <xdr:row>14</xdr:row>
                    <xdr:rowOff>28575</xdr:rowOff>
                  </from>
                  <to>
                    <xdr:col>2</xdr:col>
                    <xdr:colOff>523875</xdr:colOff>
                    <xdr:row>14</xdr:row>
                    <xdr:rowOff>180975</xdr:rowOff>
                  </to>
                </anchor>
              </controlPr>
            </control>
          </mc:Choice>
        </mc:AlternateContent>
        <mc:AlternateContent xmlns:mc="http://schemas.openxmlformats.org/markup-compatibility/2006">
          <mc:Choice Requires="x14">
            <control shapeId="2069" r:id="rId8" name="Check Box 21">
              <controlPr defaultSize="0" autoFill="0" autoLine="0" autoPict="0" macro="[0]!ThisWorkbook.ShowSheetCO2">
                <anchor moveWithCells="1">
                  <from>
                    <xdr:col>2</xdr:col>
                    <xdr:colOff>38100</xdr:colOff>
                    <xdr:row>13</xdr:row>
                    <xdr:rowOff>9525</xdr:rowOff>
                  </from>
                  <to>
                    <xdr:col>2</xdr:col>
                    <xdr:colOff>523875</xdr:colOff>
                    <xdr:row>13</xdr:row>
                    <xdr:rowOff>180975</xdr:rowOff>
                  </to>
                </anchor>
              </controlPr>
            </control>
          </mc:Choice>
        </mc:AlternateContent>
        <mc:AlternateContent xmlns:mc="http://schemas.openxmlformats.org/markup-compatibility/2006">
          <mc:Choice Requires="x14">
            <control shapeId="2072" r:id="rId9" name="Spinner 24">
              <controlPr defaultSize="0" autoPict="0" macro="[0]!ThisWorkbook.NewSheetOil">
                <anchor moveWithCells="1" sizeWithCells="1">
                  <from>
                    <xdr:col>4</xdr:col>
                    <xdr:colOff>333375</xdr:colOff>
                    <xdr:row>9</xdr:row>
                    <xdr:rowOff>9525</xdr:rowOff>
                  </from>
                  <to>
                    <xdr:col>4</xdr:col>
                    <xdr:colOff>504825</xdr:colOff>
                    <xdr:row>9</xdr:row>
                    <xdr:rowOff>180975</xdr:rowOff>
                  </to>
                </anchor>
              </controlPr>
            </control>
          </mc:Choice>
        </mc:AlternateContent>
        <mc:AlternateContent xmlns:mc="http://schemas.openxmlformats.org/markup-compatibility/2006">
          <mc:Choice Requires="x14">
            <control shapeId="2073" r:id="rId10" name="Spinner 25">
              <controlPr defaultSize="0" autoPict="0" macro="[0]!ThisWorkbook.NewSheetGas">
                <anchor moveWithCells="1" sizeWithCells="1">
                  <from>
                    <xdr:col>4</xdr:col>
                    <xdr:colOff>333375</xdr:colOff>
                    <xdr:row>10</xdr:row>
                    <xdr:rowOff>9525</xdr:rowOff>
                  </from>
                  <to>
                    <xdr:col>4</xdr:col>
                    <xdr:colOff>504825</xdr:colOff>
                    <xdr:row>10</xdr:row>
                    <xdr:rowOff>180975</xdr:rowOff>
                  </to>
                </anchor>
              </controlPr>
            </control>
          </mc:Choice>
        </mc:AlternateContent>
        <mc:AlternateContent xmlns:mc="http://schemas.openxmlformats.org/markup-compatibility/2006">
          <mc:Choice Requires="x14">
            <control shapeId="2074" r:id="rId11" name="Spinner 26">
              <controlPr defaultSize="0" autoPict="0" macro="[0]!ThisWorkbook.NewSheetLPGPropane">
                <anchor moveWithCells="1" sizeWithCells="1">
                  <from>
                    <xdr:col>4</xdr:col>
                    <xdr:colOff>333375</xdr:colOff>
                    <xdr:row>11</xdr:row>
                    <xdr:rowOff>9525</xdr:rowOff>
                  </from>
                  <to>
                    <xdr:col>4</xdr:col>
                    <xdr:colOff>504825</xdr:colOff>
                    <xdr:row>11</xdr:row>
                    <xdr:rowOff>180975</xdr:rowOff>
                  </to>
                </anchor>
              </controlPr>
            </control>
          </mc:Choice>
        </mc:AlternateContent>
        <mc:AlternateContent xmlns:mc="http://schemas.openxmlformats.org/markup-compatibility/2006">
          <mc:Choice Requires="x14">
            <control shapeId="2075" r:id="rId12" name="Spinner 27">
              <controlPr defaultSize="0" autoPict="0" macro="[0]!ThisWorkbook.NewSheetLPGButane">
                <anchor moveWithCells="1" sizeWithCells="1">
                  <from>
                    <xdr:col>4</xdr:col>
                    <xdr:colOff>333375</xdr:colOff>
                    <xdr:row>12</xdr:row>
                    <xdr:rowOff>9525</xdr:rowOff>
                  </from>
                  <to>
                    <xdr:col>4</xdr:col>
                    <xdr:colOff>504825</xdr:colOff>
                    <xdr:row>12</xdr:row>
                    <xdr:rowOff>180975</xdr:rowOff>
                  </to>
                </anchor>
              </controlPr>
            </control>
          </mc:Choice>
        </mc:AlternateContent>
        <mc:AlternateContent xmlns:mc="http://schemas.openxmlformats.org/markup-compatibility/2006">
          <mc:Choice Requires="x14">
            <control shapeId="2076" r:id="rId13" name="Spinner 28">
              <controlPr defaultSize="0" autoPict="0" macro="[0]!ThisWorkbook.NewSheetCO2">
                <anchor moveWithCells="1" sizeWithCells="1">
                  <from>
                    <xdr:col>4</xdr:col>
                    <xdr:colOff>333375</xdr:colOff>
                    <xdr:row>13</xdr:row>
                    <xdr:rowOff>9525</xdr:rowOff>
                  </from>
                  <to>
                    <xdr:col>4</xdr:col>
                    <xdr:colOff>504825</xdr:colOff>
                    <xdr:row>13</xdr:row>
                    <xdr:rowOff>180975</xdr:rowOff>
                  </to>
                </anchor>
              </controlPr>
            </control>
          </mc:Choice>
        </mc:AlternateContent>
        <mc:AlternateContent xmlns:mc="http://schemas.openxmlformats.org/markup-compatibility/2006">
          <mc:Choice Requires="x14">
            <control shapeId="2077" r:id="rId14" name="Spinner 29">
              <controlPr defaultSize="0" autoPict="0" macro="[0]!ThisWorkbook.NewSheetSulfur">
                <anchor moveWithCells="1" sizeWithCells="1">
                  <from>
                    <xdr:col>4</xdr:col>
                    <xdr:colOff>333375</xdr:colOff>
                    <xdr:row>14</xdr:row>
                    <xdr:rowOff>9525</xdr:rowOff>
                  </from>
                  <to>
                    <xdr:col>4</xdr:col>
                    <xdr:colOff>504825</xdr:colOff>
                    <xdr:row>14</xdr:row>
                    <xdr:rowOff>180975</xdr:rowOff>
                  </to>
                </anchor>
              </controlPr>
            </control>
          </mc:Choice>
        </mc:AlternateContent>
        <mc:AlternateContent xmlns:mc="http://schemas.openxmlformats.org/markup-compatibility/2006">
          <mc:Choice Requires="x14">
            <control shapeId="2079" r:id="rId15" name="Spinner 31">
              <controlPr defaultSize="0" autoPict="0" macro="[0]!ThisWorkbook.SetContractType">
                <anchor moveWithCells="1" sizeWithCells="1">
                  <from>
                    <xdr:col>4</xdr:col>
                    <xdr:colOff>333375</xdr:colOff>
                    <xdr:row>1</xdr:row>
                    <xdr:rowOff>9525</xdr:rowOff>
                  </from>
                  <to>
                    <xdr:col>4</xdr:col>
                    <xdr:colOff>504825</xdr:colOff>
                    <xdr:row>1</xdr:row>
                    <xdr:rowOff>180975</xdr:rowOff>
                  </to>
                </anchor>
              </controlPr>
            </control>
          </mc:Choice>
        </mc:AlternateContent>
        <mc:AlternateContent xmlns:mc="http://schemas.openxmlformats.org/markup-compatibility/2006">
          <mc:Choice Requires="x14">
            <control shapeId="2086" r:id="rId16" name="Spinner 38">
              <controlPr defaultSize="0" autoPict="0" macro="[0]!ThisWorkbook.GSANumberHandler">
                <anchor moveWithCells="1" sizeWithCells="1">
                  <from>
                    <xdr:col>8</xdr:col>
                    <xdr:colOff>190500</xdr:colOff>
                    <xdr:row>10</xdr:row>
                    <xdr:rowOff>9525</xdr:rowOff>
                  </from>
                  <to>
                    <xdr:col>8</xdr:col>
                    <xdr:colOff>352425</xdr:colOff>
                    <xdr:row>10</xdr:row>
                    <xdr:rowOff>180975</xdr:rowOff>
                  </to>
                </anchor>
              </controlPr>
            </control>
          </mc:Choice>
        </mc:AlternateContent>
        <mc:AlternateContent xmlns:mc="http://schemas.openxmlformats.org/markup-compatibility/2006">
          <mc:Choice Requires="x14">
            <control shapeId="2090" r:id="rId17" name="Check Box 42">
              <controlPr defaultSize="0" autoFill="0" autoLine="0" autoPict="0" macro="[0]!ThisWorkbook.ShowSheetElectricity">
                <anchor moveWithCells="1">
                  <from>
                    <xdr:col>2</xdr:col>
                    <xdr:colOff>38100</xdr:colOff>
                    <xdr:row>15</xdr:row>
                    <xdr:rowOff>28575</xdr:rowOff>
                  </from>
                  <to>
                    <xdr:col>2</xdr:col>
                    <xdr:colOff>523875</xdr:colOff>
                    <xdr:row>15</xdr:row>
                    <xdr:rowOff>180975</xdr:rowOff>
                  </to>
                </anchor>
              </controlPr>
            </control>
          </mc:Choice>
        </mc:AlternateContent>
        <mc:AlternateContent xmlns:mc="http://schemas.openxmlformats.org/markup-compatibility/2006">
          <mc:Choice Requires="x14">
            <control shapeId="2091" r:id="rId18" name="Spinner 43">
              <controlPr defaultSize="0" autoPict="0" macro="[0]!ThisWorkbook.NewSheetElectricity">
                <anchor moveWithCells="1" sizeWithCells="1">
                  <from>
                    <xdr:col>4</xdr:col>
                    <xdr:colOff>333375</xdr:colOff>
                    <xdr:row>15</xdr:row>
                    <xdr:rowOff>9525</xdr:rowOff>
                  </from>
                  <to>
                    <xdr:col>4</xdr:col>
                    <xdr:colOff>504825</xdr:colOff>
                    <xdr:row>15</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89255-7D1E-479A-A278-2E0B9D5FC213}">
  <sheetPr codeName="Sheet20">
    <tabColor rgb="FFB3FF03"/>
  </sheetPr>
  <dimension ref="B3:AF162"/>
  <sheetViews>
    <sheetView showGridLines="0" showRowColHeaders="0" workbookViewId="0">
      <selection activeCell="G100" sqref="G100"/>
    </sheetView>
  </sheetViews>
  <sheetFormatPr defaultRowHeight="15" x14ac:dyDescent="0.25"/>
  <cols>
    <col min="1" max="1" width="6" customWidth="1"/>
    <col min="5" max="5" width="8" bestFit="1" customWidth="1"/>
    <col min="6" max="6" width="10.5703125" bestFit="1" customWidth="1"/>
    <col min="9" max="9" width="11.42578125" bestFit="1" customWidth="1"/>
    <col min="10" max="10" width="11.85546875" customWidth="1"/>
    <col min="12" max="12" width="10.42578125" customWidth="1"/>
    <col min="13" max="13" width="9.140625" bestFit="1" customWidth="1"/>
    <col min="14" max="14" width="15.5703125" bestFit="1" customWidth="1"/>
    <col min="15" max="15" width="15.85546875" bestFit="1" customWidth="1"/>
    <col min="16" max="16" width="19.140625" bestFit="1" customWidth="1"/>
    <col min="17" max="17" width="12.5703125" bestFit="1" customWidth="1"/>
    <col min="18" max="18" width="35.42578125" bestFit="1" customWidth="1"/>
    <col min="19" max="19" width="17" bestFit="1" customWidth="1"/>
    <col min="20" max="20" width="18.42578125" bestFit="1" customWidth="1"/>
    <col min="21" max="21" width="26" bestFit="1" customWidth="1"/>
    <col min="22" max="22" width="19.5703125" bestFit="1" customWidth="1"/>
    <col min="23" max="23" width="10.5703125" bestFit="1" customWidth="1"/>
    <col min="24" max="24" width="15" bestFit="1" customWidth="1"/>
    <col min="25" max="25" width="16.140625" bestFit="1" customWidth="1"/>
    <col min="26" max="26" width="11.85546875" bestFit="1" customWidth="1"/>
    <col min="27" max="27" width="8.5703125" bestFit="1" customWidth="1"/>
    <col min="28" max="28" width="9.5703125" customWidth="1"/>
    <col min="29" max="29" width="14" bestFit="1" customWidth="1"/>
    <col min="30" max="30" width="14.42578125" bestFit="1" customWidth="1"/>
    <col min="31" max="31" width="11.140625" customWidth="1"/>
    <col min="32" max="32" width="14" bestFit="1" customWidth="1"/>
  </cols>
  <sheetData>
    <row r="3" spans="2:32" x14ac:dyDescent="0.25">
      <c r="B3" s="9" t="s">
        <v>314</v>
      </c>
    </row>
    <row r="4" spans="2:32" x14ac:dyDescent="0.25">
      <c r="B4" s="69" t="s">
        <v>0</v>
      </c>
      <c r="C4" s="69" t="s">
        <v>286</v>
      </c>
      <c r="D4" s="69" t="s">
        <v>287</v>
      </c>
      <c r="E4" s="69" t="s">
        <v>288</v>
      </c>
      <c r="F4" s="69" t="s">
        <v>289</v>
      </c>
      <c r="G4" s="69" t="s">
        <v>230</v>
      </c>
      <c r="H4" s="69" t="s">
        <v>231</v>
      </c>
      <c r="I4" s="69" t="s">
        <v>290</v>
      </c>
      <c r="J4" s="69" t="s">
        <v>291</v>
      </c>
      <c r="K4" s="69" t="s">
        <v>292</v>
      </c>
      <c r="L4" s="69" t="s">
        <v>293</v>
      </c>
      <c r="M4" s="69" t="s">
        <v>294</v>
      </c>
      <c r="N4" s="69" t="s">
        <v>295</v>
      </c>
      <c r="O4" s="69" t="s">
        <v>296</v>
      </c>
      <c r="P4" s="69" t="s">
        <v>297</v>
      </c>
      <c r="Q4" s="69" t="s">
        <v>298</v>
      </c>
      <c r="R4" s="69" t="s">
        <v>302</v>
      </c>
      <c r="S4" s="69" t="s">
        <v>300</v>
      </c>
      <c r="T4" s="69" t="s">
        <v>299</v>
      </c>
      <c r="U4" s="69" t="s">
        <v>301</v>
      </c>
      <c r="V4" s="69" t="s">
        <v>303</v>
      </c>
      <c r="W4" s="69" t="s">
        <v>304</v>
      </c>
      <c r="X4" s="69" t="s">
        <v>305</v>
      </c>
      <c r="Y4" s="69" t="s">
        <v>306</v>
      </c>
      <c r="Z4" s="69" t="s">
        <v>307</v>
      </c>
      <c r="AA4" s="69" t="s">
        <v>308</v>
      </c>
      <c r="AB4" s="69" t="s">
        <v>309</v>
      </c>
      <c r="AC4" s="69" t="s">
        <v>310</v>
      </c>
      <c r="AD4" s="69" t="s">
        <v>311</v>
      </c>
      <c r="AE4" s="69" t="s">
        <v>312</v>
      </c>
      <c r="AF4" s="69" t="s">
        <v>313</v>
      </c>
    </row>
    <row r="5" spans="2:32"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row>
    <row r="6" spans="2:32"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row>
    <row r="7" spans="2:32"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row>
    <row r="8" spans="2:32"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row>
    <row r="9" spans="2:32"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row>
    <row r="10" spans="2:32"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row>
    <row r="11" spans="2:32"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2:32"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2:32"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row>
    <row r="14" spans="2:32"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row>
    <row r="15" spans="2:32"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row>
    <row r="16" spans="2:32"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row>
    <row r="17" spans="2:32"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row>
    <row r="18" spans="2:32"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row>
    <row r="19" spans="2:32"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row>
    <row r="20" spans="2:32"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row>
    <row r="21" spans="2:32"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row>
    <row r="22" spans="2:32"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row>
    <row r="23" spans="2:32"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row>
    <row r="24" spans="2:32"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row>
    <row r="25" spans="2:32"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row>
    <row r="26" spans="2:32"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row>
    <row r="27" spans="2:32"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row>
    <row r="28" spans="2:32"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row>
    <row r="29" spans="2:32"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row>
    <row r="30" spans="2:32"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row>
    <row r="31" spans="2:32"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row>
    <row r="32" spans="2:32"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row>
    <row r="33" spans="2:32"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row>
    <row r="34" spans="2:32"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row>
    <row r="35" spans="2:32"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row>
    <row r="36" spans="2:32"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row>
    <row r="37" spans="2:32"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row>
    <row r="38" spans="2:32"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row>
    <row r="39" spans="2:32"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row>
    <row r="40" spans="2:32"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row>
    <row r="41" spans="2:32"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row>
    <row r="42" spans="2:32"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row>
    <row r="43" spans="2:32"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row>
    <row r="44" spans="2:32"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row>
    <row r="45" spans="2:32"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row>
    <row r="46" spans="2:32"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row>
    <row r="47" spans="2:32"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row>
    <row r="48" spans="2:32"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row>
    <row r="49" spans="2:32"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row>
    <row r="50" spans="2:32"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row>
    <row r="51" spans="2:32"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row>
    <row r="52" spans="2:32"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row>
    <row r="53" spans="2:32"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row>
    <row r="54" spans="2:32"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row>
    <row r="57" spans="2:32" x14ac:dyDescent="0.25">
      <c r="B57" s="9" t="s">
        <v>315</v>
      </c>
    </row>
    <row r="58" spans="2:32" x14ac:dyDescent="0.25">
      <c r="B58" s="70" t="s">
        <v>0</v>
      </c>
      <c r="C58" s="70" t="s">
        <v>286</v>
      </c>
      <c r="D58" s="70" t="s">
        <v>287</v>
      </c>
      <c r="E58" s="70" t="s">
        <v>288</v>
      </c>
      <c r="F58" s="70" t="s">
        <v>289</v>
      </c>
      <c r="G58" s="70" t="s">
        <v>230</v>
      </c>
      <c r="H58" s="70" t="s">
        <v>231</v>
      </c>
      <c r="I58" s="70" t="s">
        <v>290</v>
      </c>
      <c r="J58" s="70" t="s">
        <v>291</v>
      </c>
      <c r="K58" s="70" t="s">
        <v>292</v>
      </c>
      <c r="L58" s="70" t="s">
        <v>293</v>
      </c>
      <c r="M58" s="70" t="s">
        <v>294</v>
      </c>
      <c r="N58" s="70" t="s">
        <v>295</v>
      </c>
      <c r="O58" s="70" t="s">
        <v>296</v>
      </c>
      <c r="P58" s="70" t="s">
        <v>297</v>
      </c>
      <c r="Q58" s="70" t="s">
        <v>298</v>
      </c>
      <c r="R58" s="70" t="s">
        <v>302</v>
      </c>
      <c r="S58" s="70" t="s">
        <v>316</v>
      </c>
      <c r="T58" s="70" t="s">
        <v>299</v>
      </c>
      <c r="U58" s="70" t="s">
        <v>301</v>
      </c>
      <c r="V58" s="70" t="s">
        <v>303</v>
      </c>
      <c r="W58" s="70" t="s">
        <v>304</v>
      </c>
      <c r="X58" s="70" t="s">
        <v>305</v>
      </c>
      <c r="Y58" s="70" t="s">
        <v>306</v>
      </c>
      <c r="Z58" s="70" t="s">
        <v>307</v>
      </c>
      <c r="AA58" s="70" t="s">
        <v>308</v>
      </c>
      <c r="AB58" s="70" t="s">
        <v>309</v>
      </c>
      <c r="AC58" s="70" t="s">
        <v>310</v>
      </c>
      <c r="AD58" s="70" t="s">
        <v>311</v>
      </c>
      <c r="AE58" s="70" t="s">
        <v>312</v>
      </c>
      <c r="AF58" s="70" t="s">
        <v>313</v>
      </c>
    </row>
    <row r="59" spans="2:32"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row>
    <row r="60" spans="2:32"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row>
    <row r="61" spans="2:32"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row>
    <row r="62" spans="2:32"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row>
    <row r="63" spans="2:32"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row>
    <row r="64" spans="2:32"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row>
    <row r="65" spans="2:32"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row>
    <row r="66" spans="2:32"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row>
    <row r="67" spans="2:32"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c r="AE67" s="20"/>
      <c r="AF67" s="20"/>
    </row>
    <row r="68" spans="2:32"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c r="AE68" s="20"/>
      <c r="AF68" s="20"/>
    </row>
    <row r="69" spans="2:32"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c r="AC69" s="20"/>
      <c r="AD69" s="20"/>
      <c r="AE69" s="20"/>
      <c r="AF69" s="20"/>
    </row>
    <row r="70" spans="2:32"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c r="AC70" s="20"/>
      <c r="AD70" s="20"/>
      <c r="AE70" s="20"/>
      <c r="AF70" s="20"/>
    </row>
    <row r="71" spans="2:32"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row>
    <row r="72" spans="2:32"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row>
    <row r="73" spans="2:32"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row>
    <row r="74" spans="2:32"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row>
    <row r="75" spans="2:32"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row>
    <row r="76" spans="2:32"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row>
    <row r="77" spans="2:32"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row>
    <row r="78" spans="2:32"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row>
    <row r="79" spans="2:32"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row>
    <row r="80" spans="2:32"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row>
    <row r="81" spans="2:32"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row>
    <row r="82" spans="2:32"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row>
    <row r="83" spans="2:32"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row>
    <row r="84" spans="2:32"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c r="AC84" s="20"/>
      <c r="AD84" s="20"/>
      <c r="AE84" s="20"/>
      <c r="AF84" s="20"/>
    </row>
    <row r="85" spans="2:32"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c r="AC85" s="20"/>
      <c r="AD85" s="20"/>
      <c r="AE85" s="20"/>
      <c r="AF85" s="20"/>
    </row>
    <row r="86" spans="2:32"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c r="AC86" s="20"/>
      <c r="AD86" s="20"/>
      <c r="AE86" s="20"/>
      <c r="AF86" s="20"/>
    </row>
    <row r="87" spans="2:32"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0"/>
      <c r="AE87" s="20"/>
      <c r="AF87" s="20"/>
    </row>
    <row r="88" spans="2:32"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c r="AC88" s="20"/>
      <c r="AD88" s="20"/>
      <c r="AE88" s="20"/>
      <c r="AF88" s="20"/>
    </row>
    <row r="89" spans="2:32"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0"/>
      <c r="AE89" s="20"/>
      <c r="AF89" s="20"/>
    </row>
    <row r="90" spans="2:32"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0"/>
      <c r="AE90" s="20"/>
      <c r="AF90" s="20"/>
    </row>
    <row r="91" spans="2:32"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0"/>
      <c r="AE91" s="20"/>
      <c r="AF91" s="20"/>
    </row>
    <row r="92" spans="2:32"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c r="AC92" s="20"/>
      <c r="AD92" s="20"/>
      <c r="AE92" s="20"/>
      <c r="AF92" s="20"/>
    </row>
    <row r="93" spans="2:32"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c r="AC93" s="20"/>
      <c r="AD93" s="20"/>
      <c r="AE93" s="20"/>
      <c r="AF93" s="20"/>
    </row>
    <row r="94" spans="2:32"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c r="AC94" s="20"/>
      <c r="AD94" s="20"/>
      <c r="AE94" s="20"/>
      <c r="AF94" s="20"/>
    </row>
    <row r="95" spans="2:32"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c r="AC95" s="20"/>
      <c r="AD95" s="20"/>
      <c r="AE95" s="20"/>
      <c r="AF95" s="20"/>
    </row>
    <row r="96" spans="2:32"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c r="AC96" s="20"/>
      <c r="AD96" s="20"/>
      <c r="AE96" s="20"/>
      <c r="AF96" s="20"/>
    </row>
    <row r="97" spans="2:32"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c r="AC97" s="20"/>
      <c r="AD97" s="20"/>
      <c r="AE97" s="20"/>
      <c r="AF97" s="20"/>
    </row>
    <row r="98" spans="2:32"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c r="AC98" s="20"/>
      <c r="AD98" s="20"/>
      <c r="AE98" s="20"/>
      <c r="AF98" s="20"/>
    </row>
    <row r="99" spans="2:32"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c r="AC99" s="20"/>
      <c r="AD99" s="20"/>
      <c r="AE99" s="20"/>
      <c r="AF99" s="20"/>
    </row>
    <row r="100" spans="2:32"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c r="AC100" s="20"/>
      <c r="AD100" s="20"/>
      <c r="AE100" s="20"/>
      <c r="AF100" s="20"/>
    </row>
    <row r="101" spans="2:32"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c r="AC101" s="20"/>
      <c r="AD101" s="20"/>
      <c r="AE101" s="20"/>
      <c r="AF101" s="20"/>
    </row>
    <row r="102" spans="2:32"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c r="AC102" s="20"/>
      <c r="AD102" s="20"/>
      <c r="AE102" s="20"/>
      <c r="AF102" s="20"/>
    </row>
    <row r="103" spans="2:32"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c r="AC103" s="20"/>
      <c r="AD103" s="20"/>
      <c r="AE103" s="20"/>
      <c r="AF103" s="20"/>
    </row>
    <row r="104" spans="2:32"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c r="AC104" s="20"/>
      <c r="AD104" s="20"/>
      <c r="AE104" s="20"/>
      <c r="AF104" s="20"/>
    </row>
    <row r="105" spans="2:32"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row>
    <row r="106" spans="2:32"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row>
    <row r="107" spans="2:32"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row>
    <row r="108" spans="2:32"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row>
    <row r="111" spans="2:32" x14ac:dyDescent="0.25">
      <c r="B111" s="9" t="s">
        <v>317</v>
      </c>
    </row>
    <row r="112" spans="2:32" x14ac:dyDescent="0.25">
      <c r="B112" s="66" t="s">
        <v>0</v>
      </c>
      <c r="C112" s="66" t="s">
        <v>286</v>
      </c>
      <c r="D112" s="66" t="s">
        <v>287</v>
      </c>
      <c r="E112" s="66" t="s">
        <v>288</v>
      </c>
      <c r="F112" s="66" t="s">
        <v>289</v>
      </c>
      <c r="G112" s="66" t="s">
        <v>230</v>
      </c>
      <c r="H112" s="66" t="s">
        <v>231</v>
      </c>
      <c r="I112" s="66" t="s">
        <v>290</v>
      </c>
      <c r="J112" s="66" t="s">
        <v>291</v>
      </c>
      <c r="K112" s="66" t="s">
        <v>292</v>
      </c>
      <c r="L112" s="66" t="s">
        <v>293</v>
      </c>
      <c r="M112" s="66" t="s">
        <v>294</v>
      </c>
      <c r="N112" s="66" t="s">
        <v>295</v>
      </c>
      <c r="O112" s="66" t="s">
        <v>296</v>
      </c>
      <c r="P112" s="66" t="s">
        <v>297</v>
      </c>
      <c r="Q112" s="66" t="s">
        <v>298</v>
      </c>
      <c r="R112" s="66" t="s">
        <v>302</v>
      </c>
      <c r="S112" s="66" t="s">
        <v>316</v>
      </c>
      <c r="T112" s="66" t="s">
        <v>299</v>
      </c>
      <c r="U112" s="66" t="s">
        <v>301</v>
      </c>
      <c r="V112" s="66" t="s">
        <v>303</v>
      </c>
      <c r="W112" s="66" t="s">
        <v>304</v>
      </c>
      <c r="X112" s="66" t="s">
        <v>305</v>
      </c>
      <c r="Y112" s="66" t="s">
        <v>306</v>
      </c>
      <c r="Z112" s="66" t="s">
        <v>307</v>
      </c>
      <c r="AA112" s="66" t="s">
        <v>308</v>
      </c>
      <c r="AB112" s="66" t="s">
        <v>309</v>
      </c>
      <c r="AC112" s="66" t="s">
        <v>310</v>
      </c>
      <c r="AD112" s="66" t="s">
        <v>311</v>
      </c>
      <c r="AE112" s="66" t="s">
        <v>312</v>
      </c>
      <c r="AF112" s="66" t="s">
        <v>313</v>
      </c>
    </row>
    <row r="113" spans="2:32" x14ac:dyDescent="0.25">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c r="AC113" s="20"/>
      <c r="AD113" s="20"/>
      <c r="AE113" s="20"/>
      <c r="AF113" s="20"/>
    </row>
    <row r="114" spans="2:32" x14ac:dyDescent="0.25">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c r="AD114" s="20"/>
      <c r="AE114" s="20"/>
      <c r="AF114" s="20"/>
    </row>
    <row r="115" spans="2:32" x14ac:dyDescent="0.25">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c r="AC115" s="20"/>
      <c r="AD115" s="20"/>
      <c r="AE115" s="20"/>
      <c r="AF115" s="20"/>
    </row>
    <row r="116" spans="2:32" x14ac:dyDescent="0.25">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c r="AD116" s="20"/>
      <c r="AE116" s="20"/>
      <c r="AF116" s="20"/>
    </row>
    <row r="117" spans="2:32" x14ac:dyDescent="0.25">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c r="AD117" s="20"/>
      <c r="AE117" s="20"/>
      <c r="AF117" s="20"/>
    </row>
    <row r="118" spans="2:32" x14ac:dyDescent="0.25">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c r="AD118" s="20"/>
      <c r="AE118" s="20"/>
      <c r="AF118" s="20"/>
    </row>
    <row r="119" spans="2:32" x14ac:dyDescent="0.25">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row>
    <row r="120" spans="2:32" x14ac:dyDescent="0.25">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c r="AD120" s="20"/>
      <c r="AE120" s="20"/>
      <c r="AF120" s="20"/>
    </row>
    <row r="121" spans="2:32" x14ac:dyDescent="0.25">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c r="AD121" s="20"/>
      <c r="AE121" s="20"/>
      <c r="AF121" s="20"/>
    </row>
    <row r="122" spans="2:32" x14ac:dyDescent="0.25">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c r="AD122" s="20"/>
      <c r="AE122" s="20"/>
      <c r="AF122" s="20"/>
    </row>
    <row r="123" spans="2:32" x14ac:dyDescent="0.25">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c r="AE123" s="20"/>
      <c r="AF123" s="20"/>
    </row>
    <row r="124" spans="2:32" x14ac:dyDescent="0.25">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c r="AE124" s="20"/>
      <c r="AF124" s="20"/>
    </row>
    <row r="125" spans="2:32" x14ac:dyDescent="0.25">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c r="AE125" s="20"/>
      <c r="AF125" s="20"/>
    </row>
    <row r="126" spans="2:32" x14ac:dyDescent="0.25">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c r="AE126" s="20"/>
      <c r="AF126" s="20"/>
    </row>
    <row r="127" spans="2:32" x14ac:dyDescent="0.25">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c r="AE127" s="20"/>
      <c r="AF127" s="20"/>
    </row>
    <row r="128" spans="2:32" x14ac:dyDescent="0.25">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c r="AE128" s="20"/>
      <c r="AF128" s="20"/>
    </row>
    <row r="129" spans="2:32" x14ac:dyDescent="0.25">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c r="AE129" s="20"/>
      <c r="AF129" s="20"/>
    </row>
    <row r="130" spans="2:32" x14ac:dyDescent="0.25">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c r="AE130" s="20"/>
      <c r="AF130" s="20"/>
    </row>
    <row r="131" spans="2:32" x14ac:dyDescent="0.25">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row>
    <row r="132" spans="2:32" x14ac:dyDescent="0.25">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c r="AD132" s="20"/>
      <c r="AE132" s="20"/>
      <c r="AF132" s="20"/>
    </row>
    <row r="133" spans="2:32" x14ac:dyDescent="0.25">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row>
    <row r="134" spans="2:32" x14ac:dyDescent="0.25">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c r="AD134" s="20"/>
      <c r="AE134" s="20"/>
      <c r="AF134" s="20"/>
    </row>
    <row r="135" spans="2:32" x14ac:dyDescent="0.25">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row>
    <row r="136" spans="2:32" x14ac:dyDescent="0.25">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c r="AD136" s="20"/>
      <c r="AE136" s="20"/>
      <c r="AF136" s="20"/>
    </row>
    <row r="137" spans="2:32" x14ac:dyDescent="0.25">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c r="AD137" s="20"/>
      <c r="AE137" s="20"/>
      <c r="AF137" s="20"/>
    </row>
    <row r="138" spans="2:32" x14ac:dyDescent="0.25">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c r="AD138" s="20"/>
      <c r="AE138" s="20"/>
      <c r="AF138" s="20"/>
    </row>
    <row r="139" spans="2:32" x14ac:dyDescent="0.25">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c r="AE139" s="20"/>
      <c r="AF139" s="20"/>
    </row>
    <row r="140" spans="2:32" x14ac:dyDescent="0.25">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row>
    <row r="141" spans="2:32" x14ac:dyDescent="0.25">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c r="AE141" s="20"/>
      <c r="AF141" s="20"/>
    </row>
    <row r="142" spans="2:32" x14ac:dyDescent="0.25">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c r="AE142" s="20"/>
      <c r="AF142" s="20"/>
    </row>
    <row r="143" spans="2:32" x14ac:dyDescent="0.25">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row>
    <row r="144" spans="2:32" x14ac:dyDescent="0.25">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c r="AD144" s="20"/>
      <c r="AE144" s="20"/>
      <c r="AF144" s="20"/>
    </row>
    <row r="145" spans="2:32" x14ac:dyDescent="0.25">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c r="AE145" s="20"/>
      <c r="AF145" s="20"/>
    </row>
    <row r="146" spans="2:32" x14ac:dyDescent="0.25">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c r="AE146" s="20"/>
      <c r="AF146" s="20"/>
    </row>
    <row r="147" spans="2:32" x14ac:dyDescent="0.25">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c r="AD147" s="20"/>
      <c r="AE147" s="20"/>
      <c r="AF147" s="20"/>
    </row>
    <row r="148" spans="2:32" x14ac:dyDescent="0.25">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c r="AD148" s="20"/>
      <c r="AE148" s="20"/>
      <c r="AF148" s="20"/>
    </row>
    <row r="149" spans="2:32" x14ac:dyDescent="0.25">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row>
    <row r="150" spans="2:32" x14ac:dyDescent="0.25">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c r="AD150" s="20"/>
      <c r="AE150" s="20"/>
      <c r="AF150" s="20"/>
    </row>
    <row r="151" spans="2:32" x14ac:dyDescent="0.25">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c r="AD151" s="20"/>
      <c r="AE151" s="20"/>
      <c r="AF151" s="20"/>
    </row>
    <row r="152" spans="2:32" x14ac:dyDescent="0.25">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c r="AD152" s="20"/>
      <c r="AE152" s="20"/>
      <c r="AF152" s="20"/>
    </row>
    <row r="153" spans="2:32" x14ac:dyDescent="0.25">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c r="AD153" s="20"/>
      <c r="AE153" s="20"/>
      <c r="AF153" s="20"/>
    </row>
    <row r="154" spans="2:32" x14ac:dyDescent="0.25">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c r="AD154" s="20"/>
      <c r="AE154" s="20"/>
      <c r="AF154" s="20"/>
    </row>
    <row r="155" spans="2:32" x14ac:dyDescent="0.25">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c r="AD155" s="20"/>
      <c r="AE155" s="20"/>
      <c r="AF155" s="20"/>
    </row>
    <row r="156" spans="2:32" x14ac:dyDescent="0.25">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c r="AD156" s="20"/>
      <c r="AE156" s="20"/>
      <c r="AF156" s="20"/>
    </row>
    <row r="157" spans="2:32" x14ac:dyDescent="0.25">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c r="AD157" s="20"/>
      <c r="AE157" s="20"/>
      <c r="AF157" s="20"/>
    </row>
    <row r="158" spans="2:32" x14ac:dyDescent="0.25">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c r="AD158" s="20"/>
      <c r="AE158" s="20"/>
      <c r="AF158" s="20"/>
    </row>
    <row r="159" spans="2:32" x14ac:dyDescent="0.25">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c r="AD159" s="20"/>
      <c r="AE159" s="20"/>
      <c r="AF159" s="20"/>
    </row>
    <row r="160" spans="2:32" x14ac:dyDescent="0.25">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c r="AD160" s="20"/>
      <c r="AE160" s="20"/>
      <c r="AF160" s="20"/>
    </row>
    <row r="161" spans="2:32" x14ac:dyDescent="0.25">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c r="AD161" s="20"/>
      <c r="AE161" s="20"/>
      <c r="AF161" s="20"/>
    </row>
    <row r="162" spans="2:32" x14ac:dyDescent="0.25">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c r="AD162" s="20"/>
      <c r="AE162" s="20"/>
      <c r="AF162" s="2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8480A-68FF-4B1A-9CB2-2205CE991CBB}">
  <sheetPr codeName="Sheet27">
    <tabColor rgb="FFA3B8BA"/>
  </sheetPr>
  <dimension ref="A1:E50"/>
  <sheetViews>
    <sheetView topLeftCell="A27" workbookViewId="0">
      <pane xSplit="1" topLeftCell="B1" activePane="topRight" state="frozen"/>
      <selection activeCell="D21" sqref="D21"/>
      <selection pane="topRight" activeCell="A2" sqref="A2"/>
    </sheetView>
  </sheetViews>
  <sheetFormatPr defaultColWidth="0" defaultRowHeight="15" customHeight="1" zeroHeight="1" x14ac:dyDescent="0.25"/>
  <cols>
    <col min="1" max="1" width="6.5703125" customWidth="1"/>
    <col min="2" max="2" width="19.5703125" customWidth="1"/>
    <col min="3" max="3" width="19" customWidth="1"/>
    <col min="4" max="4" width="27.42578125" customWidth="1"/>
    <col min="5" max="5" width="26.5703125" customWidth="1"/>
    <col min="6" max="16384" width="8.85546875" hidden="1"/>
  </cols>
  <sheetData>
    <row r="1" spans="1:5" x14ac:dyDescent="0.25">
      <c r="A1" s="67" t="s">
        <v>0</v>
      </c>
      <c r="B1" s="67" t="s">
        <v>1</v>
      </c>
      <c r="C1" s="67" t="s">
        <v>2</v>
      </c>
      <c r="D1" s="67" t="s">
        <v>3</v>
      </c>
      <c r="E1" s="67" t="s">
        <v>4</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4">
    <dataValidation type="decimal" operator="greaterThanOrEqual" allowBlank="1" showInputMessage="1" showErrorMessage="1" errorTitle="Data Type Error" error="Should be greater than equal to 0" sqref="C2:C50" xr:uid="{0138D157-7138-4583-9B8F-F09AB7FDD66E}">
      <formula1>0</formula1>
    </dataValidation>
    <dataValidation type="decimal" operator="greaterThanOrEqual" allowBlank="1" showInputMessage="1" showErrorMessage="1" errorTitle="Data Type Error" error="Should be greater than or equal to 0" sqref="B2:B50 D2:E50" xr:uid="{163A3C8A-C6A5-46CC-BD76-3A4E45E1E675}">
      <formula1>0</formula1>
    </dataValidation>
    <dataValidation type="whole" operator="greaterThan" allowBlank="1" showInputMessage="1" showErrorMessage="1" errorTitle="Data Type Error" error="Should be Number not Text." sqref="A2:A1048576" xr:uid="{83AB7EB2-2056-45DA-84D3-3B7891C2C9A1}">
      <formula1>0</formula1>
    </dataValidation>
    <dataValidation type="decimal" operator="greaterThan" allowBlank="1" showInputMessage="1" showErrorMessage="1" errorTitle="Data Type Error" error="Should be Number not Text." sqref="B51:E1048576" xr:uid="{273BDB47-F91E-4B3C-8F15-9D91C4CE5D1D}">
      <formula1>0</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76256-5449-4AF2-83BC-67CA459E3129}">
  <sheetPr codeName="Sheet17">
    <tabColor rgb="FFA3B8BA"/>
  </sheetPr>
  <dimension ref="A1:D26"/>
  <sheetViews>
    <sheetView showGridLines="0" showRowColHeaders="0" zoomScale="115" zoomScaleNormal="115" workbookViewId="0">
      <selection activeCell="C19" sqref="C19"/>
    </sheetView>
  </sheetViews>
  <sheetFormatPr defaultColWidth="0" defaultRowHeight="15" zeroHeight="1" x14ac:dyDescent="0.25"/>
  <cols>
    <col min="1" max="1" width="5.5703125" customWidth="1"/>
    <col min="2" max="2" width="26.140625" bestFit="1" customWidth="1"/>
    <col min="3" max="3" width="24.5703125" customWidth="1"/>
    <col min="4" max="4" width="8.85546875" customWidth="1"/>
    <col min="5" max="16384" width="8.85546875" hidden="1"/>
  </cols>
  <sheetData>
    <row r="1" spans="1:3" x14ac:dyDescent="0.25">
      <c r="A1" s="9" t="s">
        <v>263</v>
      </c>
    </row>
    <row r="2" spans="1:3" x14ac:dyDescent="0.25">
      <c r="B2" t="s">
        <v>266</v>
      </c>
      <c r="C2" s="22" t="s">
        <v>285</v>
      </c>
    </row>
    <row r="3" spans="1:3" x14ac:dyDescent="0.25">
      <c r="B3" t="s">
        <v>264</v>
      </c>
      <c r="C3" s="22">
        <v>0.44</v>
      </c>
    </row>
    <row r="5" spans="1:3" hidden="1" x14ac:dyDescent="0.25">
      <c r="B5" s="64" t="s">
        <v>0</v>
      </c>
      <c r="C5" s="64" t="s">
        <v>264</v>
      </c>
    </row>
    <row r="6" spans="1:3" hidden="1" x14ac:dyDescent="0.25">
      <c r="B6" s="22">
        <f>YEAR('General Config'!C6)</f>
        <v>2023</v>
      </c>
      <c r="C6" s="65">
        <v>0.4</v>
      </c>
    </row>
    <row r="7" spans="1:3" hidden="1" x14ac:dyDescent="0.25">
      <c r="B7" s="22">
        <v>2024</v>
      </c>
      <c r="C7" s="65">
        <v>0.4</v>
      </c>
    </row>
    <row r="8" spans="1:3" hidden="1" x14ac:dyDescent="0.25">
      <c r="B8" s="22">
        <v>2025</v>
      </c>
      <c r="C8" s="65">
        <v>0.42</v>
      </c>
    </row>
    <row r="9" spans="1:3" hidden="1" x14ac:dyDescent="0.25">
      <c r="B9" s="22">
        <v>2027</v>
      </c>
      <c r="C9" s="65">
        <v>0.42</v>
      </c>
    </row>
    <row r="10" spans="1:3" hidden="1" x14ac:dyDescent="0.25">
      <c r="B10" s="22">
        <v>2030</v>
      </c>
      <c r="C10" s="22">
        <v>0.43</v>
      </c>
    </row>
    <row r="11" spans="1:3" hidden="1" x14ac:dyDescent="0.25">
      <c r="B11" s="22">
        <v>2032</v>
      </c>
      <c r="C11" s="22">
        <v>0.45</v>
      </c>
    </row>
    <row r="13" spans="1:3" x14ac:dyDescent="0.25">
      <c r="B13" t="s">
        <v>265</v>
      </c>
      <c r="C13" s="22" t="s">
        <v>267</v>
      </c>
    </row>
    <row r="14" spans="1:3" x14ac:dyDescent="0.25"/>
    <row r="15" spans="1:3" x14ac:dyDescent="0.25">
      <c r="A15" s="9" t="s">
        <v>282</v>
      </c>
    </row>
    <row r="16" spans="1:3" x14ac:dyDescent="0.25">
      <c r="B16" t="s">
        <v>283</v>
      </c>
      <c r="C16" s="22" t="s">
        <v>284</v>
      </c>
    </row>
    <row r="17" spans="1:3" x14ac:dyDescent="0.25"/>
    <row r="18" spans="1:3" x14ac:dyDescent="0.25">
      <c r="A18" s="9" t="s">
        <v>268</v>
      </c>
    </row>
    <row r="19" spans="1:3" x14ac:dyDescent="0.25">
      <c r="B19" t="s">
        <v>269</v>
      </c>
      <c r="C19" s="22" t="s">
        <v>376</v>
      </c>
    </row>
    <row r="20" spans="1:3" x14ac:dyDescent="0.25"/>
    <row r="21" spans="1:3" x14ac:dyDescent="0.25">
      <c r="A21" s="9" t="s">
        <v>278</v>
      </c>
    </row>
    <row r="22" spans="1:3" x14ac:dyDescent="0.25">
      <c r="B22" t="s">
        <v>279</v>
      </c>
      <c r="C22" s="22">
        <v>0.02</v>
      </c>
    </row>
    <row r="23" spans="1:3" x14ac:dyDescent="0.25"/>
    <row r="24" spans="1:3" x14ac:dyDescent="0.25">
      <c r="A24" s="9" t="s">
        <v>280</v>
      </c>
    </row>
    <row r="25" spans="1:3" x14ac:dyDescent="0.25">
      <c r="B25" t="s">
        <v>281</v>
      </c>
      <c r="C25" s="22" t="s">
        <v>375</v>
      </c>
    </row>
    <row r="26" spans="1:3" x14ac:dyDescent="0.25"/>
  </sheetData>
  <dataValidations count="9">
    <dataValidation type="list" allowBlank="1" showInputMessage="1" showErrorMessage="1" sqref="C13" xr:uid="{0F4D8B95-6C84-4E1F-A19D-F4811513895E}">
      <formula1>"Due Mode,Direct Mode"</formula1>
    </dataValidation>
    <dataValidation type="decimal" allowBlank="1" showInputMessage="1" showErrorMessage="1" sqref="C3" xr:uid="{0E655B14-7881-4C11-9C2E-59973451C36A}">
      <formula1>0</formula1>
      <formula2>1</formula2>
    </dataValidation>
    <dataValidation type="list" allowBlank="1" showInputMessage="1" showErrorMessage="1" sqref="C19" xr:uid="{796E4B67-CF19-4DFB-9E9E-A5FFDBCDAD97}">
      <formula1>"SKK Full Cycle Real Terms,SKK Full Cycle Nominal Terms,Full Cycle Real Terms,Full Cycle Nominal Terms,Point Forward"</formula1>
    </dataValidation>
    <dataValidation type="decimal" allowBlank="1" showInputMessage="1" showErrorMessage="1" errorTitle="Data type" error="Should be in float" sqref="C22" xr:uid="{96A2F105-AA38-48E8-B01A-371391349B1D}">
      <formula1>0</formula1>
      <formula2>1</formula2>
    </dataValidation>
    <dataValidation type="list" allowBlank="1" showInputMessage="1" showErrorMessage="1" errorTitle="Data type" error="Should be in float" sqref="C25" xr:uid="{D2E979B4-AAE3-46DD-AC35-37A5EC49D599}">
      <formula1>"Declining Balance,PSC Declining Balance,Unit Of Production,Straight Line"</formula1>
    </dataValidation>
    <dataValidation type="list" allowBlank="1" showInputMessage="1" showErrorMessage="1" sqref="C16" xr:uid="{748D00EC-189A-4E9F-9F34-F3E24C10CB86}">
      <formula1>"PDJP No.20 Tahun 2017,Pre PDJP No.20 Tahun 2017"</formula1>
    </dataValidation>
    <dataValidation errorStyle="warning" allowBlank="1" showInputMessage="1" showErrorMessage="1" sqref="C2" xr:uid="{1DE8691F-764D-4B8B-BA0A-CE7EE0C4C6C6}"/>
    <dataValidation type="whole" allowBlank="1" showInputMessage="1" showErrorMessage="1" errorTitle="Data Type" error="Should be year" sqref="B6:B11" xr:uid="{73E8C4BB-3E1F-4188-B79D-7E460395708B}">
      <formula1>1945</formula1>
      <formula2>3000</formula2>
    </dataValidation>
    <dataValidation type="decimal" allowBlank="1" showInputMessage="1" showErrorMessage="1" errorTitle="Data Type" error="Should be between 0 and 1" sqref="C6:C11" xr:uid="{CF646499-E3B4-4A30-B4A3-F4BC798BD89F}">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3107" r:id="rId3" name="Spinner 3">
              <controlPr defaultSize="0" autoPict="0" macro="[0]!ThisWorkbook.SetTaxConfig">
                <anchor moveWithCells="1" sizeWithCells="1">
                  <from>
                    <xdr:col>2</xdr:col>
                    <xdr:colOff>1514475</xdr:colOff>
                    <xdr:row>1</xdr:row>
                    <xdr:rowOff>9525</xdr:rowOff>
                  </from>
                  <to>
                    <xdr:col>2</xdr:col>
                    <xdr:colOff>1685925</xdr:colOff>
                    <xdr:row>1</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B933F-B136-4100-87AC-660E3436A411}">
  <sheetPr codeName="Sheet5">
    <tabColor rgb="FFA3B8BA"/>
  </sheetPr>
  <dimension ref="A1:E50"/>
  <sheetViews>
    <sheetView topLeftCell="A27" workbookViewId="0">
      <pane xSplit="1" topLeftCell="B1" activePane="topRight" state="frozen"/>
      <selection activeCell="D21" sqref="D21"/>
      <selection pane="topRight" activeCell="A2" sqref="A2"/>
    </sheetView>
  </sheetViews>
  <sheetFormatPr defaultColWidth="0" defaultRowHeight="15" zeroHeight="1" x14ac:dyDescent="0.25"/>
  <cols>
    <col min="1" max="1" width="6.5703125" customWidth="1"/>
    <col min="2" max="2" width="19.5703125" customWidth="1"/>
    <col min="3" max="3" width="19" customWidth="1"/>
    <col min="4" max="4" width="27.42578125" customWidth="1"/>
    <col min="5" max="5" width="26.5703125" customWidth="1"/>
    <col min="6" max="16384" width="8.85546875" hidden="1"/>
  </cols>
  <sheetData>
    <row r="1" spans="1:5" x14ac:dyDescent="0.25">
      <c r="A1" s="67" t="s">
        <v>0</v>
      </c>
      <c r="B1" s="67" t="s">
        <v>1</v>
      </c>
      <c r="C1" s="67" t="s">
        <v>2</v>
      </c>
      <c r="D1" s="67" t="s">
        <v>3</v>
      </c>
      <c r="E1" s="67" t="s">
        <v>4</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4">
    <dataValidation type="decimal" operator="greaterThan" allowBlank="1" showInputMessage="1" showErrorMessage="1" errorTitle="Data Type Error" error="Should be Number not Text." sqref="B51:B1048576 C51:C1048576 D51:D1048576 E51:E1048576" xr:uid="{931BCF00-63D4-4A77-B661-1BFB6918B3BB}">
      <formula1>0</formula1>
    </dataValidation>
    <dataValidation type="whole" operator="greaterThan" allowBlank="1" showInputMessage="1" showErrorMessage="1" errorTitle="Data Type Error" error="Should be Number not Text." sqref="A2:A1048576" xr:uid="{FA695A44-A3C3-4FB2-A277-ED9539A8AAF6}">
      <formula1>0</formula1>
    </dataValidation>
    <dataValidation type="decimal" operator="greaterThanOrEqual" allowBlank="1" showInputMessage="1" showErrorMessage="1" errorTitle="Data Type Error" error="Should be greater than or equal to 0" sqref="B2:B50 D2:D50 E2:E50" xr:uid="{50625E7A-C52F-4209-A8F6-4DA6688B283C}">
      <formula1>0</formula1>
    </dataValidation>
    <dataValidation type="decimal" operator="greaterThanOrEqual" allowBlank="1" showInputMessage="1" showErrorMessage="1" errorTitle="Data Type Error" error="Should be greater than equal to 0" sqref="C2:C50" xr:uid="{5A81D88F-D8EC-4F0B-BB75-66EA50E40EF5}">
      <formula1>0</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E4BF-8316-4226-8495-40A0F202573F}">
  <sheetPr codeName="Sheet6">
    <tabColor rgb="FFA3B8BA"/>
  </sheetPr>
  <dimension ref="A1:BW50"/>
  <sheetViews>
    <sheetView topLeftCell="A27" zoomScale="98" zoomScaleNormal="98" workbookViewId="0">
      <pane xSplit="1" topLeftCell="B1" activePane="topRight" state="frozen"/>
      <selection pane="topRight" activeCell="E1" sqref="E1"/>
    </sheetView>
  </sheetViews>
  <sheetFormatPr defaultColWidth="0" defaultRowHeight="15" x14ac:dyDescent="0.25"/>
  <cols>
    <col min="1" max="1" width="7" bestFit="1" customWidth="1"/>
    <col min="2" max="2" width="22.5703125" bestFit="1" customWidth="1"/>
    <col min="3" max="3" width="21.5703125" customWidth="1"/>
    <col min="4" max="4" width="22" customWidth="1"/>
    <col min="5" max="5" width="26.5703125" customWidth="1"/>
    <col min="6" max="6" width="21.5703125" customWidth="1"/>
    <col min="7" max="7" width="22" customWidth="1"/>
    <col min="8" max="8" width="26.5703125" customWidth="1"/>
    <col min="9" max="9" width="21.5703125" customWidth="1"/>
    <col min="10" max="10" width="22" customWidth="1"/>
    <col min="11" max="11" width="26.5703125" customWidth="1"/>
    <col min="12" max="12" width="21.5703125" customWidth="1"/>
    <col min="13" max="13" width="22" customWidth="1"/>
    <col min="14" max="14" width="26.5703125" customWidth="1"/>
    <col min="15" max="15" width="21.5703125" hidden="1"/>
    <col min="16" max="16" width="22" hidden="1"/>
    <col min="17" max="17" width="26.5703125" hidden="1"/>
    <col min="18" max="18" width="22.5703125" hidden="1"/>
    <col min="19" max="19" width="22" hidden="1"/>
    <col min="20" max="20" width="26.5703125" hidden="1"/>
    <col min="21" max="21" width="21.5703125" hidden="1"/>
    <col min="22" max="22" width="22" hidden="1"/>
    <col min="23" max="23" width="26.5703125" hidden="1"/>
    <col min="24" max="24" width="21.5703125" hidden="1"/>
    <col min="25" max="25" width="22" hidden="1"/>
    <col min="26" max="26" width="26.5703125" hidden="1"/>
    <col min="27" max="27" width="21.5703125" hidden="1"/>
    <col min="28" max="28" width="22" hidden="1"/>
    <col min="29" max="29" width="26.5703125" hidden="1"/>
    <col min="30" max="30" width="22.5703125" hidden="1"/>
    <col min="31" max="31" width="23" hidden="1"/>
    <col min="32" max="32" width="27.5703125" hidden="1"/>
    <col min="33" max="33" width="22.5703125" hidden="1"/>
    <col min="34" max="34" width="23" hidden="1"/>
    <col min="35" max="35" width="27.5703125" hidden="1"/>
    <col min="36" max="36" width="22.5703125" hidden="1"/>
    <col min="37" max="37" width="23" hidden="1"/>
    <col min="38" max="38" width="27.5703125" hidden="1"/>
    <col min="39" max="39" width="23.5703125" hidden="1"/>
    <col min="40" max="40" width="23" hidden="1"/>
    <col min="41" max="41" width="27.5703125" hidden="1"/>
    <col min="42" max="42" width="22.5703125" hidden="1"/>
    <col min="43" max="43" width="23" hidden="1"/>
    <col min="44" max="44" width="27.5703125" hidden="1"/>
    <col min="45" max="45" width="22.5703125" hidden="1"/>
    <col min="46" max="46" width="23" hidden="1"/>
    <col min="47" max="47" width="27.5703125" hidden="1"/>
    <col min="48" max="48" width="22.5703125" hidden="1"/>
    <col min="49" max="49" width="23" hidden="1"/>
    <col min="50" max="50" width="27.5703125" hidden="1"/>
    <col min="51" max="51" width="22.5703125" hidden="1"/>
    <col min="52" max="52" width="23" hidden="1"/>
    <col min="53" max="53" width="27.5703125" hidden="1"/>
    <col min="54" max="54" width="22.5703125" hidden="1"/>
    <col min="55" max="55" width="23" hidden="1"/>
    <col min="56" max="56" width="27.5703125" hidden="1"/>
    <col min="57" max="57" width="22.5703125" hidden="1"/>
    <col min="58" max="58" width="23" hidden="1"/>
    <col min="59" max="59" width="27.5703125" hidden="1"/>
    <col min="60" max="60" width="23.5703125" hidden="1"/>
    <col min="61" max="61" width="23" hidden="1"/>
    <col min="62" max="62" width="27.5703125" hidden="1"/>
    <col min="63" max="75" width="8.85546875" hidden="1"/>
  </cols>
  <sheetData>
    <row r="1" spans="1:62" x14ac:dyDescent="0.25">
      <c r="A1" s="68" t="s">
        <v>0</v>
      </c>
      <c r="B1" s="68" t="s">
        <v>5</v>
      </c>
      <c r="C1" s="68" t="s">
        <v>7</v>
      </c>
      <c r="D1" s="68" t="s">
        <v>6</v>
      </c>
      <c r="E1" s="68" t="s">
        <v>123</v>
      </c>
      <c r="F1" s="68" t="s">
        <v>124</v>
      </c>
      <c r="G1" s="68" t="s">
        <v>125</v>
      </c>
      <c r="H1" s="68" t="s">
        <v>126</v>
      </c>
      <c r="I1" s="1" t="s">
        <v>127</v>
      </c>
      <c r="J1" s="1" t="s">
        <v>128</v>
      </c>
      <c r="K1" s="1" t="s">
        <v>129</v>
      </c>
      <c r="L1" s="1" t="s">
        <v>130</v>
      </c>
      <c r="M1" s="1" t="s">
        <v>131</v>
      </c>
      <c r="N1" s="1" t="s">
        <v>132</v>
      </c>
      <c r="O1" s="1" t="s">
        <v>133</v>
      </c>
      <c r="P1" s="1" t="s">
        <v>134</v>
      </c>
      <c r="Q1" s="1" t="s">
        <v>135</v>
      </c>
      <c r="R1" s="1" t="s">
        <v>136</v>
      </c>
      <c r="S1" s="1" t="s">
        <v>137</v>
      </c>
      <c r="T1" s="1" t="s">
        <v>138</v>
      </c>
      <c r="U1" s="1" t="s">
        <v>139</v>
      </c>
      <c r="V1" s="1" t="s">
        <v>140</v>
      </c>
      <c r="W1" s="1" t="s">
        <v>141</v>
      </c>
      <c r="X1" s="27" t="s">
        <v>142</v>
      </c>
      <c r="Y1" s="27" t="s">
        <v>143</v>
      </c>
      <c r="Z1" s="27" t="s">
        <v>144</v>
      </c>
      <c r="AA1" s="27" t="s">
        <v>145</v>
      </c>
      <c r="AB1" s="27" t="s">
        <v>146</v>
      </c>
      <c r="AC1" s="27" t="s">
        <v>147</v>
      </c>
      <c r="AD1" s="27" t="s">
        <v>148</v>
      </c>
      <c r="AE1" s="27" t="s">
        <v>149</v>
      </c>
      <c r="AF1" s="27" t="s">
        <v>150</v>
      </c>
      <c r="AG1" s="27" t="s">
        <v>151</v>
      </c>
      <c r="AH1" s="27" t="s">
        <v>152</v>
      </c>
      <c r="AI1" s="27" t="s">
        <v>153</v>
      </c>
      <c r="AJ1" s="27" t="s">
        <v>154</v>
      </c>
      <c r="AK1" s="27" t="s">
        <v>155</v>
      </c>
      <c r="AL1" s="27" t="s">
        <v>156</v>
      </c>
      <c r="AM1" s="27" t="s">
        <v>157</v>
      </c>
      <c r="AN1" s="27" t="s">
        <v>158</v>
      </c>
      <c r="AO1" s="27" t="s">
        <v>159</v>
      </c>
      <c r="AP1" s="27" t="s">
        <v>160</v>
      </c>
      <c r="AQ1" s="27" t="s">
        <v>161</v>
      </c>
      <c r="AR1" s="28" t="s">
        <v>162</v>
      </c>
      <c r="AS1" s="27" t="s">
        <v>163</v>
      </c>
      <c r="AT1" s="27" t="s">
        <v>164</v>
      </c>
      <c r="AU1" s="27" t="s">
        <v>165</v>
      </c>
      <c r="AV1" s="27" t="s">
        <v>166</v>
      </c>
      <c r="AW1" s="27" t="s">
        <v>167</v>
      </c>
      <c r="AX1" s="27" t="s">
        <v>168</v>
      </c>
      <c r="AY1" s="27" t="s">
        <v>169</v>
      </c>
      <c r="AZ1" s="27" t="s">
        <v>170</v>
      </c>
      <c r="BA1" s="27" t="s">
        <v>178</v>
      </c>
      <c r="BB1" s="27" t="s">
        <v>179</v>
      </c>
      <c r="BC1" s="27" t="s">
        <v>180</v>
      </c>
      <c r="BD1" s="27" t="s">
        <v>171</v>
      </c>
      <c r="BE1" s="27" t="s">
        <v>172</v>
      </c>
      <c r="BF1" s="27" t="s">
        <v>173</v>
      </c>
      <c r="BG1" s="27" t="s">
        <v>174</v>
      </c>
      <c r="BH1" s="27" t="s">
        <v>175</v>
      </c>
      <c r="BI1" s="27" t="s">
        <v>176</v>
      </c>
      <c r="BJ1" s="27" t="s">
        <v>177</v>
      </c>
    </row>
    <row r="2" spans="1:62"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3">
    <dataValidation type="whole" operator="greaterThan" allowBlank="1" showInputMessage="1" showErrorMessage="1" errorTitle="Data Type Error" error="Should be Number not Text." sqref="A2:A1048576" xr:uid="{A6ADF0DC-7AAD-47FC-8638-93A27269DF01}">
      <formula1>0</formula1>
    </dataValidation>
    <dataValidation type="decimal" operator="greaterThan" allowBlank="1" showInputMessage="1" showErrorMessage="1" errorTitle="Data Type Error" error="Should be Number not Text" sqref="B51:E1048576" xr:uid="{197AD6D9-E8BD-46AF-800E-8986E0AF45CE}">
      <formula1>0</formula1>
    </dataValidation>
    <dataValidation type="decimal" operator="greaterThanOrEqual" allowBlank="1" showInputMessage="1" showErrorMessage="1" errorTitle="Data Type Error" error="Should be greater than or equal to 0" sqref="B2:BJ50" xr:uid="{EDAA6294-95CB-491E-82BB-59402825FA8A}">
      <formula1>0</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6F27-0355-40E2-99A2-9886A44C3B28}">
  <sheetPr codeName="Sheet7">
    <tabColor rgb="FFA3B8BA"/>
  </sheetPr>
  <dimension ref="A1:C50"/>
  <sheetViews>
    <sheetView workbookViewId="0">
      <selection activeCell="A2" sqref="A2"/>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F0767B1B-4327-4F6D-AD97-93AEFB1C59EA}"/>
    <dataValidation type="whole" operator="greaterThan" allowBlank="1" showInputMessage="1" showErrorMessage="1" errorTitle="Data Type Error" error="Should be Number not Text" sqref="A2:A1048576" xr:uid="{537B9508-F346-4667-BB94-901B5B2F9301}">
      <formula1>0</formula1>
    </dataValidation>
    <dataValidation type="decimal" operator="greaterThan" allowBlank="1" showInputMessage="1" showErrorMessage="1" errorTitle="Data Type Error" error="Should be Number not Text" sqref="B51:C1048576" xr:uid="{B9DDE09F-02CD-46AB-B91D-4F7A248167E9}">
      <formula1>0</formula1>
    </dataValidation>
    <dataValidation type="decimal" operator="greaterThanOrEqual" allowBlank="1" showInputMessage="1" showErrorMessage="1" errorTitle="Data Type Error" error="Should be greater than or equal to 0" sqref="B2:C50" xr:uid="{F24FAAFE-900A-45BF-915B-F8902C98103C}">
      <formula1>0</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0248-335F-4732-A541-814E70C32D5E}">
  <sheetPr codeName="Sheet8">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22.42578125" bestFit="1" customWidth="1"/>
    <col min="3" max="3" width="24.5703125" bestFit="1" customWidth="1"/>
    <col min="4" max="16384" width="8.85546875" hidden="1"/>
  </cols>
  <sheetData>
    <row r="1" spans="1:3" x14ac:dyDescent="0.25">
      <c r="A1" s="3" t="s">
        <v>0</v>
      </c>
      <c r="B1" s="4" t="s">
        <v>10</v>
      </c>
      <c r="C1" s="5" t="s">
        <v>11</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08A2CBC7-A57A-4C85-BEFE-740F147453B9}"/>
    <dataValidation type="whole" operator="greaterThan" allowBlank="1" showInputMessage="1" showErrorMessage="1" errorTitle="Data Type Error" error="Should be Number not Text" sqref="A2:A1048576" xr:uid="{10DA94B4-533D-406C-8E13-099358502376}">
      <formula1>0</formula1>
    </dataValidation>
    <dataValidation type="decimal" operator="greaterThan" allowBlank="1" showInputMessage="1" showErrorMessage="1" errorTitle="Data Type Error" error="Should be Number not Text" sqref="B51:C1048576" xr:uid="{492503A3-D138-4179-8C07-7A91F167A5BF}">
      <formula1>0</formula1>
    </dataValidation>
    <dataValidation type="decimal" operator="greaterThanOrEqual" allowBlank="1" showInputMessage="1" showErrorMessage="1" errorTitle="Data Type Error" error="Should be greater than or equal to 0" sqref="B2:C50" xr:uid="{5A6607A8-6167-479D-A619-5190A287484D}">
      <formula1>0</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F3290-6EC9-4D99-851C-A680A1CE4A32}">
  <sheetPr codeName="Sheet10">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BBEF799B-07FF-4562-AC92-2D09A2A72B9F}"/>
    <dataValidation type="whole" operator="greaterThan" allowBlank="1" showInputMessage="1" showErrorMessage="1" errorTitle="Data Type Error" error="Should be Number not Text" sqref="A2:A1048576" xr:uid="{9AFF3502-45DD-4F3C-BCA4-084E5CEDD7EF}">
      <formula1>0</formula1>
    </dataValidation>
    <dataValidation type="decimal" operator="greaterThan" allowBlank="1" showInputMessage="1" showErrorMessage="1" errorTitle="Data Type Error" error="Should be Number not Text" sqref="B51:C1048576" xr:uid="{961AB627-15E6-4DCD-9752-42AD98E37A19}">
      <formula1>0</formula1>
    </dataValidation>
    <dataValidation type="decimal" operator="greaterThanOrEqual" allowBlank="1" showInputMessage="1" showErrorMessage="1" errorTitle="Data Type Error" error="Should be greater than or equal to 0" sqref="B2:C50" xr:uid="{183C1CFC-E773-4DF0-ABD5-7D128E2465A4}">
      <formula1>0</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9E376-6FC1-4A2A-A224-309AD2619EDF}">
  <sheetPr codeName="Sheet9">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8" bestFit="1" customWidth="1"/>
    <col min="3" max="3" width="20.42578125" customWidth="1"/>
    <col min="4" max="16384" width="8.85546875" hidden="1"/>
  </cols>
  <sheetData>
    <row r="1" spans="1:3" x14ac:dyDescent="0.25">
      <c r="A1" s="11" t="s">
        <v>0</v>
      </c>
      <c r="B1" s="11" t="s">
        <v>16</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5D4748F4-BBD0-401C-B132-765D994474FB}"/>
    <dataValidation type="whole" operator="greaterThan" allowBlank="1" showInputMessage="1" showErrorMessage="1" errorTitle="Data Type Error" error="Should be Number not Text" sqref="A2:A1048576" xr:uid="{2E2DA0BE-121D-4AD7-ADF8-C5A210A86E3F}">
      <formula1>0</formula1>
    </dataValidation>
    <dataValidation type="decimal" operator="greaterThan" allowBlank="1" showInputMessage="1" showErrorMessage="1" errorTitle="Data Type Error" error="Should be Number not Text" sqref="B51:C1048576" xr:uid="{58495EBF-8A0D-4ABF-8385-DB8DC2174076}">
      <formula1>0</formula1>
    </dataValidation>
    <dataValidation type="decimal" operator="greaterThanOrEqual" allowBlank="1" showInputMessage="1" showErrorMessage="1" errorTitle="Data Type Error" error="Should be greater than or equal to 0" sqref="B2:C50" xr:uid="{702A31D6-5A2F-4D09-B593-03903BC75558}">
      <formula1>0</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AE8BA-8F3C-4B42-B812-D5D20BE4B93D}">
  <sheetPr codeName="Sheet22">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8" bestFit="1" customWidth="1"/>
    <col min="3" max="3" width="20.42578125" customWidth="1"/>
    <col min="4" max="16384" width="8.85546875" hidden="1"/>
  </cols>
  <sheetData>
    <row r="1" spans="1:3" x14ac:dyDescent="0.25">
      <c r="A1" s="11" t="s">
        <v>0</v>
      </c>
      <c r="B1" s="11" t="s">
        <v>333</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 allowBlank="1" showInputMessage="1" showErrorMessage="1" errorTitle="Data Type Error" error="Should be Number not Text" sqref="B51:C1048576" xr:uid="{A86B30E9-0A63-4375-A363-3F813E76D9E0}">
      <formula1>0</formula1>
    </dataValidation>
    <dataValidation type="whole" operator="greaterThan" allowBlank="1" showInputMessage="1" showErrorMessage="1" errorTitle="Data Type Error" error="Should be Number not Text" sqref="A2:A1048576" xr:uid="{1D9DAE10-DE09-438C-B8DF-447CBBAFDA98}">
      <formula1>0</formula1>
    </dataValidation>
    <dataValidation operator="greaterThan" allowBlank="1" showInputMessage="1" showErrorMessage="1" errorTitle="Data Type Error" error="Should be Number not Text." sqref="D1:XFD1" xr:uid="{DCCD21D1-EADC-4BDA-B197-D9AEAE4F9D6E}"/>
    <dataValidation type="decimal" operator="greaterThanOrEqual" allowBlank="1" showInputMessage="1" showErrorMessage="1" errorTitle="Data Type Error" error="Should be greater than or equal to 0" sqref="B2:C50" xr:uid="{26CD0336-4862-4E90-9676-4BE4931F43E6}">
      <formula1>0</formula1>
    </dataValidation>
  </dataValidation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5DC4C-E5F9-4F01-82FD-998678D0007E}">
  <sheetPr codeName="Sheet18">
    <tabColor rgb="FFA3B8BA"/>
  </sheetPr>
  <dimension ref="A1:H72"/>
  <sheetViews>
    <sheetView showGridLines="0" showRowColHeaders="0" zoomScaleNormal="100" workbookViewId="0">
      <selection activeCell="C12" sqref="C12"/>
    </sheetView>
  </sheetViews>
  <sheetFormatPr defaultColWidth="0" defaultRowHeight="14.45" customHeight="1" zeroHeight="1" x14ac:dyDescent="0.25"/>
  <cols>
    <col min="1" max="1" width="5" customWidth="1"/>
    <col min="2" max="2" width="32" bestFit="1" customWidth="1"/>
    <col min="3" max="3" width="21.5703125" customWidth="1"/>
    <col min="4" max="4" width="5.5703125" customWidth="1"/>
    <col min="5" max="5" width="8.85546875" hidden="1" customWidth="1"/>
    <col min="6" max="6" width="32.5703125" hidden="1" customWidth="1"/>
    <col min="7" max="7" width="22" hidden="1" customWidth="1"/>
    <col min="8" max="8" width="0" hidden="1" customWidth="1"/>
    <col min="9" max="16384" width="8.85546875" hidden="1"/>
  </cols>
  <sheetData>
    <row r="1" spans="1:3" ht="15" x14ac:dyDescent="0.25">
      <c r="A1" s="24" t="s">
        <v>104</v>
      </c>
      <c r="C1" s="24"/>
    </row>
    <row r="2" spans="1:3" ht="15" x14ac:dyDescent="0.25">
      <c r="B2" t="s">
        <v>36</v>
      </c>
      <c r="C2" s="22" t="s">
        <v>28</v>
      </c>
    </row>
    <row r="3" spans="1:3" ht="15" x14ac:dyDescent="0.25">
      <c r="B3" t="s">
        <v>37</v>
      </c>
      <c r="C3" s="22" t="s">
        <v>29</v>
      </c>
    </row>
    <row r="4" spans="1:3" ht="15" x14ac:dyDescent="0.25">
      <c r="B4" t="s">
        <v>38</v>
      </c>
      <c r="C4" s="22" t="s">
        <v>46</v>
      </c>
    </row>
    <row r="5" spans="1:3" ht="15" x14ac:dyDescent="0.25">
      <c r="B5" t="s">
        <v>39</v>
      </c>
      <c r="C5" s="22" t="s">
        <v>30</v>
      </c>
    </row>
    <row r="6" spans="1:3" ht="15" x14ac:dyDescent="0.25">
      <c r="B6" t="s">
        <v>40</v>
      </c>
      <c r="C6" s="22" t="s">
        <v>35</v>
      </c>
    </row>
    <row r="7" spans="1:3" ht="15" x14ac:dyDescent="0.25">
      <c r="B7" t="s">
        <v>41</v>
      </c>
      <c r="C7" s="22" t="s">
        <v>31</v>
      </c>
    </row>
    <row r="8" spans="1:3" ht="15" x14ac:dyDescent="0.25">
      <c r="B8" t="s">
        <v>42</v>
      </c>
      <c r="C8" s="22" t="s">
        <v>47</v>
      </c>
    </row>
    <row r="9" spans="1:3" ht="15" x14ac:dyDescent="0.25">
      <c r="B9" t="s">
        <v>43</v>
      </c>
      <c r="C9" s="22" t="s">
        <v>48</v>
      </c>
    </row>
    <row r="10" spans="1:3" ht="15" x14ac:dyDescent="0.25">
      <c r="B10" t="s">
        <v>44</v>
      </c>
      <c r="C10" s="22" t="s">
        <v>33</v>
      </c>
    </row>
    <row r="11" spans="1:3" ht="15" x14ac:dyDescent="0.25">
      <c r="B11" t="s">
        <v>45</v>
      </c>
      <c r="C11" s="22" t="s">
        <v>34</v>
      </c>
    </row>
    <row r="12" spans="1:3" ht="15" x14ac:dyDescent="0.25">
      <c r="C12" s="25"/>
    </row>
    <row r="13" spans="1:3" ht="15" x14ac:dyDescent="0.25">
      <c r="A13" s="9" t="s">
        <v>261</v>
      </c>
    </row>
    <row r="14" spans="1:3" ht="15" x14ac:dyDescent="0.25">
      <c r="B14" t="s">
        <v>260</v>
      </c>
      <c r="C14" s="22" t="s">
        <v>26</v>
      </c>
    </row>
    <row r="15" spans="1:3" ht="15" x14ac:dyDescent="0.25">
      <c r="C15" s="25"/>
    </row>
    <row r="16" spans="1:3" ht="15" x14ac:dyDescent="0.25">
      <c r="A16" s="9" t="s">
        <v>105</v>
      </c>
      <c r="C16" s="24"/>
    </row>
    <row r="17" spans="1:3" ht="15" x14ac:dyDescent="0.25">
      <c r="B17" t="s">
        <v>64</v>
      </c>
      <c r="C17" s="22" t="s">
        <v>26</v>
      </c>
    </row>
    <row r="18" spans="1:3" ht="15" x14ac:dyDescent="0.25">
      <c r="B18" t="s">
        <v>65</v>
      </c>
      <c r="C18" s="22">
        <v>60</v>
      </c>
    </row>
    <row r="19" spans="1:3" ht="15" x14ac:dyDescent="0.25">
      <c r="B19" t="s">
        <v>66</v>
      </c>
      <c r="C19" s="23">
        <v>39448</v>
      </c>
    </row>
    <row r="20" spans="1:3" ht="15" x14ac:dyDescent="0.25">
      <c r="B20" t="s">
        <v>67</v>
      </c>
      <c r="C20" s="29">
        <v>0.25</v>
      </c>
    </row>
    <row r="21" spans="1:3" ht="15" x14ac:dyDescent="0.25">
      <c r="B21" t="s">
        <v>68</v>
      </c>
      <c r="C21" s="29">
        <v>1</v>
      </c>
    </row>
    <row r="22" spans="1:3" ht="15" x14ac:dyDescent="0.25">
      <c r="C22" s="25"/>
    </row>
    <row r="23" spans="1:3" ht="15" x14ac:dyDescent="0.25">
      <c r="A23" s="9" t="s">
        <v>106</v>
      </c>
      <c r="C23" s="24"/>
    </row>
    <row r="24" spans="1:3" ht="15" x14ac:dyDescent="0.25">
      <c r="B24" t="s">
        <v>64</v>
      </c>
      <c r="C24" s="22" t="s">
        <v>26</v>
      </c>
    </row>
    <row r="25" spans="1:3" ht="15" hidden="1" x14ac:dyDescent="0.25">
      <c r="B25" t="s">
        <v>65</v>
      </c>
      <c r="C25" s="22">
        <v>60</v>
      </c>
    </row>
    <row r="26" spans="1:3" ht="15" hidden="1" x14ac:dyDescent="0.25">
      <c r="B26" t="s">
        <v>66</v>
      </c>
      <c r="C26" s="23">
        <v>39448</v>
      </c>
    </row>
    <row r="27" spans="1:3" ht="15" hidden="1" x14ac:dyDescent="0.25">
      <c r="B27" t="s">
        <v>67</v>
      </c>
      <c r="C27" s="29">
        <v>0.25</v>
      </c>
    </row>
    <row r="28" spans="1:3" ht="15" hidden="1" x14ac:dyDescent="0.25">
      <c r="B28" t="s">
        <v>68</v>
      </c>
      <c r="C28" s="29">
        <v>1</v>
      </c>
    </row>
    <row r="29" spans="1:3" ht="15" hidden="1" x14ac:dyDescent="0.25"/>
    <row r="33" spans="2:8" ht="15" hidden="1" x14ac:dyDescent="0.25">
      <c r="B33" s="97" t="s">
        <v>90</v>
      </c>
      <c r="C33" s="97"/>
      <c r="D33" s="97"/>
      <c r="F33" s="97" t="s">
        <v>97</v>
      </c>
      <c r="G33" s="97"/>
      <c r="H33" s="97"/>
    </row>
    <row r="34" spans="2:8" ht="15" hidden="1" x14ac:dyDescent="0.25">
      <c r="B34" s="15" t="s">
        <v>49</v>
      </c>
      <c r="C34" s="15" t="s">
        <v>50</v>
      </c>
      <c r="D34" s="19" t="s">
        <v>76</v>
      </c>
      <c r="F34" s="15" t="s">
        <v>49</v>
      </c>
      <c r="G34" s="15" t="s">
        <v>50</v>
      </c>
      <c r="H34" s="19" t="s">
        <v>76</v>
      </c>
    </row>
    <row r="35" spans="2:8" ht="15" hidden="1" x14ac:dyDescent="0.25">
      <c r="B35" s="98" t="s">
        <v>36</v>
      </c>
      <c r="C35" s="16" t="s">
        <v>51</v>
      </c>
      <c r="D35" s="21">
        <v>5</v>
      </c>
      <c r="F35" s="98" t="s">
        <v>36</v>
      </c>
      <c r="G35" s="16" t="s">
        <v>51</v>
      </c>
      <c r="H35" s="21">
        <v>5</v>
      </c>
    </row>
    <row r="36" spans="2:8" ht="15" hidden="1" x14ac:dyDescent="0.25">
      <c r="B36" s="99"/>
      <c r="C36" s="16" t="s">
        <v>52</v>
      </c>
      <c r="D36" s="21">
        <v>0</v>
      </c>
      <c r="F36" s="99"/>
      <c r="G36" s="16" t="s">
        <v>52</v>
      </c>
      <c r="H36" s="21">
        <v>3</v>
      </c>
    </row>
    <row r="37" spans="2:8" ht="15" hidden="1" x14ac:dyDescent="0.25">
      <c r="B37" s="99"/>
      <c r="C37" s="17" t="s">
        <v>75</v>
      </c>
      <c r="D37" s="21">
        <v>0</v>
      </c>
      <c r="F37" s="99"/>
      <c r="G37" s="17" t="s">
        <v>28</v>
      </c>
      <c r="H37" s="21">
        <v>0</v>
      </c>
    </row>
    <row r="38" spans="2:8" ht="15" hidden="1" x14ac:dyDescent="0.25">
      <c r="B38" s="100"/>
      <c r="C38" s="20" t="s">
        <v>28</v>
      </c>
      <c r="D38" s="21">
        <v>-5</v>
      </c>
      <c r="F38" s="100"/>
      <c r="G38" s="19" t="s">
        <v>96</v>
      </c>
      <c r="H38" s="21" t="s">
        <v>96</v>
      </c>
    </row>
    <row r="39" spans="2:8" ht="14.45" hidden="1" customHeight="1" x14ac:dyDescent="0.25">
      <c r="B39" s="98" t="s">
        <v>60</v>
      </c>
      <c r="C39" s="17" t="s">
        <v>29</v>
      </c>
      <c r="D39" s="21">
        <v>0</v>
      </c>
      <c r="F39" s="98" t="s">
        <v>60</v>
      </c>
      <c r="G39" s="17" t="s">
        <v>29</v>
      </c>
      <c r="H39" s="21">
        <v>0</v>
      </c>
    </row>
    <row r="40" spans="2:8" ht="15" hidden="1" x14ac:dyDescent="0.25">
      <c r="B40" s="99"/>
      <c r="C40" s="17" t="s">
        <v>69</v>
      </c>
      <c r="D40" s="21">
        <v>8</v>
      </c>
      <c r="F40" s="99"/>
      <c r="G40" s="17" t="s">
        <v>69</v>
      </c>
      <c r="H40" s="21">
        <v>8</v>
      </c>
    </row>
    <row r="41" spans="2:8" ht="15" hidden="1" x14ac:dyDescent="0.25">
      <c r="B41" s="99"/>
      <c r="C41" s="17" t="s">
        <v>70</v>
      </c>
      <c r="D41" s="21">
        <v>10</v>
      </c>
      <c r="F41" s="99"/>
      <c r="G41" s="17" t="s">
        <v>70</v>
      </c>
      <c r="H41" s="21">
        <v>10</v>
      </c>
    </row>
    <row r="42" spans="2:8" ht="15" hidden="1" x14ac:dyDescent="0.25">
      <c r="B42" s="99"/>
      <c r="C42" s="17" t="s">
        <v>71</v>
      </c>
      <c r="D42" s="21">
        <v>12</v>
      </c>
      <c r="F42" s="99"/>
      <c r="G42" s="17" t="s">
        <v>71</v>
      </c>
      <c r="H42" s="21">
        <v>12</v>
      </c>
    </row>
    <row r="43" spans="2:8" ht="30" hidden="1" x14ac:dyDescent="0.25">
      <c r="B43" s="99"/>
      <c r="C43" s="17" t="s">
        <v>72</v>
      </c>
      <c r="D43" s="21">
        <v>14</v>
      </c>
      <c r="F43" s="99"/>
      <c r="G43" s="17" t="s">
        <v>72</v>
      </c>
      <c r="H43" s="21">
        <v>14</v>
      </c>
    </row>
    <row r="44" spans="2:8" ht="15" hidden="1" x14ac:dyDescent="0.25">
      <c r="B44" s="100"/>
      <c r="C44" s="17" t="s">
        <v>53</v>
      </c>
      <c r="D44" s="21">
        <v>16</v>
      </c>
      <c r="F44" s="100"/>
      <c r="G44" s="17" t="s">
        <v>53</v>
      </c>
      <c r="H44" s="21">
        <v>16</v>
      </c>
    </row>
    <row r="45" spans="2:8" ht="15" hidden="1" x14ac:dyDescent="0.25">
      <c r="B45" s="98" t="s">
        <v>38</v>
      </c>
      <c r="C45" s="17" t="s">
        <v>46</v>
      </c>
      <c r="D45" s="21">
        <v>0</v>
      </c>
      <c r="F45" s="98" t="s">
        <v>38</v>
      </c>
      <c r="G45" s="17" t="s">
        <v>46</v>
      </c>
      <c r="H45" s="21">
        <v>0</v>
      </c>
    </row>
    <row r="46" spans="2:8" ht="15" hidden="1" x14ac:dyDescent="0.25">
      <c r="B46" s="100"/>
      <c r="C46" s="18" t="s">
        <v>54</v>
      </c>
      <c r="D46" s="21">
        <v>1</v>
      </c>
      <c r="F46" s="100"/>
      <c r="G46" s="18" t="s">
        <v>54</v>
      </c>
      <c r="H46" s="21">
        <v>1</v>
      </c>
    </row>
    <row r="47" spans="2:8" ht="15" hidden="1" x14ac:dyDescent="0.25">
      <c r="B47" s="101" t="s">
        <v>39</v>
      </c>
      <c r="C47" s="18" t="s">
        <v>30</v>
      </c>
      <c r="D47" s="21">
        <v>0</v>
      </c>
      <c r="F47" s="104" t="s">
        <v>39</v>
      </c>
      <c r="G47" s="18" t="s">
        <v>30</v>
      </c>
      <c r="H47" s="21">
        <v>0</v>
      </c>
    </row>
    <row r="48" spans="2:8" ht="15" hidden="1" x14ac:dyDescent="0.25">
      <c r="B48" s="102"/>
      <c r="C48" s="18" t="s">
        <v>77</v>
      </c>
      <c r="D48" s="21">
        <v>2</v>
      </c>
      <c r="F48" s="105"/>
      <c r="G48" s="18" t="s">
        <v>55</v>
      </c>
      <c r="H48" s="21">
        <v>2</v>
      </c>
    </row>
    <row r="49" spans="2:8" ht="15" hidden="1" x14ac:dyDescent="0.25">
      <c r="B49" s="103"/>
      <c r="C49" s="19" t="s">
        <v>96</v>
      </c>
      <c r="D49" s="19" t="s">
        <v>96</v>
      </c>
      <c r="F49" s="106"/>
      <c r="G49" s="18" t="s">
        <v>56</v>
      </c>
      <c r="H49" s="21">
        <v>4</v>
      </c>
    </row>
    <row r="50" spans="2:8" ht="15" hidden="1" x14ac:dyDescent="0.25">
      <c r="B50" s="104" t="s">
        <v>40</v>
      </c>
      <c r="C50" s="18" t="s">
        <v>35</v>
      </c>
      <c r="D50" s="21">
        <v>0</v>
      </c>
      <c r="F50" s="104" t="s">
        <v>40</v>
      </c>
      <c r="G50" s="18" t="s">
        <v>35</v>
      </c>
      <c r="H50" s="21">
        <v>0</v>
      </c>
    </row>
    <row r="51" spans="2:8" ht="15" hidden="1" x14ac:dyDescent="0.25">
      <c r="B51" s="106"/>
      <c r="C51" s="18" t="s">
        <v>73</v>
      </c>
      <c r="D51" s="21">
        <v>16</v>
      </c>
      <c r="F51" s="106"/>
      <c r="G51" s="18" t="s">
        <v>73</v>
      </c>
      <c r="H51" s="21">
        <v>16</v>
      </c>
    </row>
    <row r="52" spans="2:8" ht="15" hidden="1" x14ac:dyDescent="0.25">
      <c r="B52" s="104" t="s">
        <v>43</v>
      </c>
      <c r="C52" s="18" t="s">
        <v>31</v>
      </c>
      <c r="D52" s="21">
        <v>1</v>
      </c>
      <c r="F52" s="104" t="s">
        <v>43</v>
      </c>
      <c r="G52" s="18" t="s">
        <v>31</v>
      </c>
      <c r="H52" s="21">
        <v>1</v>
      </c>
    </row>
    <row r="53" spans="2:8" ht="15" hidden="1" x14ac:dyDescent="0.25">
      <c r="B53" s="106"/>
      <c r="C53" s="18" t="s">
        <v>74</v>
      </c>
      <c r="D53" s="21">
        <v>0</v>
      </c>
      <c r="F53" s="106"/>
      <c r="G53" s="18" t="s">
        <v>74</v>
      </c>
      <c r="H53" s="21">
        <v>0</v>
      </c>
    </row>
    <row r="54" spans="2:8" ht="15" hidden="1" x14ac:dyDescent="0.25">
      <c r="B54" s="104" t="s">
        <v>61</v>
      </c>
      <c r="C54" s="18" t="s">
        <v>57</v>
      </c>
      <c r="D54" s="21">
        <v>0</v>
      </c>
      <c r="F54" s="104" t="s">
        <v>61</v>
      </c>
      <c r="G54" s="18" t="s">
        <v>57</v>
      </c>
      <c r="H54" s="21">
        <v>0</v>
      </c>
    </row>
    <row r="55" spans="2:8" ht="15" hidden="1" x14ac:dyDescent="0.25">
      <c r="B55" s="105"/>
      <c r="C55" s="18" t="s">
        <v>78</v>
      </c>
      <c r="D55" s="21">
        <v>2</v>
      </c>
      <c r="F55" s="105"/>
      <c r="G55" s="18" t="s">
        <v>78</v>
      </c>
      <c r="H55" s="21">
        <v>2</v>
      </c>
    </row>
    <row r="56" spans="2:8" ht="15" hidden="1" x14ac:dyDescent="0.25">
      <c r="B56" s="105"/>
      <c r="C56" s="18" t="s">
        <v>47</v>
      </c>
      <c r="D56" s="21">
        <v>3</v>
      </c>
      <c r="F56" s="105"/>
      <c r="G56" s="18" t="s">
        <v>47</v>
      </c>
      <c r="H56" s="21">
        <v>3</v>
      </c>
    </row>
    <row r="57" spans="2:8" ht="15" hidden="1" x14ac:dyDescent="0.25">
      <c r="B57" s="106"/>
      <c r="C57" s="18" t="s">
        <v>79</v>
      </c>
      <c r="D57" s="21">
        <v>4</v>
      </c>
      <c r="F57" s="106"/>
      <c r="G57" s="18" t="s">
        <v>79</v>
      </c>
      <c r="H57" s="21">
        <v>4</v>
      </c>
    </row>
    <row r="58" spans="2:8" ht="15" hidden="1" x14ac:dyDescent="0.25">
      <c r="B58" s="104" t="s">
        <v>27</v>
      </c>
      <c r="C58" s="18" t="s">
        <v>80</v>
      </c>
      <c r="D58" s="21">
        <v>0</v>
      </c>
      <c r="F58" s="104" t="s">
        <v>27</v>
      </c>
      <c r="G58" s="18" t="s">
        <v>58</v>
      </c>
      <c r="H58" s="21">
        <v>0</v>
      </c>
    </row>
    <row r="59" spans="2:8" ht="15" hidden="1" x14ac:dyDescent="0.25">
      <c r="B59" s="105"/>
      <c r="C59" s="18" t="s">
        <v>48</v>
      </c>
      <c r="D59" s="21">
        <v>3</v>
      </c>
      <c r="F59" s="105"/>
      <c r="G59" s="18" t="s">
        <v>32</v>
      </c>
      <c r="H59" s="21">
        <v>6</v>
      </c>
    </row>
    <row r="60" spans="2:8" ht="15" hidden="1" x14ac:dyDescent="0.25">
      <c r="B60" s="106"/>
      <c r="C60" s="18" t="s">
        <v>81</v>
      </c>
      <c r="D60" s="21">
        <v>5</v>
      </c>
      <c r="F60" s="106"/>
      <c r="G60" s="18" t="s">
        <v>59</v>
      </c>
      <c r="H60" s="21">
        <v>10</v>
      </c>
    </row>
    <row r="61" spans="2:8" ht="15" hidden="1" x14ac:dyDescent="0.25">
      <c r="B61" s="104" t="s">
        <v>62</v>
      </c>
      <c r="C61" s="18" t="s">
        <v>33</v>
      </c>
      <c r="D61" s="21">
        <v>0</v>
      </c>
      <c r="F61" s="104" t="s">
        <v>62</v>
      </c>
      <c r="G61" s="18" t="s">
        <v>33</v>
      </c>
      <c r="H61" s="21">
        <v>0</v>
      </c>
    </row>
    <row r="62" spans="2:8" ht="15" hidden="1" x14ac:dyDescent="0.25">
      <c r="B62" s="105"/>
      <c r="C62" s="18" t="s">
        <v>82</v>
      </c>
      <c r="D62" s="21">
        <v>0.5</v>
      </c>
      <c r="F62" s="105"/>
      <c r="G62" s="18" t="s">
        <v>82</v>
      </c>
      <c r="H62" s="21">
        <v>0.5</v>
      </c>
    </row>
    <row r="63" spans="2:8" ht="15" hidden="1" x14ac:dyDescent="0.25">
      <c r="B63" s="105"/>
      <c r="C63" s="18" t="s">
        <v>83</v>
      </c>
      <c r="D63" s="21">
        <v>1</v>
      </c>
      <c r="F63" s="105"/>
      <c r="G63" s="18" t="s">
        <v>83</v>
      </c>
      <c r="H63" s="21">
        <v>1</v>
      </c>
    </row>
    <row r="64" spans="2:8" ht="15" hidden="1" x14ac:dyDescent="0.25">
      <c r="B64" s="105"/>
      <c r="C64" s="18" t="s">
        <v>84</v>
      </c>
      <c r="D64" s="21">
        <v>1.5</v>
      </c>
      <c r="F64" s="105"/>
      <c r="G64" s="18" t="s">
        <v>84</v>
      </c>
      <c r="H64" s="21">
        <v>1.5</v>
      </c>
    </row>
    <row r="65" spans="2:8" ht="15" hidden="1" x14ac:dyDescent="0.25">
      <c r="B65" s="105"/>
      <c r="C65" s="18" t="s">
        <v>85</v>
      </c>
      <c r="D65" s="21">
        <v>2</v>
      </c>
      <c r="F65" s="105"/>
      <c r="G65" s="18" t="s">
        <v>85</v>
      </c>
      <c r="H65" s="21">
        <v>2</v>
      </c>
    </row>
    <row r="66" spans="2:8" ht="15" hidden="1" x14ac:dyDescent="0.25">
      <c r="B66" s="106"/>
      <c r="C66" s="18" t="s">
        <v>92</v>
      </c>
      <c r="D66" s="21">
        <v>4</v>
      </c>
      <c r="F66" s="106"/>
      <c r="G66" s="18" t="s">
        <v>92</v>
      </c>
      <c r="H66" s="21">
        <v>4</v>
      </c>
    </row>
    <row r="67" spans="2:8" ht="15" hidden="1" x14ac:dyDescent="0.25">
      <c r="B67" s="104" t="s">
        <v>63</v>
      </c>
      <c r="C67" s="18" t="s">
        <v>34</v>
      </c>
      <c r="D67" s="21">
        <v>0</v>
      </c>
      <c r="F67" s="104" t="s">
        <v>63</v>
      </c>
      <c r="G67" s="18" t="s">
        <v>34</v>
      </c>
      <c r="H67" s="21">
        <v>0</v>
      </c>
    </row>
    <row r="68" spans="2:8" ht="15" hidden="1" x14ac:dyDescent="0.25">
      <c r="B68" s="105"/>
      <c r="C68" s="18" t="s">
        <v>88</v>
      </c>
      <c r="D68" s="21">
        <v>0.5</v>
      </c>
      <c r="F68" s="105"/>
      <c r="G68" s="18" t="s">
        <v>93</v>
      </c>
      <c r="H68" s="21">
        <v>1</v>
      </c>
    </row>
    <row r="69" spans="2:8" ht="15" hidden="1" x14ac:dyDescent="0.25">
      <c r="B69" s="105"/>
      <c r="C69" s="18" t="s">
        <v>89</v>
      </c>
      <c r="D69" s="21">
        <v>0.75</v>
      </c>
      <c r="F69" s="105"/>
      <c r="G69" s="18" t="s">
        <v>94</v>
      </c>
      <c r="H69" s="21">
        <v>2</v>
      </c>
    </row>
    <row r="70" spans="2:8" ht="15" hidden="1" x14ac:dyDescent="0.25">
      <c r="B70" s="106"/>
      <c r="C70" s="18" t="s">
        <v>91</v>
      </c>
      <c r="D70" s="21">
        <v>1</v>
      </c>
      <c r="F70" s="105"/>
      <c r="G70" s="18" t="s">
        <v>86</v>
      </c>
      <c r="H70" s="21">
        <v>3</v>
      </c>
    </row>
    <row r="71" spans="2:8" ht="15" hidden="1" x14ac:dyDescent="0.25">
      <c r="F71" s="105"/>
      <c r="G71" s="18" t="s">
        <v>87</v>
      </c>
      <c r="H71" s="21">
        <v>4</v>
      </c>
    </row>
    <row r="72" spans="2:8" ht="15" hidden="1" x14ac:dyDescent="0.25">
      <c r="F72" s="106"/>
      <c r="G72" s="18" t="s">
        <v>95</v>
      </c>
      <c r="H72" s="21">
        <v>5</v>
      </c>
    </row>
  </sheetData>
  <mergeCells count="22">
    <mergeCell ref="B61:B66"/>
    <mergeCell ref="F61:F66"/>
    <mergeCell ref="B67:B70"/>
    <mergeCell ref="F67:F72"/>
    <mergeCell ref="B52:B53"/>
    <mergeCell ref="F52:F53"/>
    <mergeCell ref="B54:B57"/>
    <mergeCell ref="F54:F57"/>
    <mergeCell ref="B58:B60"/>
    <mergeCell ref="F58:F60"/>
    <mergeCell ref="B45:B46"/>
    <mergeCell ref="F45:F46"/>
    <mergeCell ref="B47:B49"/>
    <mergeCell ref="F47:F49"/>
    <mergeCell ref="B50:B51"/>
    <mergeCell ref="F50:F51"/>
    <mergeCell ref="B33:D33"/>
    <mergeCell ref="F33:H33"/>
    <mergeCell ref="B35:B38"/>
    <mergeCell ref="F35:F38"/>
    <mergeCell ref="B39:B44"/>
    <mergeCell ref="F39:F44"/>
  </mergeCells>
  <dataValidations count="13">
    <dataValidation type="date" allowBlank="1" showInputMessage="1" showErrorMessage="1" errorTitle="Data Type Error" error="Should be Data" sqref="C19 C26" xr:uid="{CC0E558B-4215-47EC-98AA-678A5D5F5DCB}">
      <formula1>16438</formula1>
      <formula2>401769</formula2>
    </dataValidation>
    <dataValidation type="list" allowBlank="1" showInputMessage="1" showErrorMessage="1" sqref="C17 C24" xr:uid="{456ABDB5-3541-4CA8-A52F-6889A44F38E8}">
      <formula1>"Yes,No"</formula1>
    </dataValidation>
    <dataValidation type="list" allowBlank="1" showInputMessage="1" showErrorMessage="1" sqref="C11:C12 C15" xr:uid="{2C6109DF-9C72-4973-AF0C-AC83A17E590E}">
      <formula1>$G$58:$G$60</formula1>
    </dataValidation>
    <dataValidation type="list" allowBlank="1" showInputMessage="1" showErrorMessage="1" sqref="C10" xr:uid="{71F125E2-4115-4ED3-8CD2-4538233F2815}">
      <formula1>$G$54:$G$57</formula1>
    </dataValidation>
    <dataValidation type="list" allowBlank="1" showInputMessage="1" showErrorMessage="1" sqref="C9" xr:uid="{C4D3B3BD-87A5-4838-8EC6-ED1A2CF97651}">
      <formula1>$G$52:$G$53</formula1>
    </dataValidation>
    <dataValidation type="list" allowBlank="1" showInputMessage="1" showErrorMessage="1" sqref="C8" xr:uid="{23362108-49FB-4EDB-B113-FAA65ED163D8}">
      <formula1>$G$67:$G$72</formula1>
    </dataValidation>
    <dataValidation type="list" allowBlank="1" showInputMessage="1" showErrorMessage="1" sqref="C7" xr:uid="{AB0463C8-CC6F-4DCD-ABD2-6C5CE4D0BAB7}">
      <formula1>$G$61:$G$66</formula1>
    </dataValidation>
    <dataValidation type="list" allowBlank="1" showInputMessage="1" showErrorMessage="1" sqref="C6" xr:uid="{8CCC211E-5443-47A0-8AAA-B1A3B845DFE9}">
      <formula1>$G$50:$G$51</formula1>
    </dataValidation>
    <dataValidation type="list" allowBlank="1" showInputMessage="1" showErrorMessage="1" sqref="C5" xr:uid="{82FE96B2-2020-462C-AF50-A8ADCB240E73}">
      <formula1>$G$47:$G$49</formula1>
    </dataValidation>
    <dataValidation type="list" allowBlank="1" showInputMessage="1" showErrorMessage="1" sqref="C4" xr:uid="{130D17C3-1FBC-4B68-9626-6FE9F08EBA38}">
      <formula1>$G$45:$G$46</formula1>
    </dataValidation>
    <dataValidation type="list" allowBlank="1" showInputMessage="1" showErrorMessage="1" sqref="C2" xr:uid="{BA6CBFD6-ABD6-4E23-B6E8-BEEAAD658C40}">
      <formula1>$G$35:$G$37</formula1>
    </dataValidation>
    <dataValidation type="list" allowBlank="1" showInputMessage="1" showErrorMessage="1" sqref="C3" xr:uid="{68ABD702-9D7D-4821-8ACF-B04B3818C3B7}">
      <formula1>$C$39:$C$44</formula1>
    </dataValidation>
    <dataValidation type="list" allowBlank="1" showInputMessage="1" showErrorMessage="1" sqref="C14" xr:uid="{34B86FF6-1B3F-4544-969F-E1A0C5C6BEE6}">
      <formula1>"No,Yes"</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7E0E8-ACCF-41B2-B525-BC5DD9A3AB10}">
  <sheetPr codeName="Sheet4">
    <tabColor rgb="FFA3B8BA"/>
  </sheetPr>
  <dimension ref="A1:F58"/>
  <sheetViews>
    <sheetView showGridLines="0" showRowColHeaders="0" zoomScaleNormal="100" workbookViewId="0">
      <selection activeCell="C21" sqref="C21"/>
    </sheetView>
  </sheetViews>
  <sheetFormatPr defaultColWidth="0" defaultRowHeight="15" zeroHeight="1" x14ac:dyDescent="0.25"/>
  <cols>
    <col min="1" max="1" width="5.42578125" customWidth="1"/>
    <col min="2" max="2" width="32.140625" customWidth="1"/>
    <col min="3" max="3" width="18.85546875" customWidth="1"/>
    <col min="4" max="4" width="8" bestFit="1" customWidth="1"/>
    <col min="5" max="5" width="8" hidden="1" customWidth="1"/>
    <col min="6" max="6" width="4.5703125" hidden="1" customWidth="1"/>
  </cols>
  <sheetData>
    <row r="1" spans="1:3" x14ac:dyDescent="0.25">
      <c r="A1" s="9" t="s">
        <v>107</v>
      </c>
    </row>
    <row r="2" spans="1:3" x14ac:dyDescent="0.25">
      <c r="B2" t="s">
        <v>108</v>
      </c>
      <c r="C2" s="22" t="s">
        <v>26</v>
      </c>
    </row>
    <row r="3" spans="1:3" x14ac:dyDescent="0.25">
      <c r="B3" t="s">
        <v>109</v>
      </c>
      <c r="C3" s="22" t="s">
        <v>26</v>
      </c>
    </row>
    <row r="4" spans="1:3" x14ac:dyDescent="0.25">
      <c r="B4" t="s">
        <v>110</v>
      </c>
      <c r="C4" s="29">
        <v>0.2</v>
      </c>
    </row>
    <row r="5" spans="1:3" x14ac:dyDescent="0.25"/>
    <row r="6" spans="1:3" x14ac:dyDescent="0.25">
      <c r="A6" s="9" t="s">
        <v>112</v>
      </c>
    </row>
    <row r="7" spans="1:3" x14ac:dyDescent="0.25">
      <c r="B7" t="s">
        <v>111</v>
      </c>
      <c r="C7" s="22" t="s">
        <v>35</v>
      </c>
    </row>
    <row r="8" spans="1:3" x14ac:dyDescent="0.25">
      <c r="B8" t="s">
        <v>114</v>
      </c>
      <c r="C8" s="29">
        <v>0.25</v>
      </c>
    </row>
    <row r="9" spans="1:3" x14ac:dyDescent="0.25">
      <c r="B9" t="s">
        <v>113</v>
      </c>
      <c r="C9" s="29">
        <v>0.5</v>
      </c>
    </row>
    <row r="10" spans="1:3" x14ac:dyDescent="0.25"/>
    <row r="11" spans="1:3" x14ac:dyDescent="0.25">
      <c r="A11" s="9" t="s">
        <v>116</v>
      </c>
    </row>
    <row r="12" spans="1:3" x14ac:dyDescent="0.25">
      <c r="B12" t="s">
        <v>118</v>
      </c>
      <c r="C12" s="22" t="s">
        <v>122</v>
      </c>
    </row>
    <row r="13" spans="1:3" x14ac:dyDescent="0.25">
      <c r="B13" t="s">
        <v>115</v>
      </c>
      <c r="C13" s="26">
        <v>0</v>
      </c>
    </row>
    <row r="14" spans="1:3" x14ac:dyDescent="0.25">
      <c r="B14" t="s">
        <v>117</v>
      </c>
      <c r="C14" s="26">
        <v>0</v>
      </c>
    </row>
    <row r="15" spans="1:3" x14ac:dyDescent="0.25"/>
    <row r="16" spans="1:3" x14ac:dyDescent="0.25">
      <c r="A16" s="9" t="s">
        <v>119</v>
      </c>
    </row>
    <row r="17" spans="1:3" x14ac:dyDescent="0.25">
      <c r="B17" t="s">
        <v>120</v>
      </c>
      <c r="C17" s="26">
        <v>1</v>
      </c>
    </row>
    <row r="18" spans="1:3" x14ac:dyDescent="0.25">
      <c r="B18" t="s">
        <v>121</v>
      </c>
      <c r="C18" s="26">
        <v>1</v>
      </c>
    </row>
    <row r="19" spans="1:3" x14ac:dyDescent="0.25"/>
    <row r="20" spans="1:3" x14ac:dyDescent="0.25">
      <c r="A20" s="9" t="s">
        <v>261</v>
      </c>
    </row>
    <row r="21" spans="1:3" x14ac:dyDescent="0.25">
      <c r="B21" t="s">
        <v>260</v>
      </c>
      <c r="C21" s="22" t="s">
        <v>26</v>
      </c>
    </row>
    <row r="22" spans="1:3" x14ac:dyDescent="0.25"/>
    <row r="23" spans="1:3" x14ac:dyDescent="0.25">
      <c r="A23" s="9" t="s">
        <v>105</v>
      </c>
      <c r="C23" s="24"/>
    </row>
    <row r="24" spans="1:3" x14ac:dyDescent="0.25">
      <c r="B24" t="s">
        <v>64</v>
      </c>
      <c r="C24" s="22" t="s">
        <v>26</v>
      </c>
    </row>
    <row r="25" spans="1:3" x14ac:dyDescent="0.25">
      <c r="B25" t="s">
        <v>65</v>
      </c>
      <c r="C25" s="22">
        <v>60</v>
      </c>
    </row>
    <row r="26" spans="1:3" x14ac:dyDescent="0.25">
      <c r="B26" t="s">
        <v>66</v>
      </c>
      <c r="C26" s="23">
        <v>39448</v>
      </c>
    </row>
    <row r="27" spans="1:3" x14ac:dyDescent="0.25">
      <c r="B27" t="s">
        <v>67</v>
      </c>
      <c r="C27" s="29">
        <v>0.25</v>
      </c>
    </row>
    <row r="28" spans="1:3" x14ac:dyDescent="0.25">
      <c r="B28" t="s">
        <v>68</v>
      </c>
      <c r="C28" s="29">
        <v>1</v>
      </c>
    </row>
    <row r="29" spans="1:3" x14ac:dyDescent="0.25">
      <c r="C29" s="25"/>
    </row>
    <row r="30" spans="1:3" hidden="1" x14ac:dyDescent="0.25">
      <c r="A30" s="9" t="s">
        <v>106</v>
      </c>
      <c r="C30" s="24"/>
    </row>
    <row r="31" spans="1:3" hidden="1" x14ac:dyDescent="0.25">
      <c r="B31" t="s">
        <v>64</v>
      </c>
      <c r="C31" s="22" t="s">
        <v>26</v>
      </c>
    </row>
    <row r="32" spans="1:3" hidden="1" x14ac:dyDescent="0.25">
      <c r="B32" t="s">
        <v>65</v>
      </c>
      <c r="C32" s="22">
        <v>60</v>
      </c>
    </row>
    <row r="33" spans="1:6" hidden="1" x14ac:dyDescent="0.25">
      <c r="B33" t="s">
        <v>66</v>
      </c>
      <c r="C33" s="23">
        <v>39448</v>
      </c>
    </row>
    <row r="34" spans="1:6" hidden="1" x14ac:dyDescent="0.25">
      <c r="B34" t="s">
        <v>67</v>
      </c>
      <c r="C34" s="29">
        <v>0.25</v>
      </c>
    </row>
    <row r="35" spans="1:6" hidden="1" x14ac:dyDescent="0.25">
      <c r="B35" t="s">
        <v>68</v>
      </c>
      <c r="C35" s="29">
        <v>1</v>
      </c>
    </row>
    <row r="37" spans="1:6" hidden="1" x14ac:dyDescent="0.25">
      <c r="A37" s="9" t="s">
        <v>249</v>
      </c>
    </row>
    <row r="38" spans="1:6" ht="14.45" hidden="1" customHeight="1" x14ac:dyDescent="0.25">
      <c r="B38" s="113" t="s">
        <v>250</v>
      </c>
      <c r="C38" s="115" t="s">
        <v>251</v>
      </c>
      <c r="D38" s="109" t="s">
        <v>255</v>
      </c>
      <c r="E38" s="107" t="s">
        <v>256</v>
      </c>
      <c r="F38" s="47"/>
    </row>
    <row r="39" spans="1:6" hidden="1" x14ac:dyDescent="0.25">
      <c r="B39" s="114"/>
      <c r="C39" s="116"/>
      <c r="D39" s="110"/>
      <c r="E39" s="108"/>
    </row>
    <row r="40" spans="1:6" hidden="1" x14ac:dyDescent="0.25">
      <c r="B40" s="46">
        <v>0</v>
      </c>
      <c r="C40" s="48">
        <v>1</v>
      </c>
      <c r="D40" s="53">
        <v>0.313726</v>
      </c>
      <c r="E40" s="54">
        <v>0.54901999999999995</v>
      </c>
    </row>
    <row r="41" spans="1:6" hidden="1" x14ac:dyDescent="0.25">
      <c r="B41" s="46">
        <v>1</v>
      </c>
      <c r="C41" s="51">
        <v>1.2</v>
      </c>
      <c r="D41" s="53">
        <v>0.27450999999999998</v>
      </c>
      <c r="E41" s="54">
        <v>0.50980400000000003</v>
      </c>
    </row>
    <row r="42" spans="1:6" hidden="1" x14ac:dyDescent="0.25">
      <c r="A42" s="52"/>
      <c r="B42" s="50">
        <v>1.2</v>
      </c>
      <c r="C42" s="58">
        <v>1.4</v>
      </c>
      <c r="D42" s="59">
        <v>0.235295</v>
      </c>
      <c r="E42" s="54">
        <v>0.47058899999999998</v>
      </c>
    </row>
    <row r="43" spans="1:6" hidden="1" x14ac:dyDescent="0.25">
      <c r="A43" s="52"/>
      <c r="B43" s="50">
        <v>1.4</v>
      </c>
      <c r="C43" s="49">
        <v>1.6</v>
      </c>
      <c r="D43" s="54">
        <v>0.196079</v>
      </c>
      <c r="E43" s="54">
        <v>0.43137300000000001</v>
      </c>
    </row>
    <row r="44" spans="1:6" hidden="1" x14ac:dyDescent="0.25">
      <c r="B44" s="46">
        <v>1.6</v>
      </c>
      <c r="C44" s="51">
        <v>999</v>
      </c>
      <c r="D44" s="54">
        <v>0.156863</v>
      </c>
      <c r="E44" s="54">
        <v>0.39215699999999998</v>
      </c>
    </row>
    <row r="45" spans="1:6" hidden="1" x14ac:dyDescent="0.25">
      <c r="B45" s="46"/>
      <c r="C45" s="51"/>
      <c r="D45" s="57"/>
      <c r="E45" s="57"/>
    </row>
    <row r="46" spans="1:6" hidden="1" x14ac:dyDescent="0.25">
      <c r="B46" s="46"/>
      <c r="C46" s="51"/>
      <c r="D46" s="57"/>
      <c r="E46" s="57"/>
    </row>
    <row r="48" spans="1:6" hidden="1" x14ac:dyDescent="0.25">
      <c r="A48" s="9" t="s">
        <v>252</v>
      </c>
    </row>
    <row r="49" spans="1:5" ht="14.45" hidden="1" customHeight="1" x14ac:dyDescent="0.25">
      <c r="B49" s="113" t="s">
        <v>253</v>
      </c>
      <c r="C49" s="115" t="s">
        <v>254</v>
      </c>
      <c r="D49" s="109" t="s">
        <v>255</v>
      </c>
      <c r="E49" s="111" t="s">
        <v>256</v>
      </c>
    </row>
    <row r="50" spans="1:5" hidden="1" x14ac:dyDescent="0.25">
      <c r="B50" s="114"/>
      <c r="C50" s="116"/>
      <c r="D50" s="110"/>
      <c r="E50" s="112"/>
    </row>
    <row r="51" spans="1:5" hidden="1" x14ac:dyDescent="0.25">
      <c r="B51" s="46">
        <v>0</v>
      </c>
      <c r="C51" s="48">
        <v>40</v>
      </c>
      <c r="D51" s="54">
        <v>0.42016806722689098</v>
      </c>
      <c r="E51" s="54">
        <v>0.53571400000000002</v>
      </c>
    </row>
    <row r="52" spans="1:5" hidden="1" x14ac:dyDescent="0.25">
      <c r="B52" s="46">
        <v>40</v>
      </c>
      <c r="C52" s="51">
        <v>55</v>
      </c>
      <c r="D52" s="53">
        <v>0.42016806722689098</v>
      </c>
      <c r="E52" s="54">
        <v>0.53571400000000002</v>
      </c>
    </row>
    <row r="53" spans="1:5" hidden="1" x14ac:dyDescent="0.25">
      <c r="A53" s="52"/>
      <c r="B53" s="50">
        <v>55</v>
      </c>
      <c r="C53" s="49">
        <v>70</v>
      </c>
      <c r="D53" s="54">
        <v>0.42016806722689098</v>
      </c>
      <c r="E53" s="54">
        <v>0.53571400000000002</v>
      </c>
    </row>
    <row r="54" spans="1:5" hidden="1" x14ac:dyDescent="0.25">
      <c r="A54" s="52"/>
      <c r="B54" s="50">
        <v>70</v>
      </c>
      <c r="C54" s="49">
        <v>85</v>
      </c>
      <c r="D54" s="54">
        <v>0.42016806722689098</v>
      </c>
      <c r="E54" s="54">
        <v>0.53571400000000002</v>
      </c>
    </row>
    <row r="55" spans="1:5" hidden="1" x14ac:dyDescent="0.25">
      <c r="B55" s="46">
        <v>85</v>
      </c>
      <c r="C55" s="51">
        <v>100</v>
      </c>
      <c r="D55" s="55">
        <v>0.42016806722689098</v>
      </c>
      <c r="E55" s="56">
        <v>0.53571400000000002</v>
      </c>
    </row>
    <row r="56" spans="1:5" hidden="1" x14ac:dyDescent="0.25">
      <c r="B56" s="46">
        <v>100</v>
      </c>
      <c r="C56" s="46">
        <v>115</v>
      </c>
      <c r="D56" s="56">
        <v>0.42016806722689098</v>
      </c>
      <c r="E56" s="56">
        <v>0.53571400000000002</v>
      </c>
    </row>
    <row r="57" spans="1:5" hidden="1" x14ac:dyDescent="0.25">
      <c r="B57" s="46">
        <v>115</v>
      </c>
      <c r="C57" s="46">
        <v>999</v>
      </c>
      <c r="D57" s="56">
        <v>0.42016806722689098</v>
      </c>
      <c r="E57" s="56">
        <v>0.53571400000000002</v>
      </c>
    </row>
    <row r="58" spans="1:5" hidden="1" x14ac:dyDescent="0.25">
      <c r="B58" s="46"/>
      <c r="C58" s="46"/>
      <c r="D58" s="46"/>
      <c r="E58" s="46"/>
    </row>
  </sheetData>
  <mergeCells count="8">
    <mergeCell ref="E38:E39"/>
    <mergeCell ref="D49:D50"/>
    <mergeCell ref="E49:E50"/>
    <mergeCell ref="B38:B39"/>
    <mergeCell ref="C38:C39"/>
    <mergeCell ref="B49:B50"/>
    <mergeCell ref="C49:C50"/>
    <mergeCell ref="D38:D39"/>
  </mergeCells>
  <dataValidations count="5">
    <dataValidation type="date" allowBlank="1" showInputMessage="1" showErrorMessage="1" errorTitle="Data Type Error" error="Should be Data" sqref="C26 C33" xr:uid="{568DB18A-6608-4922-8D35-218C55EBF457}">
      <formula1>16438</formula1>
      <formula2>401769</formula2>
    </dataValidation>
    <dataValidation type="list" allowBlank="1" showInputMessage="1" showErrorMessage="1" sqref="C24 C31 C2:C3" xr:uid="{AC760F76-1BDA-45B4-B5F5-282FBE6A1577}">
      <formula1>"Yes,No"</formula1>
    </dataValidation>
    <dataValidation type="list" allowBlank="1" showInputMessage="1" showErrorMessage="1" sqref="C12 C21" xr:uid="{F8A64F74-DE64-44BC-AFAE-6AD6B67BDE08}">
      <formula1>"No,Yes"</formula1>
    </dataValidation>
    <dataValidation type="decimal" allowBlank="1" showInputMessage="1" showErrorMessage="1" errorTitle="Data Type" error="Should be between 0 and 1" sqref="C4 C13:C14 C17:C18" xr:uid="{827668F7-C103-4DBD-B7C4-C35F9E0F4C62}">
      <formula1>0</formula1>
      <formula2>1</formula2>
    </dataValidation>
    <dataValidation type="decimal" allowBlank="1" showInputMessage="1" showErrorMessage="1" errorTitle="Data Type" error="Should be between 1 and 0" sqref="C8:C9" xr:uid="{AB717A03-74FB-4B14-8A30-5F88B2DBEF33}">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Spinner 2">
              <controlPr defaultSize="0" autoPict="0" macro="[0]!ThisWorkbook.ShowSplitTypeSheet1">
                <anchor moveWithCells="1" sizeWithCells="1">
                  <from>
                    <xdr:col>2</xdr:col>
                    <xdr:colOff>1133475</xdr:colOff>
                    <xdr:row>6</xdr:row>
                    <xdr:rowOff>9525</xdr:rowOff>
                  </from>
                  <to>
                    <xdr:col>2</xdr:col>
                    <xdr:colOff>1295400</xdr:colOff>
                    <xdr:row>6</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75312-F344-4FF2-8329-0AFC5B7D57B5}">
  <sheetPr codeName="Sheet3">
    <tabColor rgb="FFA3B8BA"/>
  </sheetPr>
  <dimension ref="A1:H74"/>
  <sheetViews>
    <sheetView showGridLines="0" showRowColHeaders="0" zoomScaleNormal="100" workbookViewId="0">
      <selection activeCell="C15" sqref="C15"/>
    </sheetView>
  </sheetViews>
  <sheetFormatPr defaultColWidth="0" defaultRowHeight="15" zeroHeight="1" x14ac:dyDescent="0.25"/>
  <cols>
    <col min="1" max="1" width="5" customWidth="1"/>
    <col min="2" max="2" width="32" bestFit="1" customWidth="1"/>
    <col min="3" max="3" width="21.5703125" customWidth="1"/>
    <col min="4" max="4" width="5.5703125" customWidth="1"/>
    <col min="5" max="5" width="8.85546875" hidden="1" customWidth="1"/>
    <col min="6" max="6" width="32.5703125" hidden="1" customWidth="1"/>
    <col min="7" max="7" width="22" hidden="1" customWidth="1"/>
    <col min="8" max="16384" width="8.85546875" hidden="1"/>
  </cols>
  <sheetData>
    <row r="1" spans="1:3" x14ac:dyDescent="0.25">
      <c r="A1" s="24" t="s">
        <v>104</v>
      </c>
      <c r="C1" s="24"/>
    </row>
    <row r="2" spans="1:3" x14ac:dyDescent="0.25">
      <c r="B2" t="s">
        <v>36</v>
      </c>
      <c r="C2" s="22" t="s">
        <v>28</v>
      </c>
    </row>
    <row r="3" spans="1:3" x14ac:dyDescent="0.25">
      <c r="B3" t="s">
        <v>37</v>
      </c>
      <c r="C3" s="22" t="s">
        <v>29</v>
      </c>
    </row>
    <row r="4" spans="1:3" x14ac:dyDescent="0.25">
      <c r="B4" t="s">
        <v>38</v>
      </c>
      <c r="C4" s="22" t="s">
        <v>46</v>
      </c>
    </row>
    <row r="5" spans="1:3" x14ac:dyDescent="0.25">
      <c r="B5" t="s">
        <v>39</v>
      </c>
      <c r="C5" s="22" t="s">
        <v>30</v>
      </c>
    </row>
    <row r="6" spans="1:3" x14ac:dyDescent="0.25">
      <c r="B6" t="s">
        <v>40</v>
      </c>
      <c r="C6" s="22" t="s">
        <v>35</v>
      </c>
    </row>
    <row r="7" spans="1:3" x14ac:dyDescent="0.25">
      <c r="B7" t="s">
        <v>41</v>
      </c>
      <c r="C7" s="22" t="s">
        <v>82</v>
      </c>
    </row>
    <row r="8" spans="1:3" x14ac:dyDescent="0.25">
      <c r="B8" t="s">
        <v>42</v>
      </c>
      <c r="C8" s="22" t="s">
        <v>93</v>
      </c>
    </row>
    <row r="9" spans="1:3" x14ac:dyDescent="0.25">
      <c r="B9" t="s">
        <v>43</v>
      </c>
      <c r="C9" s="22" t="s">
        <v>31</v>
      </c>
    </row>
    <row r="10" spans="1:3" x14ac:dyDescent="0.25">
      <c r="B10" t="s">
        <v>44</v>
      </c>
      <c r="C10" s="22" t="s">
        <v>57</v>
      </c>
    </row>
    <row r="11" spans="1:3" x14ac:dyDescent="0.25">
      <c r="B11" t="s">
        <v>45</v>
      </c>
      <c r="C11" s="22" t="s">
        <v>58</v>
      </c>
    </row>
    <row r="12" spans="1:3" x14ac:dyDescent="0.25"/>
    <row r="13" spans="1:3" x14ac:dyDescent="0.25">
      <c r="B13" t="s">
        <v>345</v>
      </c>
      <c r="C13" s="29">
        <v>0.08</v>
      </c>
    </row>
    <row r="14" spans="1:3" x14ac:dyDescent="0.25">
      <c r="C14" s="25"/>
    </row>
    <row r="15" spans="1:3" x14ac:dyDescent="0.25">
      <c r="A15" s="9" t="s">
        <v>261</v>
      </c>
    </row>
    <row r="16" spans="1:3" x14ac:dyDescent="0.25">
      <c r="B16" t="s">
        <v>260</v>
      </c>
      <c r="C16" s="22" t="s">
        <v>26</v>
      </c>
    </row>
    <row r="17" spans="1:3" x14ac:dyDescent="0.25">
      <c r="C17" s="25"/>
    </row>
    <row r="18" spans="1:3" x14ac:dyDescent="0.25">
      <c r="A18" s="9" t="s">
        <v>105</v>
      </c>
      <c r="C18" s="24"/>
    </row>
    <row r="19" spans="1:3" x14ac:dyDescent="0.25">
      <c r="B19" t="s">
        <v>64</v>
      </c>
      <c r="C19" s="22" t="s">
        <v>26</v>
      </c>
    </row>
    <row r="20" spans="1:3" x14ac:dyDescent="0.25">
      <c r="B20" t="s">
        <v>65</v>
      </c>
      <c r="C20" s="22">
        <v>60</v>
      </c>
    </row>
    <row r="21" spans="1:3" x14ac:dyDescent="0.25">
      <c r="B21" t="s">
        <v>66</v>
      </c>
      <c r="C21" s="23">
        <v>39448</v>
      </c>
    </row>
    <row r="22" spans="1:3" x14ac:dyDescent="0.25">
      <c r="B22" t="s">
        <v>67</v>
      </c>
      <c r="C22" s="29">
        <v>0.25</v>
      </c>
    </row>
    <row r="23" spans="1:3" x14ac:dyDescent="0.25">
      <c r="B23" t="s">
        <v>68</v>
      </c>
      <c r="C23" s="29">
        <v>1</v>
      </c>
    </row>
    <row r="24" spans="1:3" x14ac:dyDescent="0.25">
      <c r="C24" s="25"/>
    </row>
    <row r="25" spans="1:3" hidden="1" x14ac:dyDescent="0.25">
      <c r="A25" s="9" t="s">
        <v>106</v>
      </c>
      <c r="C25" s="24"/>
    </row>
    <row r="26" spans="1:3" hidden="1" x14ac:dyDescent="0.25">
      <c r="B26" t="s">
        <v>64</v>
      </c>
      <c r="C26" s="22" t="s">
        <v>26</v>
      </c>
    </row>
    <row r="27" spans="1:3" hidden="1" x14ac:dyDescent="0.25">
      <c r="B27" t="s">
        <v>65</v>
      </c>
      <c r="C27" s="22">
        <v>60</v>
      </c>
    </row>
    <row r="28" spans="1:3" hidden="1" x14ac:dyDescent="0.25">
      <c r="B28" t="s">
        <v>66</v>
      </c>
      <c r="C28" s="23">
        <v>39448</v>
      </c>
    </row>
    <row r="29" spans="1:3" hidden="1" x14ac:dyDescent="0.25">
      <c r="B29" t="s">
        <v>67</v>
      </c>
      <c r="C29" s="29">
        <v>0.25</v>
      </c>
    </row>
    <row r="30" spans="1:3" hidden="1" x14ac:dyDescent="0.25">
      <c r="B30" t="s">
        <v>68</v>
      </c>
      <c r="C30" s="29">
        <v>1</v>
      </c>
    </row>
    <row r="35" spans="2:8" hidden="1" x14ac:dyDescent="0.25">
      <c r="B35" s="97" t="s">
        <v>90</v>
      </c>
      <c r="C35" s="97"/>
      <c r="D35" s="97"/>
      <c r="F35" s="97" t="s">
        <v>97</v>
      </c>
      <c r="G35" s="97"/>
      <c r="H35" s="97"/>
    </row>
    <row r="36" spans="2:8" hidden="1" x14ac:dyDescent="0.25">
      <c r="B36" s="15" t="s">
        <v>49</v>
      </c>
      <c r="C36" s="15" t="s">
        <v>50</v>
      </c>
      <c r="D36" s="19" t="s">
        <v>76</v>
      </c>
      <c r="F36" s="15" t="s">
        <v>49</v>
      </c>
      <c r="G36" s="15" t="s">
        <v>50</v>
      </c>
      <c r="H36" s="19" t="s">
        <v>76</v>
      </c>
    </row>
    <row r="37" spans="2:8" hidden="1" x14ac:dyDescent="0.25">
      <c r="B37" s="98" t="s">
        <v>36</v>
      </c>
      <c r="C37" s="16" t="s">
        <v>51</v>
      </c>
      <c r="D37" s="21">
        <v>5</v>
      </c>
      <c r="F37" s="98" t="s">
        <v>36</v>
      </c>
      <c r="G37" s="16" t="s">
        <v>51</v>
      </c>
      <c r="H37" s="21">
        <v>5</v>
      </c>
    </row>
    <row r="38" spans="2:8" hidden="1" x14ac:dyDescent="0.25">
      <c r="B38" s="99"/>
      <c r="C38" s="16" t="s">
        <v>52</v>
      </c>
      <c r="D38" s="21">
        <v>0</v>
      </c>
      <c r="F38" s="99"/>
      <c r="G38" s="16" t="s">
        <v>52</v>
      </c>
      <c r="H38" s="21">
        <v>3</v>
      </c>
    </row>
    <row r="39" spans="2:8" hidden="1" x14ac:dyDescent="0.25">
      <c r="B39" s="99"/>
      <c r="C39" s="17" t="s">
        <v>75</v>
      </c>
      <c r="D39" s="21">
        <v>0</v>
      </c>
      <c r="F39" s="99"/>
      <c r="G39" s="17" t="s">
        <v>28</v>
      </c>
      <c r="H39" s="21">
        <v>0</v>
      </c>
    </row>
    <row r="40" spans="2:8" hidden="1" x14ac:dyDescent="0.25">
      <c r="B40" s="100"/>
      <c r="C40" s="20" t="s">
        <v>28</v>
      </c>
      <c r="D40" s="21">
        <v>-5</v>
      </c>
      <c r="F40" s="100"/>
      <c r="G40" s="19" t="s">
        <v>96</v>
      </c>
      <c r="H40" s="21" t="s">
        <v>96</v>
      </c>
    </row>
    <row r="41" spans="2:8" ht="14.45" hidden="1" customHeight="1" x14ac:dyDescent="0.25">
      <c r="B41" s="98" t="s">
        <v>60</v>
      </c>
      <c r="C41" s="17" t="s">
        <v>29</v>
      </c>
      <c r="D41" s="21">
        <v>0</v>
      </c>
      <c r="F41" s="98" t="s">
        <v>60</v>
      </c>
      <c r="G41" s="17" t="s">
        <v>29</v>
      </c>
      <c r="H41" s="21">
        <v>0</v>
      </c>
    </row>
    <row r="42" spans="2:8" hidden="1" x14ac:dyDescent="0.25">
      <c r="B42" s="99"/>
      <c r="C42" s="17" t="s">
        <v>69</v>
      </c>
      <c r="D42" s="21">
        <v>8</v>
      </c>
      <c r="F42" s="99"/>
      <c r="G42" s="17" t="s">
        <v>69</v>
      </c>
      <c r="H42" s="21">
        <v>8</v>
      </c>
    </row>
    <row r="43" spans="2:8" hidden="1" x14ac:dyDescent="0.25">
      <c r="B43" s="99"/>
      <c r="C43" s="17" t="s">
        <v>70</v>
      </c>
      <c r="D43" s="21">
        <v>10</v>
      </c>
      <c r="F43" s="99"/>
      <c r="G43" s="17" t="s">
        <v>70</v>
      </c>
      <c r="H43" s="21">
        <v>10</v>
      </c>
    </row>
    <row r="44" spans="2:8" hidden="1" x14ac:dyDescent="0.25">
      <c r="B44" s="99"/>
      <c r="C44" s="17" t="s">
        <v>71</v>
      </c>
      <c r="D44" s="21">
        <v>12</v>
      </c>
      <c r="F44" s="99"/>
      <c r="G44" s="17" t="s">
        <v>71</v>
      </c>
      <c r="H44" s="21">
        <v>12</v>
      </c>
    </row>
    <row r="45" spans="2:8" ht="30" hidden="1" x14ac:dyDescent="0.25">
      <c r="B45" s="99"/>
      <c r="C45" s="17" t="s">
        <v>72</v>
      </c>
      <c r="D45" s="21">
        <v>14</v>
      </c>
      <c r="F45" s="99"/>
      <c r="G45" s="17" t="s">
        <v>72</v>
      </c>
      <c r="H45" s="21">
        <v>14</v>
      </c>
    </row>
    <row r="46" spans="2:8" hidden="1" x14ac:dyDescent="0.25">
      <c r="B46" s="100"/>
      <c r="C46" s="17" t="s">
        <v>53</v>
      </c>
      <c r="D46" s="21">
        <v>16</v>
      </c>
      <c r="F46" s="100"/>
      <c r="G46" s="17" t="s">
        <v>53</v>
      </c>
      <c r="H46" s="21">
        <v>16</v>
      </c>
    </row>
    <row r="47" spans="2:8" hidden="1" x14ac:dyDescent="0.25">
      <c r="B47" s="98" t="s">
        <v>38</v>
      </c>
      <c r="C47" s="17" t="s">
        <v>46</v>
      </c>
      <c r="D47" s="21">
        <v>0</v>
      </c>
      <c r="F47" s="98" t="s">
        <v>38</v>
      </c>
      <c r="G47" s="17" t="s">
        <v>46</v>
      </c>
      <c r="H47" s="21">
        <v>0</v>
      </c>
    </row>
    <row r="48" spans="2:8" hidden="1" x14ac:dyDescent="0.25">
      <c r="B48" s="100"/>
      <c r="C48" s="18" t="s">
        <v>54</v>
      </c>
      <c r="D48" s="21">
        <v>1</v>
      </c>
      <c r="F48" s="100"/>
      <c r="G48" s="18" t="s">
        <v>54</v>
      </c>
      <c r="H48" s="21">
        <v>1</v>
      </c>
    </row>
    <row r="49" spans="2:8" hidden="1" x14ac:dyDescent="0.25">
      <c r="B49" s="101" t="s">
        <v>39</v>
      </c>
      <c r="C49" s="18" t="s">
        <v>30</v>
      </c>
      <c r="D49" s="21">
        <v>0</v>
      </c>
      <c r="F49" s="104" t="s">
        <v>39</v>
      </c>
      <c r="G49" s="18" t="s">
        <v>30</v>
      </c>
      <c r="H49" s="21">
        <v>0</v>
      </c>
    </row>
    <row r="50" spans="2:8" hidden="1" x14ac:dyDescent="0.25">
      <c r="B50" s="102"/>
      <c r="C50" s="18" t="s">
        <v>77</v>
      </c>
      <c r="D50" s="21">
        <v>2</v>
      </c>
      <c r="F50" s="105"/>
      <c r="G50" s="18" t="s">
        <v>55</v>
      </c>
      <c r="H50" s="21">
        <v>2</v>
      </c>
    </row>
    <row r="51" spans="2:8" hidden="1" x14ac:dyDescent="0.25">
      <c r="B51" s="103"/>
      <c r="C51" s="19" t="s">
        <v>96</v>
      </c>
      <c r="D51" s="19" t="s">
        <v>96</v>
      </c>
      <c r="F51" s="106"/>
      <c r="G51" s="18" t="s">
        <v>56</v>
      </c>
      <c r="H51" s="21">
        <v>4</v>
      </c>
    </row>
    <row r="52" spans="2:8" hidden="1" x14ac:dyDescent="0.25">
      <c r="B52" s="104" t="s">
        <v>40</v>
      </c>
      <c r="C52" s="18" t="s">
        <v>35</v>
      </c>
      <c r="D52" s="21">
        <v>0</v>
      </c>
      <c r="F52" s="104" t="s">
        <v>40</v>
      </c>
      <c r="G52" s="18" t="s">
        <v>35</v>
      </c>
      <c r="H52" s="21">
        <v>0</v>
      </c>
    </row>
    <row r="53" spans="2:8" hidden="1" x14ac:dyDescent="0.25">
      <c r="B53" s="106"/>
      <c r="C53" s="18" t="s">
        <v>73</v>
      </c>
      <c r="D53" s="21">
        <v>16</v>
      </c>
      <c r="F53" s="106"/>
      <c r="G53" s="18" t="s">
        <v>73</v>
      </c>
      <c r="H53" s="21">
        <v>16</v>
      </c>
    </row>
    <row r="54" spans="2:8" hidden="1" x14ac:dyDescent="0.25">
      <c r="B54" s="104" t="s">
        <v>43</v>
      </c>
      <c r="C54" s="18" t="s">
        <v>31</v>
      </c>
      <c r="D54" s="21">
        <v>1</v>
      </c>
      <c r="F54" s="104" t="s">
        <v>43</v>
      </c>
      <c r="G54" s="18" t="s">
        <v>31</v>
      </c>
      <c r="H54" s="21">
        <v>1</v>
      </c>
    </row>
    <row r="55" spans="2:8" hidden="1" x14ac:dyDescent="0.25">
      <c r="B55" s="106"/>
      <c r="C55" s="18" t="s">
        <v>74</v>
      </c>
      <c r="D55" s="21">
        <v>0</v>
      </c>
      <c r="F55" s="106"/>
      <c r="G55" s="18" t="s">
        <v>74</v>
      </c>
      <c r="H55" s="21">
        <v>0</v>
      </c>
    </row>
    <row r="56" spans="2:8" hidden="1" x14ac:dyDescent="0.25">
      <c r="B56" s="104" t="s">
        <v>61</v>
      </c>
      <c r="C56" s="18" t="s">
        <v>57</v>
      </c>
      <c r="D56" s="21">
        <v>0</v>
      </c>
      <c r="F56" s="104" t="s">
        <v>61</v>
      </c>
      <c r="G56" s="18" t="s">
        <v>57</v>
      </c>
      <c r="H56" s="21">
        <v>0</v>
      </c>
    </row>
    <row r="57" spans="2:8" hidden="1" x14ac:dyDescent="0.25">
      <c r="B57" s="105"/>
      <c r="C57" s="18" t="s">
        <v>78</v>
      </c>
      <c r="D57" s="21">
        <v>2</v>
      </c>
      <c r="F57" s="105"/>
      <c r="G57" s="18" t="s">
        <v>78</v>
      </c>
      <c r="H57" s="21">
        <v>2</v>
      </c>
    </row>
    <row r="58" spans="2:8" hidden="1" x14ac:dyDescent="0.25">
      <c r="B58" s="105"/>
      <c r="C58" s="18" t="s">
        <v>47</v>
      </c>
      <c r="D58" s="21">
        <v>3</v>
      </c>
      <c r="F58" s="105"/>
      <c r="G58" s="18" t="s">
        <v>47</v>
      </c>
      <c r="H58" s="21">
        <v>3</v>
      </c>
    </row>
    <row r="59" spans="2:8" hidden="1" x14ac:dyDescent="0.25">
      <c r="B59" s="106"/>
      <c r="C59" s="18" t="s">
        <v>79</v>
      </c>
      <c r="D59" s="21">
        <v>4</v>
      </c>
      <c r="F59" s="106"/>
      <c r="G59" s="18" t="s">
        <v>79</v>
      </c>
      <c r="H59" s="21">
        <v>4</v>
      </c>
    </row>
    <row r="60" spans="2:8" hidden="1" x14ac:dyDescent="0.25">
      <c r="B60" s="104" t="s">
        <v>27</v>
      </c>
      <c r="C60" s="18" t="s">
        <v>80</v>
      </c>
      <c r="D60" s="21">
        <v>0</v>
      </c>
      <c r="F60" s="104" t="s">
        <v>27</v>
      </c>
      <c r="G60" s="18" t="s">
        <v>80</v>
      </c>
      <c r="H60" s="21">
        <v>0</v>
      </c>
    </row>
    <row r="61" spans="2:8" hidden="1" x14ac:dyDescent="0.25">
      <c r="B61" s="105"/>
      <c r="C61" s="18" t="s">
        <v>48</v>
      </c>
      <c r="D61" s="21">
        <v>3</v>
      </c>
      <c r="F61" s="105"/>
      <c r="G61" s="18" t="s">
        <v>48</v>
      </c>
      <c r="H61" s="21">
        <v>6</v>
      </c>
    </row>
    <row r="62" spans="2:8" hidden="1" x14ac:dyDescent="0.25">
      <c r="B62" s="106"/>
      <c r="C62" s="18" t="s">
        <v>81</v>
      </c>
      <c r="D62" s="21">
        <v>5</v>
      </c>
      <c r="F62" s="106"/>
      <c r="G62" s="18" t="s">
        <v>81</v>
      </c>
      <c r="H62" s="21">
        <v>10</v>
      </c>
    </row>
    <row r="63" spans="2:8" hidden="1" x14ac:dyDescent="0.25">
      <c r="B63" s="104" t="s">
        <v>62</v>
      </c>
      <c r="C63" s="18" t="s">
        <v>33</v>
      </c>
      <c r="D63" s="21">
        <v>0</v>
      </c>
      <c r="F63" s="104" t="s">
        <v>62</v>
      </c>
      <c r="G63" s="18" t="s">
        <v>33</v>
      </c>
      <c r="H63" s="21">
        <v>0</v>
      </c>
    </row>
    <row r="64" spans="2:8" hidden="1" x14ac:dyDescent="0.25">
      <c r="B64" s="105"/>
      <c r="C64" s="18" t="s">
        <v>82</v>
      </c>
      <c r="D64" s="21">
        <v>0.5</v>
      </c>
      <c r="F64" s="105"/>
      <c r="G64" s="18" t="s">
        <v>82</v>
      </c>
      <c r="H64" s="21">
        <v>0.5</v>
      </c>
    </row>
    <row r="65" spans="2:8" hidden="1" x14ac:dyDescent="0.25">
      <c r="B65" s="105"/>
      <c r="C65" s="18" t="s">
        <v>83</v>
      </c>
      <c r="D65" s="21">
        <v>1</v>
      </c>
      <c r="F65" s="105"/>
      <c r="G65" s="18" t="s">
        <v>83</v>
      </c>
      <c r="H65" s="21">
        <v>1</v>
      </c>
    </row>
    <row r="66" spans="2:8" hidden="1" x14ac:dyDescent="0.25">
      <c r="B66" s="105"/>
      <c r="C66" s="18" t="s">
        <v>84</v>
      </c>
      <c r="D66" s="21">
        <v>1.5</v>
      </c>
      <c r="F66" s="105"/>
      <c r="G66" s="18" t="s">
        <v>84</v>
      </c>
      <c r="H66" s="21">
        <v>1.5</v>
      </c>
    </row>
    <row r="67" spans="2:8" hidden="1" x14ac:dyDescent="0.25">
      <c r="B67" s="105"/>
      <c r="C67" s="18" t="s">
        <v>85</v>
      </c>
      <c r="D67" s="21">
        <v>2</v>
      </c>
      <c r="F67" s="105"/>
      <c r="G67" s="18" t="s">
        <v>85</v>
      </c>
      <c r="H67" s="21">
        <v>2</v>
      </c>
    </row>
    <row r="68" spans="2:8" hidden="1" x14ac:dyDescent="0.25">
      <c r="B68" s="106"/>
      <c r="C68" s="18" t="s">
        <v>92</v>
      </c>
      <c r="D68" s="21">
        <v>4</v>
      </c>
      <c r="F68" s="106"/>
      <c r="G68" s="18" t="s">
        <v>92</v>
      </c>
      <c r="H68" s="21">
        <v>4</v>
      </c>
    </row>
    <row r="69" spans="2:8" hidden="1" x14ac:dyDescent="0.25">
      <c r="B69" s="104" t="s">
        <v>63</v>
      </c>
      <c r="C69" s="18" t="s">
        <v>34</v>
      </c>
      <c r="D69" s="21">
        <v>0</v>
      </c>
      <c r="F69" s="104" t="s">
        <v>63</v>
      </c>
      <c r="G69" s="18" t="s">
        <v>34</v>
      </c>
      <c r="H69" s="21">
        <v>0</v>
      </c>
    </row>
    <row r="70" spans="2:8" hidden="1" x14ac:dyDescent="0.25">
      <c r="B70" s="105"/>
      <c r="C70" s="18" t="s">
        <v>88</v>
      </c>
      <c r="D70" s="21">
        <v>0.5</v>
      </c>
      <c r="F70" s="105"/>
      <c r="G70" s="18" t="s">
        <v>93</v>
      </c>
      <c r="H70" s="21">
        <v>1</v>
      </c>
    </row>
    <row r="71" spans="2:8" hidden="1" x14ac:dyDescent="0.25">
      <c r="B71" s="105"/>
      <c r="C71" s="18" t="s">
        <v>89</v>
      </c>
      <c r="D71" s="21">
        <v>0.75</v>
      </c>
      <c r="F71" s="105"/>
      <c r="G71" s="18" t="s">
        <v>94</v>
      </c>
      <c r="H71" s="21">
        <v>2</v>
      </c>
    </row>
    <row r="72" spans="2:8" hidden="1" x14ac:dyDescent="0.25">
      <c r="B72" s="106"/>
      <c r="C72" s="18" t="s">
        <v>91</v>
      </c>
      <c r="D72" s="21">
        <v>1</v>
      </c>
      <c r="F72" s="105"/>
      <c r="G72" s="18" t="s">
        <v>86</v>
      </c>
      <c r="H72" s="21">
        <v>3</v>
      </c>
    </row>
    <row r="73" spans="2:8" hidden="1" x14ac:dyDescent="0.25">
      <c r="F73" s="105"/>
      <c r="G73" s="18" t="s">
        <v>87</v>
      </c>
      <c r="H73" s="21">
        <v>4</v>
      </c>
    </row>
    <row r="74" spans="2:8" hidden="1" x14ac:dyDescent="0.25">
      <c r="F74" s="106"/>
      <c r="G74" s="18" t="s">
        <v>95</v>
      </c>
      <c r="H74" s="21">
        <v>5</v>
      </c>
    </row>
  </sheetData>
  <mergeCells count="22">
    <mergeCell ref="F35:H35"/>
    <mergeCell ref="B49:B51"/>
    <mergeCell ref="B52:B53"/>
    <mergeCell ref="B54:B55"/>
    <mergeCell ref="B56:B59"/>
    <mergeCell ref="B35:D35"/>
    <mergeCell ref="B60:B62"/>
    <mergeCell ref="B63:B68"/>
    <mergeCell ref="B69:B72"/>
    <mergeCell ref="F37:F40"/>
    <mergeCell ref="F41:F46"/>
    <mergeCell ref="F47:F48"/>
    <mergeCell ref="F49:F51"/>
    <mergeCell ref="F52:F53"/>
    <mergeCell ref="B37:B40"/>
    <mergeCell ref="B41:B46"/>
    <mergeCell ref="B47:B48"/>
    <mergeCell ref="F54:F55"/>
    <mergeCell ref="F56:F59"/>
    <mergeCell ref="F60:F62"/>
    <mergeCell ref="F63:F68"/>
    <mergeCell ref="F69:F74"/>
  </mergeCells>
  <dataValidations count="13">
    <dataValidation type="list" allowBlank="1" showInputMessage="1" showErrorMessage="1" sqref="C3" xr:uid="{FC7BFE12-E2AB-4E4E-A0A2-C8C59155596A}">
      <formula1>$C$41:$C$46</formula1>
    </dataValidation>
    <dataValidation type="list" allowBlank="1" showInputMessage="1" showErrorMessage="1" sqref="C2" xr:uid="{88CDA033-027E-4BFB-8780-E7C017ED55CB}">
      <formula1>$G$37:$G$39</formula1>
    </dataValidation>
    <dataValidation type="list" allowBlank="1" showInputMessage="1" showErrorMessage="1" sqref="C4" xr:uid="{96B6F271-A148-4CC5-ABF7-6697FF4400AB}">
      <formula1>$G$47:$G$48</formula1>
    </dataValidation>
    <dataValidation type="list" allowBlank="1" showInputMessage="1" showErrorMessage="1" sqref="C5" xr:uid="{EF40446A-FD4B-4F6F-9597-FE361A604F1B}">
      <formula1>$G$49:$G$51</formula1>
    </dataValidation>
    <dataValidation type="list" allowBlank="1" showInputMessage="1" showErrorMessage="1" sqref="C6" xr:uid="{CADCC540-DF2B-48A0-909E-27BBEDBDD84F}">
      <formula1>$G$52:$G$53</formula1>
    </dataValidation>
    <dataValidation type="list" allowBlank="1" showInputMessage="1" showErrorMessage="1" sqref="C7" xr:uid="{2C8AFC25-1451-47C2-927E-2F1873E6F4C1}">
      <formula1>$G$63:$G$68</formula1>
    </dataValidation>
    <dataValidation type="list" allowBlank="1" showInputMessage="1" showErrorMessage="1" sqref="C8" xr:uid="{530C2A1D-3012-405B-950A-4677A4C66C82}">
      <formula1>$G$69:$G$74</formula1>
    </dataValidation>
    <dataValidation type="list" allowBlank="1" showInputMessage="1" showErrorMessage="1" sqref="C9" xr:uid="{9C38F7B1-CD1E-42A4-ACE3-FA59E191C799}">
      <formula1>$G$54:$G$55</formula1>
    </dataValidation>
    <dataValidation type="list" allowBlank="1" showInputMessage="1" showErrorMessage="1" sqref="C10" xr:uid="{4BC45111-736F-4E03-9F81-56833F2DC081}">
      <formula1>$G$56:$G$59</formula1>
    </dataValidation>
    <dataValidation type="list" allowBlank="1" showInputMessage="1" showErrorMessage="1" sqref="C17 C14 C11" xr:uid="{3BF2BD44-970E-49BC-9BCB-318E041A56E3}">
      <formula1>$G$60:$G$62</formula1>
    </dataValidation>
    <dataValidation type="list" allowBlank="1" showInputMessage="1" showErrorMessage="1" sqref="C19 C26" xr:uid="{735F24F9-0A0C-459B-B465-53F53CCDA1B0}">
      <formula1>"Yes,No"</formula1>
    </dataValidation>
    <dataValidation type="date" allowBlank="1" showInputMessage="1" showErrorMessage="1" errorTitle="Data Type Error" error="Should be Data" sqref="C21 C28" xr:uid="{6190563D-B1D8-444F-993A-247A29CC779B}">
      <formula1>16438</formula1>
      <formula2>401769</formula2>
    </dataValidation>
    <dataValidation type="list" allowBlank="1" showInputMessage="1" showErrorMessage="1" sqref="C16" xr:uid="{69E9CF2F-E0F7-4873-8874-76B2CD924464}">
      <formula1>"No,Yes"</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2CAB-94D7-49FD-AD19-D7AA897A4F3F}">
  <sheetPr codeName="Sheet19">
    <tabColor rgb="FFA3B8BA"/>
  </sheetPr>
  <dimension ref="A1:F60"/>
  <sheetViews>
    <sheetView showGridLines="0" showRowColHeaders="0" zoomScaleNormal="100" workbookViewId="0">
      <selection activeCell="D28" sqref="D28"/>
    </sheetView>
  </sheetViews>
  <sheetFormatPr defaultColWidth="0" defaultRowHeight="14.45" customHeight="1" zeroHeight="1" x14ac:dyDescent="0.25"/>
  <cols>
    <col min="1" max="1" width="5.42578125" customWidth="1"/>
    <col min="2" max="2" width="32.140625" customWidth="1"/>
    <col min="3" max="3" width="18.85546875" customWidth="1"/>
    <col min="4" max="4" width="8" bestFit="1" customWidth="1"/>
    <col min="5" max="5" width="8" hidden="1" customWidth="1"/>
    <col min="6" max="6" width="4.5703125" hidden="1" customWidth="1"/>
  </cols>
  <sheetData>
    <row r="1" spans="1:3" ht="15" x14ac:dyDescent="0.25">
      <c r="A1" s="9" t="s">
        <v>107</v>
      </c>
    </row>
    <row r="2" spans="1:3" ht="15" x14ac:dyDescent="0.25">
      <c r="B2" t="s">
        <v>108</v>
      </c>
      <c r="C2" s="22" t="s">
        <v>26</v>
      </c>
    </row>
    <row r="3" spans="1:3" ht="15" x14ac:dyDescent="0.25">
      <c r="B3" t="s">
        <v>109</v>
      </c>
      <c r="C3" s="22" t="s">
        <v>26</v>
      </c>
    </row>
    <row r="4" spans="1:3" ht="15" x14ac:dyDescent="0.25">
      <c r="B4" t="s">
        <v>110</v>
      </c>
      <c r="C4" s="29">
        <v>0.2</v>
      </c>
    </row>
    <row r="5" spans="1:3" ht="15" x14ac:dyDescent="0.25"/>
    <row r="6" spans="1:3" ht="15" x14ac:dyDescent="0.25">
      <c r="A6" s="9" t="s">
        <v>112</v>
      </c>
    </row>
    <row r="7" spans="1:3" ht="15" x14ac:dyDescent="0.25">
      <c r="B7" t="s">
        <v>111</v>
      </c>
      <c r="C7" s="22" t="s">
        <v>35</v>
      </c>
    </row>
    <row r="8" spans="1:3" ht="15" x14ac:dyDescent="0.25">
      <c r="B8" t="s">
        <v>114</v>
      </c>
      <c r="C8" s="29">
        <v>0.25</v>
      </c>
    </row>
    <row r="9" spans="1:3" ht="15" x14ac:dyDescent="0.25">
      <c r="B9" t="s">
        <v>113</v>
      </c>
      <c r="C9" s="29">
        <v>0.5</v>
      </c>
    </row>
    <row r="10" spans="1:3" ht="15" x14ac:dyDescent="0.25"/>
    <row r="11" spans="1:3" ht="15" x14ac:dyDescent="0.25">
      <c r="A11" s="9" t="s">
        <v>116</v>
      </c>
    </row>
    <row r="12" spans="1:3" ht="15" x14ac:dyDescent="0.25">
      <c r="B12" t="s">
        <v>118</v>
      </c>
      <c r="C12" s="22" t="s">
        <v>122</v>
      </c>
    </row>
    <row r="13" spans="1:3" ht="15" x14ac:dyDescent="0.25">
      <c r="B13" t="s">
        <v>115</v>
      </c>
      <c r="C13" s="26">
        <v>0</v>
      </c>
    </row>
    <row r="14" spans="1:3" ht="15" x14ac:dyDescent="0.25">
      <c r="B14" t="s">
        <v>117</v>
      </c>
      <c r="C14" s="26">
        <v>0</v>
      </c>
    </row>
    <row r="15" spans="1:3" ht="15" x14ac:dyDescent="0.25"/>
    <row r="16" spans="1:3" ht="15" x14ac:dyDescent="0.25">
      <c r="A16" s="9" t="s">
        <v>119</v>
      </c>
    </row>
    <row r="17" spans="1:3" ht="15" x14ac:dyDescent="0.25">
      <c r="B17" t="s">
        <v>120</v>
      </c>
      <c r="C17" s="26">
        <v>1</v>
      </c>
    </row>
    <row r="18" spans="1:3" ht="15" x14ac:dyDescent="0.25">
      <c r="B18" t="s">
        <v>121</v>
      </c>
      <c r="C18" s="26">
        <v>1</v>
      </c>
    </row>
    <row r="19" spans="1:3" ht="15" x14ac:dyDescent="0.25"/>
    <row r="20" spans="1:3" ht="15" x14ac:dyDescent="0.25">
      <c r="A20" s="9" t="s">
        <v>261</v>
      </c>
    </row>
    <row r="21" spans="1:3" ht="15" x14ac:dyDescent="0.25">
      <c r="B21" t="s">
        <v>260</v>
      </c>
      <c r="C21" s="22" t="s">
        <v>26</v>
      </c>
    </row>
    <row r="22" spans="1:3" ht="15" x14ac:dyDescent="0.25"/>
    <row r="23" spans="1:3" ht="15" x14ac:dyDescent="0.25">
      <c r="A23" s="9" t="s">
        <v>105</v>
      </c>
      <c r="C23" s="24"/>
    </row>
    <row r="24" spans="1:3" ht="15" x14ac:dyDescent="0.25">
      <c r="B24" t="s">
        <v>64</v>
      </c>
      <c r="C24" s="22" t="s">
        <v>26</v>
      </c>
    </row>
    <row r="25" spans="1:3" ht="15" x14ac:dyDescent="0.25">
      <c r="B25" t="s">
        <v>65</v>
      </c>
      <c r="C25" s="22">
        <v>60</v>
      </c>
    </row>
    <row r="26" spans="1:3" ht="15" x14ac:dyDescent="0.25">
      <c r="B26" t="s">
        <v>66</v>
      </c>
      <c r="C26" s="23">
        <v>39448</v>
      </c>
    </row>
    <row r="27" spans="1:3" ht="15" x14ac:dyDescent="0.25">
      <c r="B27" t="s">
        <v>67</v>
      </c>
      <c r="C27" s="29">
        <v>0.25</v>
      </c>
    </row>
    <row r="28" spans="1:3" ht="15" x14ac:dyDescent="0.25">
      <c r="B28" t="s">
        <v>68</v>
      </c>
      <c r="C28" s="29">
        <v>1</v>
      </c>
    </row>
    <row r="29" spans="1:3" ht="15" x14ac:dyDescent="0.25">
      <c r="C29" s="25"/>
    </row>
    <row r="30" spans="1:3" ht="15" hidden="1" x14ac:dyDescent="0.25">
      <c r="A30" s="9" t="s">
        <v>106</v>
      </c>
      <c r="C30" s="24"/>
    </row>
    <row r="31" spans="1:3" ht="15" hidden="1" x14ac:dyDescent="0.25">
      <c r="B31" t="s">
        <v>64</v>
      </c>
      <c r="C31" s="22" t="s">
        <v>26</v>
      </c>
    </row>
    <row r="32" spans="1:3" ht="15" hidden="1" x14ac:dyDescent="0.25">
      <c r="B32" t="s">
        <v>65</v>
      </c>
      <c r="C32" s="22">
        <v>60</v>
      </c>
    </row>
    <row r="33" spans="1:6" ht="15" hidden="1" x14ac:dyDescent="0.25">
      <c r="B33" t="s">
        <v>66</v>
      </c>
      <c r="C33" s="23">
        <v>39448</v>
      </c>
    </row>
    <row r="34" spans="1:6" ht="15" hidden="1" x14ac:dyDescent="0.25">
      <c r="B34" t="s">
        <v>67</v>
      </c>
      <c r="C34" s="29">
        <v>0.25</v>
      </c>
    </row>
    <row r="35" spans="1:6" ht="15" hidden="1" x14ac:dyDescent="0.25">
      <c r="B35" t="s">
        <v>68</v>
      </c>
      <c r="C35" s="29">
        <v>1</v>
      </c>
    </row>
    <row r="36" spans="1:6" ht="15" hidden="1" x14ac:dyDescent="0.25"/>
    <row r="37" spans="1:6" ht="15" hidden="1" x14ac:dyDescent="0.25">
      <c r="A37" s="9" t="s">
        <v>249</v>
      </c>
    </row>
    <row r="38" spans="1:6" ht="14.45" hidden="1" customHeight="1" x14ac:dyDescent="0.25">
      <c r="B38" s="113" t="s">
        <v>250</v>
      </c>
      <c r="C38" s="115" t="s">
        <v>251</v>
      </c>
      <c r="D38" s="109" t="s">
        <v>255</v>
      </c>
      <c r="E38" s="107" t="s">
        <v>256</v>
      </c>
      <c r="F38" s="47"/>
    </row>
    <row r="39" spans="1:6" ht="15" hidden="1" x14ac:dyDescent="0.25">
      <c r="B39" s="114"/>
      <c r="C39" s="116"/>
      <c r="D39" s="110"/>
      <c r="E39" s="108"/>
    </row>
    <row r="40" spans="1:6" ht="15" hidden="1" x14ac:dyDescent="0.25">
      <c r="B40" s="46">
        <v>0</v>
      </c>
      <c r="C40" s="48">
        <v>1</v>
      </c>
      <c r="D40" s="53">
        <v>0.313726</v>
      </c>
      <c r="E40" s="54">
        <v>0.54901999999999995</v>
      </c>
    </row>
    <row r="41" spans="1:6" ht="15" hidden="1" x14ac:dyDescent="0.25">
      <c r="B41" s="46">
        <v>1</v>
      </c>
      <c r="C41" s="51">
        <v>1.2</v>
      </c>
      <c r="D41" s="53">
        <v>0.27450999999999998</v>
      </c>
      <c r="E41" s="54">
        <v>0.50980400000000003</v>
      </c>
    </row>
    <row r="42" spans="1:6" ht="15" hidden="1" x14ac:dyDescent="0.25">
      <c r="A42" s="52"/>
      <c r="B42" s="50">
        <v>1.2</v>
      </c>
      <c r="C42" s="58">
        <v>1.4</v>
      </c>
      <c r="D42" s="59">
        <v>0.235295</v>
      </c>
      <c r="E42" s="54">
        <v>0.47058899999999998</v>
      </c>
    </row>
    <row r="43" spans="1:6" ht="15" hidden="1" x14ac:dyDescent="0.25">
      <c r="A43" s="52"/>
      <c r="B43" s="50">
        <v>1.4</v>
      </c>
      <c r="C43" s="49">
        <v>1.6</v>
      </c>
      <c r="D43" s="54">
        <v>0.196079</v>
      </c>
      <c r="E43" s="54">
        <v>0.43137300000000001</v>
      </c>
    </row>
    <row r="44" spans="1:6" ht="15" hidden="1" x14ac:dyDescent="0.25">
      <c r="B44" s="46">
        <v>1.6</v>
      </c>
      <c r="C44" s="51">
        <v>999</v>
      </c>
      <c r="D44" s="54">
        <v>0.156863</v>
      </c>
      <c r="E44" s="54">
        <v>0.39215699999999998</v>
      </c>
    </row>
    <row r="45" spans="1:6" ht="15" hidden="1" x14ac:dyDescent="0.25">
      <c r="B45" s="46"/>
      <c r="C45" s="51"/>
      <c r="D45" s="57"/>
      <c r="E45" s="57"/>
    </row>
    <row r="46" spans="1:6" ht="15" hidden="1" x14ac:dyDescent="0.25">
      <c r="B46" s="46"/>
      <c r="C46" s="51"/>
      <c r="D46" s="57"/>
      <c r="E46" s="57"/>
    </row>
    <row r="48" spans="1:6" ht="15" hidden="1" x14ac:dyDescent="0.25">
      <c r="A48" s="9" t="s">
        <v>252</v>
      </c>
    </row>
    <row r="49" spans="1:5" ht="14.45" hidden="1" customHeight="1" x14ac:dyDescent="0.25">
      <c r="B49" s="113" t="s">
        <v>253</v>
      </c>
      <c r="C49" s="115" t="s">
        <v>254</v>
      </c>
      <c r="D49" s="109" t="s">
        <v>255</v>
      </c>
      <c r="E49" s="111" t="s">
        <v>256</v>
      </c>
    </row>
    <row r="50" spans="1:5" ht="15" hidden="1" x14ac:dyDescent="0.25">
      <c r="B50" s="114"/>
      <c r="C50" s="116"/>
      <c r="D50" s="110"/>
      <c r="E50" s="112"/>
    </row>
    <row r="51" spans="1:5" ht="15" hidden="1" x14ac:dyDescent="0.25">
      <c r="B51" s="46">
        <v>0</v>
      </c>
      <c r="C51" s="48">
        <v>40</v>
      </c>
      <c r="D51" s="54">
        <v>0.42016806722689098</v>
      </c>
      <c r="E51" s="54">
        <v>0.53571400000000002</v>
      </c>
    </row>
    <row r="52" spans="1:5" ht="15" hidden="1" x14ac:dyDescent="0.25">
      <c r="B52" s="46">
        <v>40</v>
      </c>
      <c r="C52" s="51">
        <v>55</v>
      </c>
      <c r="D52" s="53">
        <v>0.42016806722689098</v>
      </c>
      <c r="E52" s="54">
        <v>0.53571400000000002</v>
      </c>
    </row>
    <row r="53" spans="1:5" ht="15" hidden="1" x14ac:dyDescent="0.25">
      <c r="A53" s="52"/>
      <c r="B53" s="50">
        <v>55</v>
      </c>
      <c r="C53" s="49">
        <v>70</v>
      </c>
      <c r="D53" s="54">
        <v>0.42016806722689098</v>
      </c>
      <c r="E53" s="54">
        <v>0.53571400000000002</v>
      </c>
    </row>
    <row r="54" spans="1:5" ht="15" hidden="1" x14ac:dyDescent="0.25">
      <c r="A54" s="52"/>
      <c r="B54" s="50">
        <v>70</v>
      </c>
      <c r="C54" s="49">
        <v>85</v>
      </c>
      <c r="D54" s="54">
        <v>0.42016806722689098</v>
      </c>
      <c r="E54" s="54">
        <v>0.53571400000000002</v>
      </c>
    </row>
    <row r="55" spans="1:5" ht="15" hidden="1" x14ac:dyDescent="0.25">
      <c r="B55" s="46">
        <v>85</v>
      </c>
      <c r="C55" s="51">
        <v>100</v>
      </c>
      <c r="D55" s="55">
        <v>0.42016806722689098</v>
      </c>
      <c r="E55" s="56">
        <v>0.53571400000000002</v>
      </c>
    </row>
    <row r="56" spans="1:5" ht="15" hidden="1" x14ac:dyDescent="0.25">
      <c r="B56" s="46">
        <v>100</v>
      </c>
      <c r="C56" s="46">
        <v>115</v>
      </c>
      <c r="D56" s="56">
        <v>0.42016806722689098</v>
      </c>
      <c r="E56" s="56">
        <v>0.53571400000000002</v>
      </c>
    </row>
    <row r="57" spans="1:5" ht="15" hidden="1" x14ac:dyDescent="0.25">
      <c r="B57" s="46">
        <v>115</v>
      </c>
      <c r="C57" s="46">
        <v>999</v>
      </c>
      <c r="D57" s="56">
        <v>0.42016806722689098</v>
      </c>
      <c r="E57" s="56">
        <v>0.53571400000000002</v>
      </c>
    </row>
    <row r="58" spans="1:5" ht="15" hidden="1" x14ac:dyDescent="0.25">
      <c r="B58" s="46"/>
      <c r="C58" s="46"/>
      <c r="D58" s="46"/>
      <c r="E58" s="46"/>
    </row>
    <row r="60" spans="1:5" ht="15" hidden="1" x14ac:dyDescent="0.25"/>
  </sheetData>
  <mergeCells count="8">
    <mergeCell ref="B38:B39"/>
    <mergeCell ref="C38:C39"/>
    <mergeCell ref="D38:D39"/>
    <mergeCell ref="E38:E39"/>
    <mergeCell ref="B49:B50"/>
    <mergeCell ref="C49:C50"/>
    <mergeCell ref="D49:D50"/>
    <mergeCell ref="E49:E50"/>
  </mergeCells>
  <dataValidations count="3">
    <dataValidation type="list" allowBlank="1" showInputMessage="1" showErrorMessage="1" sqref="C12 C21" xr:uid="{E50E0FC5-649D-4437-8E85-C727280FBE14}">
      <formula1>"No,Yes"</formula1>
    </dataValidation>
    <dataValidation type="list" allowBlank="1" showInputMessage="1" showErrorMessage="1" sqref="C24 C31 C2:C3" xr:uid="{5B6EC9C9-1699-42D2-9A0B-EA41F36C8141}">
      <formula1>"Yes,No"</formula1>
    </dataValidation>
    <dataValidation type="date" allowBlank="1" showInputMessage="1" showErrorMessage="1" errorTitle="Data Type Error" error="Should be Data" sqref="C26 C33" xr:uid="{FCC19481-4289-4353-A279-C8F13D8E895F}">
      <formula1>16438</formula1>
      <formula2>401769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7" r:id="rId3" name="Spinner 1">
              <controlPr defaultSize="0" autoPict="0" macro="[0]!ThisWorkbook.ShowSplitTypeSheet2">
                <anchor moveWithCells="1" sizeWithCells="1">
                  <from>
                    <xdr:col>2</xdr:col>
                    <xdr:colOff>1133475</xdr:colOff>
                    <xdr:row>6</xdr:row>
                    <xdr:rowOff>9525</xdr:rowOff>
                  </from>
                  <to>
                    <xdr:col>2</xdr:col>
                    <xdr:colOff>1295400</xdr:colOff>
                    <xdr:row>6</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17D0-4A73-4F34-B452-F681AEED2A7A}">
  <sheetPr codeName="Sheet11">
    <tabColor rgb="FFA3B8BA"/>
  </sheetPr>
  <dimension ref="A1:K200"/>
  <sheetViews>
    <sheetView workbookViewId="0">
      <selection activeCell="A2" sqref="A2:C6"/>
    </sheetView>
  </sheetViews>
  <sheetFormatPr defaultColWidth="0" defaultRowHeight="15" zeroHeight="1" x14ac:dyDescent="0.25"/>
  <cols>
    <col min="1" max="1" width="11.140625" customWidth="1"/>
    <col min="2" max="2" width="16.5703125" bestFit="1" customWidth="1"/>
    <col min="3" max="3" width="14" bestFit="1" customWidth="1"/>
    <col min="4" max="4" width="10" bestFit="1" customWidth="1"/>
    <col min="5" max="5" width="18.42578125" bestFit="1" customWidth="1"/>
    <col min="6" max="6" width="19.5703125" bestFit="1" customWidth="1"/>
    <col min="7" max="7" width="14.85546875" bestFit="1" customWidth="1"/>
    <col min="8" max="8" width="14.42578125" bestFit="1" customWidth="1"/>
    <col min="9" max="9" width="13.42578125" bestFit="1" customWidth="1"/>
    <col min="10" max="10" width="13.42578125" customWidth="1"/>
    <col min="11" max="11" width="13.85546875" bestFit="1" customWidth="1"/>
    <col min="12" max="16384" width="8.85546875" hidden="1"/>
  </cols>
  <sheetData>
    <row r="1" spans="1:11" x14ac:dyDescent="0.25">
      <c r="A1" s="71" t="s">
        <v>0</v>
      </c>
      <c r="B1" s="71" t="s">
        <v>17</v>
      </c>
      <c r="C1" s="71" t="s">
        <v>18</v>
      </c>
      <c r="D1" s="71" t="s">
        <v>22</v>
      </c>
      <c r="E1" s="71" t="s">
        <v>23</v>
      </c>
      <c r="F1" s="71" t="s">
        <v>24</v>
      </c>
      <c r="G1" s="71" t="s">
        <v>270</v>
      </c>
      <c r="H1" s="71" t="s">
        <v>25</v>
      </c>
      <c r="I1" s="71" t="s">
        <v>274</v>
      </c>
      <c r="J1" s="71" t="s">
        <v>271</v>
      </c>
      <c r="K1" s="71" t="s">
        <v>258</v>
      </c>
    </row>
    <row r="2" spans="1:11" x14ac:dyDescent="0.25">
      <c r="A2" s="25"/>
      <c r="B2" s="25"/>
      <c r="C2" s="25"/>
      <c r="D2" s="25"/>
      <c r="E2" s="25"/>
      <c r="F2" s="25"/>
      <c r="G2" s="25"/>
      <c r="H2" s="25"/>
      <c r="I2" s="25"/>
      <c r="J2" s="25"/>
      <c r="K2" s="25"/>
    </row>
    <row r="3" spans="1:11" x14ac:dyDescent="0.25">
      <c r="A3" s="25"/>
      <c r="B3" s="25"/>
      <c r="C3" s="25"/>
      <c r="D3" s="25"/>
      <c r="E3" s="25"/>
      <c r="F3" s="25"/>
      <c r="G3" s="25"/>
      <c r="H3" s="25"/>
      <c r="I3" s="25"/>
      <c r="J3" s="25"/>
      <c r="K3" s="25"/>
    </row>
    <row r="4" spans="1:11" x14ac:dyDescent="0.25">
      <c r="A4" s="25"/>
      <c r="B4" s="25"/>
      <c r="C4" s="25"/>
      <c r="D4" s="25"/>
      <c r="E4" s="25"/>
      <c r="F4" s="25"/>
      <c r="G4" s="25"/>
      <c r="H4" s="25"/>
      <c r="I4" s="25"/>
      <c r="J4" s="25"/>
      <c r="K4" s="25"/>
    </row>
    <row r="5" spans="1:11" x14ac:dyDescent="0.25">
      <c r="A5" s="25"/>
      <c r="B5" s="25"/>
      <c r="C5" s="25"/>
      <c r="D5" s="25"/>
      <c r="E5" s="25"/>
      <c r="F5" s="25"/>
      <c r="G5" s="25"/>
      <c r="H5" s="25"/>
      <c r="I5" s="25"/>
      <c r="J5" s="25"/>
      <c r="K5" s="25"/>
    </row>
    <row r="6" spans="1:11" x14ac:dyDescent="0.25">
      <c r="A6" s="25"/>
      <c r="B6" s="25"/>
      <c r="C6" s="25"/>
      <c r="D6" s="25"/>
      <c r="E6" s="25"/>
      <c r="F6" s="25"/>
      <c r="G6" s="25"/>
      <c r="H6" s="25"/>
      <c r="I6" s="25"/>
      <c r="J6" s="25"/>
      <c r="K6" s="25"/>
    </row>
    <row r="7" spans="1:11" x14ac:dyDescent="0.25">
      <c r="A7" s="25"/>
      <c r="B7" s="25"/>
      <c r="C7" s="25"/>
      <c r="D7" s="25"/>
      <c r="E7" s="25"/>
      <c r="F7" s="25"/>
      <c r="G7" s="25"/>
      <c r="H7" s="25"/>
      <c r="I7" s="25"/>
      <c r="J7" s="25"/>
      <c r="K7" s="25"/>
    </row>
    <row r="8" spans="1:11" x14ac:dyDescent="0.25">
      <c r="A8" s="25"/>
      <c r="B8" s="25"/>
      <c r="C8" s="25"/>
      <c r="D8" s="25"/>
      <c r="E8" s="25"/>
      <c r="F8" s="25"/>
      <c r="G8" s="25"/>
      <c r="H8" s="25"/>
      <c r="I8" s="25"/>
      <c r="J8" s="25"/>
      <c r="K8" s="25"/>
    </row>
    <row r="9" spans="1:11" x14ac:dyDescent="0.25">
      <c r="A9" s="25"/>
      <c r="B9" s="25"/>
      <c r="C9" s="25"/>
      <c r="D9" s="25"/>
      <c r="E9" s="25"/>
      <c r="F9" s="25"/>
      <c r="G9" s="25"/>
      <c r="H9" s="25"/>
      <c r="I9" s="25"/>
      <c r="J9" s="25"/>
      <c r="K9" s="25"/>
    </row>
    <row r="10" spans="1:11" x14ac:dyDescent="0.25">
      <c r="A10" s="25"/>
      <c r="B10" s="25"/>
      <c r="C10" s="25"/>
      <c r="D10" s="25"/>
      <c r="E10" s="25"/>
      <c r="F10" s="25"/>
      <c r="G10" s="25"/>
      <c r="H10" s="25"/>
      <c r="I10" s="25"/>
      <c r="J10" s="25"/>
      <c r="K10" s="25"/>
    </row>
    <row r="11" spans="1:11" x14ac:dyDescent="0.25">
      <c r="A11" s="25"/>
      <c r="B11" s="25"/>
      <c r="C11" s="25"/>
      <c r="D11" s="25"/>
      <c r="E11" s="25"/>
      <c r="F11" s="25"/>
      <c r="G11" s="25"/>
      <c r="H11" s="25"/>
      <c r="I11" s="25"/>
      <c r="J11" s="25"/>
      <c r="K11" s="25"/>
    </row>
    <row r="12" spans="1:11" x14ac:dyDescent="0.25">
      <c r="A12" s="25"/>
      <c r="B12" s="25"/>
      <c r="C12" s="25"/>
      <c r="D12" s="25"/>
      <c r="E12" s="25"/>
      <c r="F12" s="25"/>
      <c r="G12" s="25"/>
      <c r="H12" s="25"/>
      <c r="I12" s="25"/>
      <c r="J12" s="25"/>
      <c r="K12" s="25"/>
    </row>
    <row r="13" spans="1:11" x14ac:dyDescent="0.25">
      <c r="A13" s="25"/>
      <c r="B13" s="25"/>
      <c r="C13" s="25"/>
      <c r="D13" s="25"/>
      <c r="E13" s="25"/>
      <c r="F13" s="25"/>
      <c r="G13" s="25"/>
      <c r="H13" s="25"/>
      <c r="I13" s="25"/>
      <c r="J13" s="25"/>
      <c r="K13" s="25"/>
    </row>
    <row r="14" spans="1:11" x14ac:dyDescent="0.25">
      <c r="A14" s="25"/>
      <c r="B14" s="25"/>
      <c r="C14" s="25"/>
      <c r="D14" s="25"/>
      <c r="E14" s="25"/>
      <c r="F14" s="25"/>
      <c r="G14" s="25"/>
      <c r="H14" s="25"/>
      <c r="I14" s="25"/>
      <c r="J14" s="25"/>
      <c r="K14" s="25"/>
    </row>
    <row r="15" spans="1:11" x14ac:dyDescent="0.25">
      <c r="A15" s="25"/>
      <c r="B15" s="25"/>
      <c r="C15" s="25"/>
      <c r="D15" s="25"/>
      <c r="E15" s="25"/>
      <c r="F15" s="25"/>
      <c r="G15" s="25"/>
      <c r="H15" s="25"/>
      <c r="I15" s="25"/>
      <c r="J15" s="25"/>
      <c r="K15" s="25"/>
    </row>
    <row r="16" spans="1:11" x14ac:dyDescent="0.25">
      <c r="A16" s="25"/>
      <c r="B16" s="25"/>
      <c r="C16" s="25"/>
      <c r="D16" s="25"/>
      <c r="E16" s="25"/>
      <c r="F16" s="25"/>
      <c r="G16" s="25"/>
      <c r="H16" s="25"/>
      <c r="I16" s="25"/>
      <c r="J16" s="25"/>
      <c r="K16" s="25"/>
    </row>
    <row r="17" spans="1:11" x14ac:dyDescent="0.25">
      <c r="A17" s="25"/>
      <c r="B17" s="25"/>
      <c r="C17" s="25"/>
      <c r="D17" s="25"/>
      <c r="E17" s="25"/>
      <c r="F17" s="25"/>
      <c r="G17" s="25"/>
      <c r="H17" s="25"/>
      <c r="I17" s="25"/>
      <c r="J17" s="25"/>
      <c r="K17" s="25"/>
    </row>
    <row r="18" spans="1:11" x14ac:dyDescent="0.25">
      <c r="A18" s="25"/>
      <c r="B18" s="25"/>
      <c r="C18" s="25"/>
      <c r="D18" s="25"/>
      <c r="E18" s="25"/>
      <c r="F18" s="25"/>
      <c r="G18" s="25"/>
      <c r="H18" s="25"/>
      <c r="I18" s="25"/>
      <c r="J18" s="25"/>
      <c r="K18" s="25"/>
    </row>
    <row r="19" spans="1:11" x14ac:dyDescent="0.25">
      <c r="A19" s="25"/>
      <c r="B19" s="25"/>
      <c r="C19" s="25"/>
      <c r="D19" s="25"/>
      <c r="E19" s="25"/>
      <c r="F19" s="25"/>
      <c r="G19" s="25"/>
      <c r="H19" s="25"/>
      <c r="I19" s="25"/>
      <c r="J19" s="25"/>
      <c r="K19" s="25"/>
    </row>
    <row r="20" spans="1:11" x14ac:dyDescent="0.25">
      <c r="A20" s="25"/>
      <c r="B20" s="25"/>
      <c r="C20" s="25"/>
      <c r="D20" s="25"/>
      <c r="E20" s="25"/>
      <c r="F20" s="25"/>
      <c r="G20" s="25"/>
      <c r="H20" s="25"/>
      <c r="I20" s="25"/>
      <c r="J20" s="25"/>
      <c r="K20" s="25"/>
    </row>
    <row r="21" spans="1:11" x14ac:dyDescent="0.25">
      <c r="A21" s="25"/>
      <c r="B21" s="25"/>
      <c r="C21" s="25"/>
      <c r="D21" s="25"/>
      <c r="E21" s="25"/>
      <c r="F21" s="25"/>
      <c r="G21" s="25"/>
      <c r="H21" s="25"/>
      <c r="I21" s="25"/>
      <c r="J21" s="25"/>
      <c r="K21" s="25"/>
    </row>
    <row r="22" spans="1:11" x14ac:dyDescent="0.25">
      <c r="A22" s="25"/>
      <c r="B22" s="25"/>
      <c r="C22" s="25"/>
      <c r="D22" s="25"/>
      <c r="E22" s="25"/>
      <c r="F22" s="25"/>
      <c r="G22" s="25"/>
      <c r="H22" s="25"/>
      <c r="I22" s="25"/>
      <c r="J22" s="25"/>
      <c r="K22" s="25"/>
    </row>
    <row r="23" spans="1:11" x14ac:dyDescent="0.25">
      <c r="A23" s="25"/>
      <c r="B23" s="25"/>
      <c r="C23" s="25"/>
      <c r="D23" s="25"/>
      <c r="E23" s="25"/>
      <c r="F23" s="25"/>
      <c r="G23" s="25"/>
      <c r="H23" s="25"/>
      <c r="I23" s="25"/>
      <c r="J23" s="25"/>
      <c r="K23" s="25"/>
    </row>
    <row r="24" spans="1:11" x14ac:dyDescent="0.25">
      <c r="A24" s="25"/>
      <c r="B24" s="25"/>
      <c r="C24" s="25"/>
      <c r="D24" s="25"/>
      <c r="E24" s="25"/>
      <c r="F24" s="25"/>
      <c r="G24" s="25"/>
      <c r="H24" s="25"/>
      <c r="I24" s="25"/>
      <c r="J24" s="25"/>
      <c r="K24" s="25"/>
    </row>
    <row r="25" spans="1:11" x14ac:dyDescent="0.25">
      <c r="A25" s="25"/>
      <c r="B25" s="25"/>
      <c r="C25" s="25"/>
      <c r="D25" s="25"/>
      <c r="E25" s="25"/>
      <c r="F25" s="25"/>
      <c r="G25" s="25"/>
      <c r="H25" s="25"/>
      <c r="I25" s="25"/>
      <c r="J25" s="25"/>
      <c r="K25" s="25"/>
    </row>
    <row r="26" spans="1:11" x14ac:dyDescent="0.25">
      <c r="A26" s="25"/>
      <c r="B26" s="25"/>
      <c r="C26" s="25"/>
      <c r="D26" s="25"/>
      <c r="E26" s="25"/>
      <c r="F26" s="25"/>
      <c r="G26" s="25"/>
      <c r="H26" s="25"/>
      <c r="I26" s="25"/>
      <c r="J26" s="25"/>
      <c r="K26" s="25"/>
    </row>
    <row r="27" spans="1:11" x14ac:dyDescent="0.25">
      <c r="A27" s="25"/>
      <c r="B27" s="25"/>
      <c r="C27" s="25"/>
      <c r="D27" s="25"/>
      <c r="E27" s="25"/>
      <c r="F27" s="25"/>
      <c r="G27" s="25"/>
      <c r="H27" s="25"/>
      <c r="I27" s="25"/>
      <c r="J27" s="25"/>
      <c r="K27" s="25"/>
    </row>
    <row r="28" spans="1:11" x14ac:dyDescent="0.25">
      <c r="A28" s="25"/>
      <c r="B28" s="25"/>
      <c r="C28" s="25"/>
      <c r="D28" s="25"/>
      <c r="E28" s="25"/>
      <c r="F28" s="25"/>
      <c r="G28" s="25"/>
      <c r="H28" s="25"/>
      <c r="I28" s="25"/>
      <c r="J28" s="25"/>
      <c r="K28" s="25"/>
    </row>
    <row r="29" spans="1:11" x14ac:dyDescent="0.25">
      <c r="A29" s="25"/>
      <c r="B29" s="25"/>
      <c r="C29" s="25"/>
      <c r="D29" s="25"/>
      <c r="E29" s="25"/>
      <c r="F29" s="25"/>
      <c r="G29" s="25"/>
      <c r="H29" s="25"/>
      <c r="I29" s="25"/>
      <c r="J29" s="25"/>
      <c r="K29" s="25"/>
    </row>
    <row r="30" spans="1:11" x14ac:dyDescent="0.25">
      <c r="A30" s="25"/>
      <c r="B30" s="25"/>
      <c r="C30" s="25"/>
      <c r="D30" s="25"/>
      <c r="E30" s="25"/>
      <c r="F30" s="25"/>
      <c r="G30" s="25"/>
      <c r="H30" s="25"/>
      <c r="I30" s="25"/>
      <c r="J30" s="25"/>
      <c r="K30" s="25"/>
    </row>
    <row r="31" spans="1:11" x14ac:dyDescent="0.25">
      <c r="A31" s="25"/>
      <c r="B31" s="25"/>
      <c r="C31" s="25"/>
      <c r="D31" s="25"/>
      <c r="E31" s="25"/>
      <c r="F31" s="25"/>
      <c r="G31" s="25"/>
      <c r="H31" s="25"/>
      <c r="I31" s="25"/>
      <c r="J31" s="25"/>
      <c r="K31" s="25"/>
    </row>
    <row r="32" spans="1:11" x14ac:dyDescent="0.25">
      <c r="A32" s="25"/>
      <c r="B32" s="25"/>
      <c r="C32" s="25"/>
      <c r="D32" s="25"/>
      <c r="E32" s="25"/>
      <c r="F32" s="25"/>
      <c r="G32" s="25"/>
      <c r="H32" s="25"/>
      <c r="I32" s="25"/>
      <c r="J32" s="25"/>
      <c r="K32" s="25"/>
    </row>
    <row r="33" spans="1:11" x14ac:dyDescent="0.25">
      <c r="A33" s="25"/>
      <c r="B33" s="25"/>
      <c r="C33" s="25"/>
      <c r="D33" s="25"/>
      <c r="E33" s="25"/>
      <c r="F33" s="25"/>
      <c r="G33" s="25"/>
      <c r="H33" s="25"/>
      <c r="I33" s="25"/>
      <c r="J33" s="25"/>
      <c r="K33" s="25"/>
    </row>
    <row r="34" spans="1:11" x14ac:dyDescent="0.25">
      <c r="A34" s="25"/>
      <c r="B34" s="25"/>
      <c r="C34" s="25"/>
      <c r="D34" s="25"/>
      <c r="E34" s="25"/>
      <c r="F34" s="25"/>
      <c r="G34" s="25"/>
      <c r="H34" s="25"/>
      <c r="I34" s="25"/>
      <c r="J34" s="25"/>
      <c r="K34" s="25"/>
    </row>
    <row r="35" spans="1:11" x14ac:dyDescent="0.25">
      <c r="A35" s="25"/>
      <c r="B35" s="25"/>
      <c r="C35" s="25"/>
      <c r="D35" s="25"/>
      <c r="E35" s="25"/>
      <c r="F35" s="25"/>
      <c r="G35" s="25"/>
      <c r="H35" s="25"/>
      <c r="I35" s="25"/>
      <c r="J35" s="25"/>
      <c r="K35" s="25"/>
    </row>
    <row r="36" spans="1:11" x14ac:dyDescent="0.25">
      <c r="A36" s="25"/>
      <c r="B36" s="25"/>
      <c r="C36" s="25"/>
      <c r="D36" s="25"/>
      <c r="E36" s="25"/>
      <c r="F36" s="25"/>
      <c r="G36" s="25"/>
      <c r="H36" s="25"/>
      <c r="I36" s="25"/>
      <c r="J36" s="25"/>
      <c r="K36" s="25"/>
    </row>
    <row r="37" spans="1:11" x14ac:dyDescent="0.25">
      <c r="A37" s="25"/>
      <c r="B37" s="25"/>
      <c r="C37" s="25"/>
      <c r="D37" s="25"/>
      <c r="E37" s="25"/>
      <c r="F37" s="25"/>
      <c r="G37" s="25"/>
      <c r="H37" s="25"/>
      <c r="I37" s="25"/>
      <c r="J37" s="25"/>
      <c r="K37" s="25"/>
    </row>
    <row r="38" spans="1:11" x14ac:dyDescent="0.25">
      <c r="A38" s="25"/>
      <c r="B38" s="25"/>
      <c r="C38" s="25"/>
      <c r="D38" s="25"/>
      <c r="E38" s="25"/>
      <c r="F38" s="25"/>
      <c r="G38" s="25"/>
      <c r="H38" s="25"/>
      <c r="I38" s="25"/>
      <c r="J38" s="25"/>
      <c r="K38" s="25"/>
    </row>
    <row r="39" spans="1:11" x14ac:dyDescent="0.25">
      <c r="A39" s="25"/>
      <c r="B39" s="25"/>
      <c r="C39" s="25"/>
      <c r="D39" s="25"/>
      <c r="E39" s="25"/>
      <c r="F39" s="25"/>
      <c r="G39" s="25"/>
      <c r="H39" s="25"/>
      <c r="I39" s="25"/>
      <c r="J39" s="25"/>
      <c r="K39" s="25"/>
    </row>
    <row r="40" spans="1:11" x14ac:dyDescent="0.25">
      <c r="A40" s="25"/>
      <c r="B40" s="25"/>
      <c r="C40" s="25"/>
      <c r="D40" s="25"/>
      <c r="E40" s="25"/>
      <c r="F40" s="25"/>
      <c r="G40" s="25"/>
      <c r="H40" s="25"/>
      <c r="I40" s="25"/>
      <c r="J40" s="25"/>
      <c r="K40" s="25"/>
    </row>
    <row r="41" spans="1:11" x14ac:dyDescent="0.25">
      <c r="A41" s="25"/>
      <c r="B41" s="25"/>
      <c r="C41" s="25"/>
      <c r="D41" s="25"/>
      <c r="E41" s="25"/>
      <c r="F41" s="25"/>
      <c r="G41" s="25"/>
      <c r="H41" s="25"/>
      <c r="I41" s="25"/>
      <c r="J41" s="25"/>
      <c r="K41" s="25"/>
    </row>
    <row r="42" spans="1:11" x14ac:dyDescent="0.25">
      <c r="A42" s="25"/>
      <c r="B42" s="25"/>
      <c r="C42" s="25"/>
      <c r="D42" s="25"/>
      <c r="E42" s="25"/>
      <c r="F42" s="25"/>
      <c r="G42" s="25"/>
      <c r="H42" s="25"/>
      <c r="I42" s="25"/>
      <c r="J42" s="25"/>
      <c r="K42" s="25"/>
    </row>
    <row r="43" spans="1:11" x14ac:dyDescent="0.25">
      <c r="A43" s="25"/>
      <c r="B43" s="25"/>
      <c r="C43" s="25"/>
      <c r="D43" s="25"/>
      <c r="E43" s="25"/>
      <c r="F43" s="25"/>
      <c r="G43" s="25"/>
      <c r="H43" s="25"/>
      <c r="I43" s="25"/>
      <c r="J43" s="25"/>
      <c r="K43" s="25"/>
    </row>
    <row r="44" spans="1:11" x14ac:dyDescent="0.25">
      <c r="A44" s="25"/>
      <c r="B44" s="25"/>
      <c r="C44" s="25"/>
      <c r="D44" s="25"/>
      <c r="E44" s="25"/>
      <c r="F44" s="25"/>
      <c r="G44" s="25"/>
      <c r="H44" s="25"/>
      <c r="I44" s="25"/>
      <c r="J44" s="25"/>
      <c r="K44" s="25"/>
    </row>
    <row r="45" spans="1:11" x14ac:dyDescent="0.25">
      <c r="A45" s="25"/>
      <c r="B45" s="25"/>
      <c r="C45" s="25"/>
      <c r="D45" s="25"/>
      <c r="E45" s="25"/>
      <c r="F45" s="25"/>
      <c r="G45" s="25"/>
      <c r="H45" s="25"/>
      <c r="I45" s="25"/>
      <c r="J45" s="25"/>
      <c r="K45" s="25"/>
    </row>
    <row r="46" spans="1:11" x14ac:dyDescent="0.25">
      <c r="A46" s="25"/>
      <c r="B46" s="25"/>
      <c r="C46" s="25"/>
      <c r="D46" s="25"/>
      <c r="E46" s="25"/>
      <c r="F46" s="25"/>
      <c r="G46" s="25"/>
      <c r="H46" s="25"/>
      <c r="I46" s="25"/>
      <c r="J46" s="25"/>
      <c r="K46" s="25"/>
    </row>
    <row r="47" spans="1:11" x14ac:dyDescent="0.25">
      <c r="A47" s="25"/>
      <c r="B47" s="25"/>
      <c r="C47" s="25"/>
      <c r="D47" s="25"/>
      <c r="E47" s="25"/>
      <c r="F47" s="25"/>
      <c r="G47" s="25"/>
      <c r="H47" s="25"/>
      <c r="I47" s="25"/>
      <c r="J47" s="25"/>
      <c r="K47" s="25"/>
    </row>
    <row r="48" spans="1:11" x14ac:dyDescent="0.25">
      <c r="A48" s="25"/>
      <c r="B48" s="25"/>
      <c r="C48" s="25"/>
      <c r="D48" s="25"/>
      <c r="E48" s="25"/>
      <c r="F48" s="25"/>
      <c r="G48" s="25"/>
      <c r="H48" s="25"/>
      <c r="I48" s="25"/>
      <c r="J48" s="25"/>
      <c r="K48" s="25"/>
    </row>
    <row r="49" spans="1:11" x14ac:dyDescent="0.25">
      <c r="A49" s="25"/>
      <c r="B49" s="25"/>
      <c r="C49" s="25"/>
      <c r="D49" s="25"/>
      <c r="E49" s="25"/>
      <c r="F49" s="25"/>
      <c r="G49" s="25"/>
      <c r="H49" s="25"/>
      <c r="I49" s="25"/>
      <c r="J49" s="25"/>
      <c r="K49" s="25"/>
    </row>
    <row r="50" spans="1:11" x14ac:dyDescent="0.25">
      <c r="A50" s="25"/>
      <c r="B50" s="25"/>
      <c r="C50" s="25"/>
      <c r="D50" s="25"/>
      <c r="E50" s="25"/>
      <c r="F50" s="25"/>
      <c r="G50" s="25"/>
      <c r="H50" s="25"/>
      <c r="I50" s="25"/>
      <c r="J50" s="25"/>
      <c r="K50" s="25"/>
    </row>
    <row r="51" spans="1:11" x14ac:dyDescent="0.25">
      <c r="A51" s="25"/>
      <c r="B51" s="25"/>
      <c r="C51" s="25"/>
      <c r="D51" s="25"/>
      <c r="E51" s="25"/>
      <c r="F51" s="25"/>
      <c r="G51" s="25"/>
      <c r="H51" s="25"/>
      <c r="I51" s="25"/>
      <c r="J51" s="25"/>
      <c r="K51" s="25"/>
    </row>
    <row r="52" spans="1:11" x14ac:dyDescent="0.25">
      <c r="A52" s="25"/>
      <c r="B52" s="25"/>
      <c r="C52" s="25"/>
      <c r="D52" s="25"/>
      <c r="E52" s="25"/>
      <c r="F52" s="25"/>
      <c r="G52" s="25"/>
      <c r="H52" s="25"/>
      <c r="I52" s="25"/>
      <c r="J52" s="25"/>
      <c r="K52" s="25"/>
    </row>
    <row r="53" spans="1:11" x14ac:dyDescent="0.25">
      <c r="A53" s="25"/>
      <c r="B53" s="25"/>
      <c r="C53" s="25"/>
      <c r="D53" s="25"/>
      <c r="E53" s="25"/>
      <c r="F53" s="25"/>
      <c r="G53" s="25"/>
      <c r="H53" s="25"/>
      <c r="I53" s="25"/>
      <c r="J53" s="25"/>
      <c r="K53" s="25"/>
    </row>
    <row r="54" spans="1:11" x14ac:dyDescent="0.25">
      <c r="A54" s="25"/>
      <c r="B54" s="25"/>
      <c r="C54" s="25"/>
      <c r="D54" s="25"/>
      <c r="E54" s="25"/>
      <c r="F54" s="25"/>
      <c r="G54" s="25"/>
      <c r="H54" s="25"/>
      <c r="I54" s="25"/>
      <c r="J54" s="25"/>
      <c r="K54" s="25"/>
    </row>
    <row r="55" spans="1:11" x14ac:dyDescent="0.25">
      <c r="A55" s="25"/>
      <c r="B55" s="25"/>
      <c r="C55" s="25"/>
      <c r="D55" s="25"/>
      <c r="E55" s="25"/>
      <c r="F55" s="25"/>
      <c r="G55" s="25"/>
      <c r="H55" s="25"/>
      <c r="I55" s="25"/>
      <c r="J55" s="25"/>
      <c r="K55" s="25"/>
    </row>
    <row r="56" spans="1:11" x14ac:dyDescent="0.25">
      <c r="A56" s="25"/>
      <c r="B56" s="25"/>
      <c r="C56" s="25"/>
      <c r="D56" s="25"/>
      <c r="E56" s="25"/>
      <c r="F56" s="25"/>
      <c r="G56" s="25"/>
      <c r="H56" s="25"/>
      <c r="I56" s="25"/>
      <c r="J56" s="25"/>
      <c r="K56" s="25"/>
    </row>
    <row r="57" spans="1:11" x14ac:dyDescent="0.25">
      <c r="A57" s="25"/>
      <c r="B57" s="25"/>
      <c r="C57" s="25"/>
      <c r="D57" s="25"/>
      <c r="E57" s="25"/>
      <c r="F57" s="25"/>
      <c r="G57" s="25"/>
      <c r="H57" s="25"/>
      <c r="I57" s="25"/>
      <c r="J57" s="25"/>
      <c r="K57" s="25"/>
    </row>
    <row r="58" spans="1:11" x14ac:dyDescent="0.25">
      <c r="A58" s="25"/>
      <c r="B58" s="25"/>
      <c r="C58" s="25"/>
      <c r="D58" s="25"/>
      <c r="E58" s="25"/>
      <c r="F58" s="25"/>
      <c r="G58" s="25"/>
      <c r="H58" s="25"/>
      <c r="I58" s="25"/>
      <c r="J58" s="25"/>
      <c r="K58" s="25"/>
    </row>
    <row r="59" spans="1:11" x14ac:dyDescent="0.25">
      <c r="A59" s="25"/>
      <c r="B59" s="25"/>
      <c r="C59" s="25"/>
      <c r="D59" s="25"/>
      <c r="E59" s="25"/>
      <c r="F59" s="25"/>
      <c r="G59" s="25"/>
      <c r="H59" s="25"/>
      <c r="I59" s="25"/>
      <c r="J59" s="25"/>
      <c r="K59" s="25"/>
    </row>
    <row r="60" spans="1:11" x14ac:dyDescent="0.25">
      <c r="A60" s="25"/>
      <c r="B60" s="25"/>
      <c r="C60" s="25"/>
      <c r="D60" s="25"/>
      <c r="E60" s="25"/>
      <c r="F60" s="25"/>
      <c r="G60" s="25"/>
      <c r="H60" s="25"/>
      <c r="I60" s="25"/>
      <c r="J60" s="25"/>
      <c r="K60" s="25"/>
    </row>
    <row r="61" spans="1:11" x14ac:dyDescent="0.25">
      <c r="A61" s="25"/>
      <c r="B61" s="25"/>
      <c r="C61" s="25"/>
      <c r="D61" s="25"/>
      <c r="E61" s="25"/>
      <c r="F61" s="25"/>
      <c r="G61" s="25"/>
      <c r="H61" s="25"/>
      <c r="I61" s="25"/>
      <c r="J61" s="25"/>
      <c r="K61" s="25"/>
    </row>
    <row r="62" spans="1:11" x14ac:dyDescent="0.25">
      <c r="A62" s="25"/>
      <c r="B62" s="25"/>
      <c r="C62" s="25"/>
      <c r="D62" s="25"/>
      <c r="E62" s="25"/>
      <c r="F62" s="25"/>
      <c r="G62" s="25"/>
      <c r="H62" s="25"/>
      <c r="I62" s="25"/>
      <c r="J62" s="25"/>
      <c r="K62" s="25"/>
    </row>
    <row r="63" spans="1:11" x14ac:dyDescent="0.25">
      <c r="A63" s="25"/>
      <c r="B63" s="25"/>
      <c r="C63" s="25"/>
      <c r="D63" s="25"/>
      <c r="E63" s="25"/>
      <c r="F63" s="25"/>
      <c r="G63" s="25"/>
      <c r="H63" s="25"/>
      <c r="I63" s="25"/>
      <c r="J63" s="25"/>
      <c r="K63" s="25"/>
    </row>
    <row r="64" spans="1:11" x14ac:dyDescent="0.25">
      <c r="A64" s="25"/>
      <c r="B64" s="25"/>
      <c r="C64" s="25"/>
      <c r="D64" s="25"/>
      <c r="E64" s="25"/>
      <c r="F64" s="25"/>
      <c r="G64" s="25"/>
      <c r="H64" s="25"/>
      <c r="I64" s="25"/>
      <c r="J64" s="25"/>
      <c r="K64" s="25"/>
    </row>
    <row r="65" spans="1:11" x14ac:dyDescent="0.25">
      <c r="A65" s="25"/>
      <c r="B65" s="25"/>
      <c r="C65" s="25"/>
      <c r="D65" s="25"/>
      <c r="E65" s="25"/>
      <c r="F65" s="25"/>
      <c r="G65" s="25"/>
      <c r="H65" s="25"/>
      <c r="I65" s="25"/>
      <c r="J65" s="25"/>
      <c r="K65" s="25"/>
    </row>
    <row r="66" spans="1:11" x14ac:dyDescent="0.25">
      <c r="A66" s="25"/>
      <c r="B66" s="25"/>
      <c r="C66" s="25"/>
      <c r="D66" s="25"/>
      <c r="E66" s="25"/>
      <c r="F66" s="25"/>
      <c r="G66" s="25"/>
      <c r="H66" s="25"/>
      <c r="I66" s="25"/>
      <c r="J66" s="25"/>
      <c r="K66" s="25"/>
    </row>
    <row r="67" spans="1:11" x14ac:dyDescent="0.25">
      <c r="A67" s="25"/>
      <c r="B67" s="25"/>
      <c r="C67" s="25"/>
      <c r="D67" s="25"/>
      <c r="E67" s="25"/>
      <c r="F67" s="25"/>
      <c r="G67" s="25"/>
      <c r="H67" s="25"/>
      <c r="I67" s="25"/>
      <c r="J67" s="25"/>
      <c r="K67" s="25"/>
    </row>
    <row r="68" spans="1:11" x14ac:dyDescent="0.25">
      <c r="A68" s="25"/>
      <c r="B68" s="25"/>
      <c r="C68" s="25"/>
      <c r="D68" s="25"/>
      <c r="E68" s="25"/>
      <c r="F68" s="25"/>
      <c r="G68" s="25"/>
      <c r="H68" s="25"/>
      <c r="I68" s="25"/>
      <c r="J68" s="25"/>
      <c r="K68" s="25"/>
    </row>
    <row r="69" spans="1:11" x14ac:dyDescent="0.25">
      <c r="A69" s="25"/>
      <c r="B69" s="25"/>
      <c r="C69" s="25"/>
      <c r="D69" s="25"/>
      <c r="E69" s="25"/>
      <c r="F69" s="25"/>
      <c r="G69" s="25"/>
      <c r="H69" s="25"/>
      <c r="I69" s="25"/>
      <c r="J69" s="25"/>
      <c r="K69" s="25"/>
    </row>
    <row r="70" spans="1:11" x14ac:dyDescent="0.25">
      <c r="A70" s="25"/>
      <c r="B70" s="25"/>
      <c r="C70" s="25"/>
      <c r="D70" s="25"/>
      <c r="E70" s="25"/>
      <c r="F70" s="25"/>
      <c r="G70" s="25"/>
      <c r="H70" s="25"/>
      <c r="I70" s="25"/>
      <c r="J70" s="25"/>
      <c r="K70" s="25"/>
    </row>
    <row r="71" spans="1:11" x14ac:dyDescent="0.25">
      <c r="A71" s="25"/>
      <c r="B71" s="25"/>
      <c r="C71" s="25"/>
      <c r="D71" s="25"/>
      <c r="E71" s="25"/>
      <c r="F71" s="25"/>
      <c r="G71" s="25"/>
      <c r="H71" s="25"/>
      <c r="I71" s="25"/>
      <c r="J71" s="25"/>
      <c r="K71" s="25"/>
    </row>
    <row r="72" spans="1:11" x14ac:dyDescent="0.25">
      <c r="A72" s="25"/>
      <c r="B72" s="25"/>
      <c r="C72" s="25"/>
      <c r="D72" s="25"/>
      <c r="E72" s="25"/>
      <c r="F72" s="25"/>
      <c r="G72" s="25"/>
      <c r="H72" s="25"/>
      <c r="I72" s="25"/>
      <c r="J72" s="25"/>
      <c r="K72" s="25"/>
    </row>
    <row r="73" spans="1:11" x14ac:dyDescent="0.25">
      <c r="A73" s="25"/>
      <c r="B73" s="25"/>
      <c r="C73" s="25"/>
      <c r="D73" s="25"/>
      <c r="E73" s="25"/>
      <c r="F73" s="25"/>
      <c r="G73" s="25"/>
      <c r="H73" s="25"/>
      <c r="I73" s="25"/>
      <c r="J73" s="25"/>
      <c r="K73" s="25"/>
    </row>
    <row r="74" spans="1:11" x14ac:dyDescent="0.25">
      <c r="A74" s="25"/>
      <c r="B74" s="25"/>
      <c r="C74" s="25"/>
      <c r="D74" s="25"/>
      <c r="E74" s="25"/>
      <c r="F74" s="25"/>
      <c r="G74" s="25"/>
      <c r="H74" s="25"/>
      <c r="I74" s="25"/>
      <c r="J74" s="25"/>
      <c r="K74" s="25"/>
    </row>
    <row r="75" spans="1:11" x14ac:dyDescent="0.25">
      <c r="A75" s="25"/>
      <c r="B75" s="25"/>
      <c r="C75" s="25"/>
      <c r="D75" s="25"/>
      <c r="E75" s="25"/>
      <c r="F75" s="25"/>
      <c r="G75" s="25"/>
      <c r="H75" s="25"/>
      <c r="I75" s="25"/>
      <c r="J75" s="25"/>
      <c r="K75" s="25"/>
    </row>
    <row r="76" spans="1:11" x14ac:dyDescent="0.25">
      <c r="A76" s="25"/>
      <c r="B76" s="25"/>
      <c r="C76" s="25"/>
      <c r="D76" s="25"/>
      <c r="E76" s="25"/>
      <c r="F76" s="25"/>
      <c r="G76" s="25"/>
      <c r="H76" s="25"/>
      <c r="I76" s="25"/>
      <c r="J76" s="25"/>
      <c r="K76" s="25"/>
    </row>
    <row r="77" spans="1:11" x14ac:dyDescent="0.25">
      <c r="A77" s="25"/>
      <c r="B77" s="25"/>
      <c r="C77" s="25"/>
      <c r="D77" s="25"/>
      <c r="E77" s="25"/>
      <c r="F77" s="25"/>
      <c r="G77" s="25"/>
      <c r="H77" s="25"/>
      <c r="I77" s="25"/>
      <c r="J77" s="25"/>
      <c r="K77" s="25"/>
    </row>
    <row r="78" spans="1:11" x14ac:dyDescent="0.25">
      <c r="A78" s="25"/>
      <c r="B78" s="25"/>
      <c r="C78" s="25"/>
      <c r="D78" s="25"/>
      <c r="E78" s="25"/>
      <c r="F78" s="25"/>
      <c r="G78" s="25"/>
      <c r="H78" s="25"/>
      <c r="I78" s="25"/>
      <c r="J78" s="25"/>
      <c r="K78" s="25"/>
    </row>
    <row r="79" spans="1:11" x14ac:dyDescent="0.25">
      <c r="A79" s="25"/>
      <c r="B79" s="25"/>
      <c r="C79" s="25"/>
      <c r="D79" s="25"/>
      <c r="E79" s="25"/>
      <c r="F79" s="25"/>
      <c r="G79" s="25"/>
      <c r="H79" s="25"/>
      <c r="I79" s="25"/>
      <c r="J79" s="25"/>
      <c r="K79" s="25"/>
    </row>
    <row r="80" spans="1:11" x14ac:dyDescent="0.25">
      <c r="A80" s="25"/>
      <c r="B80" s="25"/>
      <c r="C80" s="25"/>
      <c r="D80" s="25"/>
      <c r="E80" s="25"/>
      <c r="F80" s="25"/>
      <c r="G80" s="25"/>
      <c r="H80" s="25"/>
      <c r="I80" s="25"/>
      <c r="J80" s="25"/>
      <c r="K80" s="25"/>
    </row>
    <row r="81" spans="1:11" x14ac:dyDescent="0.25">
      <c r="A81" s="25"/>
      <c r="B81" s="25"/>
      <c r="C81" s="25"/>
      <c r="D81" s="25"/>
      <c r="E81" s="25"/>
      <c r="F81" s="25"/>
      <c r="G81" s="25"/>
      <c r="H81" s="25"/>
      <c r="I81" s="25"/>
      <c r="J81" s="25"/>
      <c r="K81" s="25"/>
    </row>
    <row r="82" spans="1:11" x14ac:dyDescent="0.25">
      <c r="A82" s="25"/>
      <c r="B82" s="25"/>
      <c r="C82" s="25"/>
      <c r="D82" s="25"/>
      <c r="E82" s="25"/>
      <c r="F82" s="25"/>
      <c r="G82" s="25"/>
      <c r="H82" s="25"/>
      <c r="I82" s="25"/>
      <c r="J82" s="25"/>
      <c r="K82" s="25"/>
    </row>
    <row r="83" spans="1:11" x14ac:dyDescent="0.25">
      <c r="A83" s="25"/>
      <c r="B83" s="25"/>
      <c r="C83" s="25"/>
      <c r="D83" s="25"/>
      <c r="E83" s="25"/>
      <c r="F83" s="25"/>
      <c r="G83" s="25"/>
      <c r="H83" s="25"/>
      <c r="I83" s="25"/>
      <c r="J83" s="25"/>
      <c r="K83" s="25"/>
    </row>
    <row r="84" spans="1:11" x14ac:dyDescent="0.25">
      <c r="A84" s="25"/>
      <c r="B84" s="25"/>
      <c r="C84" s="25"/>
      <c r="D84" s="25"/>
      <c r="E84" s="25"/>
      <c r="F84" s="25"/>
      <c r="G84" s="25"/>
      <c r="H84" s="25"/>
      <c r="I84" s="25"/>
      <c r="J84" s="25"/>
      <c r="K84" s="25"/>
    </row>
    <row r="85" spans="1:11" x14ac:dyDescent="0.25">
      <c r="A85" s="25"/>
      <c r="B85" s="25"/>
      <c r="C85" s="25"/>
      <c r="D85" s="25"/>
      <c r="E85" s="25"/>
      <c r="F85" s="25"/>
      <c r="G85" s="25"/>
      <c r="H85" s="25"/>
      <c r="I85" s="25"/>
      <c r="J85" s="25"/>
      <c r="K85" s="25"/>
    </row>
    <row r="86" spans="1:11" x14ac:dyDescent="0.25">
      <c r="A86" s="25"/>
      <c r="B86" s="25"/>
      <c r="C86" s="25"/>
      <c r="D86" s="25"/>
      <c r="E86" s="25"/>
      <c r="F86" s="25"/>
      <c r="G86" s="25"/>
      <c r="H86" s="25"/>
      <c r="I86" s="25"/>
      <c r="J86" s="25"/>
      <c r="K86" s="25"/>
    </row>
    <row r="87" spans="1:11" x14ac:dyDescent="0.25">
      <c r="A87" s="25"/>
      <c r="B87" s="25"/>
      <c r="C87" s="25"/>
      <c r="D87" s="25"/>
      <c r="E87" s="25"/>
      <c r="F87" s="25"/>
      <c r="G87" s="25"/>
      <c r="H87" s="25"/>
      <c r="I87" s="25"/>
      <c r="J87" s="25"/>
      <c r="K87" s="25"/>
    </row>
    <row r="88" spans="1:11" x14ac:dyDescent="0.25">
      <c r="A88" s="25"/>
      <c r="B88" s="25"/>
      <c r="C88" s="25"/>
      <c r="D88" s="25"/>
      <c r="E88" s="25"/>
      <c r="F88" s="25"/>
      <c r="G88" s="25"/>
      <c r="H88" s="25"/>
      <c r="I88" s="25"/>
      <c r="J88" s="25"/>
      <c r="K88" s="25"/>
    </row>
    <row r="89" spans="1:11" x14ac:dyDescent="0.25">
      <c r="A89" s="25"/>
      <c r="B89" s="25"/>
      <c r="C89" s="25"/>
      <c r="D89" s="25"/>
      <c r="E89" s="25"/>
      <c r="F89" s="25"/>
      <c r="G89" s="25"/>
      <c r="H89" s="25"/>
      <c r="I89" s="25"/>
      <c r="J89" s="25"/>
      <c r="K89" s="25"/>
    </row>
    <row r="90" spans="1:11" x14ac:dyDescent="0.25">
      <c r="A90" s="25"/>
      <c r="B90" s="25"/>
      <c r="C90" s="25"/>
      <c r="D90" s="25"/>
      <c r="E90" s="25"/>
      <c r="F90" s="25"/>
      <c r="G90" s="25"/>
      <c r="H90" s="25"/>
      <c r="I90" s="25"/>
      <c r="J90" s="25"/>
      <c r="K90" s="25"/>
    </row>
    <row r="91" spans="1:11" x14ac:dyDescent="0.25">
      <c r="A91" s="25"/>
      <c r="B91" s="25"/>
      <c r="C91" s="25"/>
      <c r="D91" s="25"/>
      <c r="E91" s="25"/>
      <c r="F91" s="25"/>
      <c r="G91" s="25"/>
      <c r="H91" s="25"/>
      <c r="I91" s="25"/>
      <c r="J91" s="25"/>
      <c r="K91" s="25"/>
    </row>
    <row r="92" spans="1:11" x14ac:dyDescent="0.25">
      <c r="A92" s="25"/>
      <c r="B92" s="25"/>
      <c r="C92" s="25"/>
      <c r="D92" s="25"/>
      <c r="E92" s="25"/>
      <c r="F92" s="25"/>
      <c r="G92" s="25"/>
      <c r="H92" s="25"/>
      <c r="I92" s="25"/>
      <c r="J92" s="25"/>
      <c r="K92" s="25"/>
    </row>
    <row r="93" spans="1:11" x14ac:dyDescent="0.25">
      <c r="A93" s="25"/>
      <c r="B93" s="25"/>
      <c r="C93" s="25"/>
      <c r="D93" s="25"/>
      <c r="E93" s="25"/>
      <c r="F93" s="25"/>
      <c r="G93" s="25"/>
      <c r="H93" s="25"/>
      <c r="I93" s="25"/>
      <c r="J93" s="25"/>
      <c r="K93" s="25"/>
    </row>
    <row r="94" spans="1:11" x14ac:dyDescent="0.25">
      <c r="A94" s="25"/>
      <c r="B94" s="25"/>
      <c r="C94" s="25"/>
      <c r="D94" s="25"/>
      <c r="E94" s="25"/>
      <c r="F94" s="25"/>
      <c r="G94" s="25"/>
      <c r="H94" s="25"/>
      <c r="I94" s="25"/>
      <c r="J94" s="25"/>
      <c r="K94" s="25"/>
    </row>
    <row r="95" spans="1:11" x14ac:dyDescent="0.25">
      <c r="A95" s="25"/>
      <c r="B95" s="25"/>
      <c r="C95" s="25"/>
      <c r="D95" s="25"/>
      <c r="E95" s="25"/>
      <c r="F95" s="25"/>
      <c r="G95" s="25"/>
      <c r="H95" s="25"/>
      <c r="I95" s="25"/>
      <c r="J95" s="25"/>
      <c r="K95" s="25"/>
    </row>
    <row r="96" spans="1:11" x14ac:dyDescent="0.25">
      <c r="A96" s="25"/>
      <c r="B96" s="25"/>
      <c r="C96" s="25"/>
      <c r="D96" s="25"/>
      <c r="E96" s="25"/>
      <c r="F96" s="25"/>
      <c r="G96" s="25"/>
      <c r="H96" s="25"/>
      <c r="I96" s="25"/>
      <c r="J96" s="25"/>
      <c r="K96" s="25"/>
    </row>
    <row r="97" spans="1:11" x14ac:dyDescent="0.25">
      <c r="A97" s="25"/>
      <c r="B97" s="25"/>
      <c r="C97" s="25"/>
      <c r="D97" s="25"/>
      <c r="E97" s="25"/>
      <c r="F97" s="25"/>
      <c r="G97" s="25"/>
      <c r="H97" s="25"/>
      <c r="I97" s="25"/>
      <c r="J97" s="25"/>
      <c r="K97" s="25"/>
    </row>
    <row r="98" spans="1:11" x14ac:dyDescent="0.25">
      <c r="A98" s="25"/>
      <c r="B98" s="25"/>
      <c r="C98" s="25"/>
      <c r="D98" s="25"/>
      <c r="E98" s="25"/>
      <c r="F98" s="25"/>
      <c r="G98" s="25"/>
      <c r="H98" s="25"/>
      <c r="I98" s="25"/>
      <c r="J98" s="25"/>
      <c r="K98" s="25"/>
    </row>
    <row r="99" spans="1:11" x14ac:dyDescent="0.25">
      <c r="A99" s="25"/>
      <c r="B99" s="25"/>
      <c r="C99" s="25"/>
      <c r="D99" s="25"/>
      <c r="E99" s="25"/>
      <c r="F99" s="25"/>
      <c r="G99" s="25"/>
      <c r="H99" s="25"/>
      <c r="I99" s="25"/>
      <c r="J99" s="25"/>
      <c r="K99" s="25"/>
    </row>
    <row r="100" spans="1:11" x14ac:dyDescent="0.25">
      <c r="A100" s="25"/>
      <c r="B100" s="25"/>
      <c r="C100" s="25"/>
      <c r="D100" s="25"/>
      <c r="E100" s="25"/>
      <c r="F100" s="25"/>
      <c r="G100" s="25"/>
      <c r="H100" s="25"/>
      <c r="I100" s="25"/>
      <c r="J100" s="25"/>
      <c r="K100" s="25"/>
    </row>
    <row r="101" spans="1:11" x14ac:dyDescent="0.25">
      <c r="A101" s="25"/>
      <c r="B101" s="25"/>
      <c r="C101" s="25"/>
      <c r="D101" s="25"/>
      <c r="E101" s="25"/>
      <c r="F101" s="25"/>
      <c r="G101" s="25"/>
      <c r="H101" s="25"/>
      <c r="I101" s="25"/>
      <c r="J101" s="25"/>
      <c r="K101" s="25"/>
    </row>
    <row r="102" spans="1:11" x14ac:dyDescent="0.25">
      <c r="A102" s="25"/>
      <c r="B102" s="25"/>
      <c r="C102" s="25"/>
      <c r="D102" s="25"/>
      <c r="E102" s="25"/>
      <c r="F102" s="25"/>
      <c r="G102" s="25"/>
      <c r="H102" s="25"/>
      <c r="I102" s="25"/>
      <c r="J102" s="25"/>
      <c r="K102" s="25"/>
    </row>
    <row r="103" spans="1:11" x14ac:dyDescent="0.25">
      <c r="A103" s="25"/>
      <c r="B103" s="25"/>
      <c r="C103" s="25"/>
      <c r="D103" s="25"/>
      <c r="E103" s="25"/>
      <c r="F103" s="25"/>
      <c r="G103" s="25"/>
      <c r="H103" s="25"/>
      <c r="I103" s="25"/>
      <c r="J103" s="25"/>
      <c r="K103" s="25"/>
    </row>
    <row r="104" spans="1:11" x14ac:dyDescent="0.25">
      <c r="A104" s="25"/>
      <c r="B104" s="25"/>
      <c r="C104" s="25"/>
      <c r="D104" s="25"/>
      <c r="E104" s="25"/>
      <c r="F104" s="25"/>
      <c r="G104" s="25"/>
      <c r="H104" s="25"/>
      <c r="I104" s="25"/>
      <c r="J104" s="25"/>
      <c r="K104" s="25"/>
    </row>
    <row r="105" spans="1:11" x14ac:dyDescent="0.25">
      <c r="A105" s="25"/>
      <c r="B105" s="25"/>
      <c r="C105" s="25"/>
      <c r="D105" s="25"/>
      <c r="E105" s="25"/>
      <c r="F105" s="25"/>
      <c r="G105" s="25"/>
      <c r="H105" s="25"/>
      <c r="I105" s="25"/>
      <c r="J105" s="25"/>
      <c r="K105" s="25"/>
    </row>
    <row r="106" spans="1:11" x14ac:dyDescent="0.25">
      <c r="A106" s="25"/>
      <c r="B106" s="25"/>
      <c r="C106" s="25"/>
      <c r="D106" s="25"/>
      <c r="E106" s="25"/>
      <c r="F106" s="25"/>
      <c r="G106" s="25"/>
      <c r="H106" s="25"/>
      <c r="I106" s="25"/>
      <c r="J106" s="25"/>
      <c r="K106" s="25"/>
    </row>
    <row r="107" spans="1:11" x14ac:dyDescent="0.25">
      <c r="A107" s="25"/>
      <c r="B107" s="25"/>
      <c r="C107" s="25"/>
      <c r="D107" s="25"/>
      <c r="E107" s="25"/>
      <c r="F107" s="25"/>
      <c r="G107" s="25"/>
      <c r="H107" s="25"/>
      <c r="I107" s="25"/>
      <c r="J107" s="25"/>
      <c r="K107" s="25"/>
    </row>
    <row r="108" spans="1:11" x14ac:dyDescent="0.25">
      <c r="A108" s="25"/>
      <c r="B108" s="25"/>
      <c r="C108" s="25"/>
      <c r="D108" s="25"/>
      <c r="E108" s="25"/>
      <c r="F108" s="25"/>
      <c r="G108" s="25"/>
      <c r="H108" s="25"/>
      <c r="I108" s="25"/>
      <c r="J108" s="25"/>
      <c r="K108" s="25"/>
    </row>
    <row r="109" spans="1:11" x14ac:dyDescent="0.25">
      <c r="A109" s="25"/>
      <c r="B109" s="25"/>
      <c r="C109" s="25"/>
      <c r="D109" s="25"/>
      <c r="E109" s="25"/>
      <c r="F109" s="25"/>
      <c r="G109" s="25"/>
      <c r="H109" s="25"/>
      <c r="I109" s="25"/>
      <c r="J109" s="25"/>
      <c r="K109" s="25"/>
    </row>
    <row r="110" spans="1:11" x14ac:dyDescent="0.25">
      <c r="A110" s="25"/>
      <c r="B110" s="25"/>
      <c r="C110" s="25"/>
      <c r="D110" s="25"/>
      <c r="E110" s="25"/>
      <c r="F110" s="25"/>
      <c r="G110" s="25"/>
      <c r="H110" s="25"/>
      <c r="I110" s="25"/>
      <c r="J110" s="25"/>
      <c r="K110" s="25"/>
    </row>
    <row r="111" spans="1:11" x14ac:dyDescent="0.25">
      <c r="A111" s="25"/>
      <c r="B111" s="25"/>
      <c r="C111" s="25"/>
      <c r="D111" s="25"/>
      <c r="E111" s="25"/>
      <c r="F111" s="25"/>
      <c r="G111" s="25"/>
      <c r="H111" s="25"/>
      <c r="I111" s="25"/>
      <c r="J111" s="25"/>
      <c r="K111" s="25"/>
    </row>
    <row r="112" spans="1:11" x14ac:dyDescent="0.25">
      <c r="A112" s="25"/>
      <c r="B112" s="25"/>
      <c r="C112" s="25"/>
      <c r="D112" s="25"/>
      <c r="E112" s="25"/>
      <c r="F112" s="25"/>
      <c r="G112" s="25"/>
      <c r="H112" s="25"/>
      <c r="I112" s="25"/>
      <c r="J112" s="25"/>
      <c r="K112" s="25"/>
    </row>
    <row r="113" spans="1:11" x14ac:dyDescent="0.25">
      <c r="A113" s="25"/>
      <c r="B113" s="25"/>
      <c r="C113" s="25"/>
      <c r="D113" s="25"/>
      <c r="E113" s="25"/>
      <c r="F113" s="25"/>
      <c r="G113" s="25"/>
      <c r="H113" s="25"/>
      <c r="I113" s="25"/>
      <c r="J113" s="25"/>
      <c r="K113" s="25"/>
    </row>
    <row r="114" spans="1:11" x14ac:dyDescent="0.25">
      <c r="A114" s="25"/>
      <c r="B114" s="25"/>
      <c r="C114" s="25"/>
      <c r="D114" s="25"/>
      <c r="E114" s="25"/>
      <c r="F114" s="25"/>
      <c r="G114" s="25"/>
      <c r="H114" s="25"/>
      <c r="I114" s="25"/>
      <c r="J114" s="25"/>
      <c r="K114" s="25"/>
    </row>
    <row r="115" spans="1:11" x14ac:dyDescent="0.25">
      <c r="A115" s="25"/>
      <c r="B115" s="25"/>
      <c r="C115" s="25"/>
      <c r="D115" s="25"/>
      <c r="E115" s="25"/>
      <c r="F115" s="25"/>
      <c r="G115" s="25"/>
      <c r="H115" s="25"/>
      <c r="I115" s="25"/>
      <c r="J115" s="25"/>
      <c r="K115" s="25"/>
    </row>
    <row r="116" spans="1:11" x14ac:dyDescent="0.25">
      <c r="A116" s="25"/>
      <c r="B116" s="25"/>
      <c r="C116" s="25"/>
      <c r="D116" s="25"/>
      <c r="E116" s="25"/>
      <c r="F116" s="25"/>
      <c r="G116" s="25"/>
      <c r="H116" s="25"/>
      <c r="I116" s="25"/>
      <c r="J116" s="25"/>
      <c r="K116" s="25"/>
    </row>
    <row r="117" spans="1:11" x14ac:dyDescent="0.25">
      <c r="A117" s="25"/>
      <c r="B117" s="25"/>
      <c r="C117" s="25"/>
      <c r="D117" s="25"/>
      <c r="E117" s="25"/>
      <c r="F117" s="25"/>
      <c r="G117" s="25"/>
      <c r="H117" s="25"/>
      <c r="I117" s="25"/>
      <c r="J117" s="25"/>
      <c r="K117" s="25"/>
    </row>
    <row r="118" spans="1:11" x14ac:dyDescent="0.25">
      <c r="A118" s="25"/>
      <c r="B118" s="25"/>
      <c r="C118" s="25"/>
      <c r="D118" s="25"/>
      <c r="E118" s="25"/>
      <c r="F118" s="25"/>
      <c r="G118" s="25"/>
      <c r="H118" s="25"/>
      <c r="I118" s="25"/>
      <c r="J118" s="25"/>
      <c r="K118" s="25"/>
    </row>
    <row r="119" spans="1:11" x14ac:dyDescent="0.25">
      <c r="A119" s="25"/>
      <c r="B119" s="25"/>
      <c r="C119" s="25"/>
      <c r="D119" s="25"/>
      <c r="E119" s="25"/>
      <c r="F119" s="25"/>
      <c r="G119" s="25"/>
      <c r="H119" s="25"/>
      <c r="I119" s="25"/>
      <c r="J119" s="25"/>
      <c r="K119" s="25"/>
    </row>
    <row r="120" spans="1:11" x14ac:dyDescent="0.25">
      <c r="A120" s="25"/>
      <c r="B120" s="25"/>
      <c r="C120" s="25"/>
      <c r="D120" s="25"/>
      <c r="E120" s="25"/>
      <c r="F120" s="25"/>
      <c r="G120" s="25"/>
      <c r="H120" s="25"/>
      <c r="I120" s="25"/>
      <c r="J120" s="25"/>
      <c r="K120" s="25"/>
    </row>
    <row r="121" spans="1:11" x14ac:dyDescent="0.25">
      <c r="A121" s="25"/>
      <c r="B121" s="25"/>
      <c r="C121" s="25"/>
      <c r="D121" s="25"/>
      <c r="E121" s="25"/>
      <c r="F121" s="25"/>
      <c r="G121" s="25"/>
      <c r="H121" s="25"/>
      <c r="I121" s="25"/>
      <c r="J121" s="25"/>
      <c r="K121" s="25"/>
    </row>
    <row r="122" spans="1:11" x14ac:dyDescent="0.25">
      <c r="A122" s="25"/>
      <c r="B122" s="25"/>
      <c r="C122" s="25"/>
      <c r="D122" s="25"/>
      <c r="E122" s="25"/>
      <c r="F122" s="25"/>
      <c r="G122" s="25"/>
      <c r="H122" s="25"/>
      <c r="I122" s="25"/>
      <c r="J122" s="25"/>
      <c r="K122" s="25"/>
    </row>
    <row r="123" spans="1:11" x14ac:dyDescent="0.25">
      <c r="A123" s="25"/>
      <c r="B123" s="25"/>
      <c r="C123" s="25"/>
      <c r="D123" s="25"/>
      <c r="E123" s="25"/>
      <c r="F123" s="25"/>
      <c r="G123" s="25"/>
      <c r="H123" s="25"/>
      <c r="I123" s="25"/>
      <c r="J123" s="25"/>
      <c r="K123" s="25"/>
    </row>
    <row r="124" spans="1:11" x14ac:dyDescent="0.25">
      <c r="A124" s="25"/>
      <c r="B124" s="25"/>
      <c r="C124" s="25"/>
      <c r="D124" s="25"/>
      <c r="E124" s="25"/>
      <c r="F124" s="25"/>
      <c r="G124" s="25"/>
      <c r="H124" s="25"/>
      <c r="I124" s="25"/>
      <c r="J124" s="25"/>
      <c r="K124" s="25"/>
    </row>
    <row r="125" spans="1:11" x14ac:dyDescent="0.25">
      <c r="A125" s="25"/>
      <c r="B125" s="25"/>
      <c r="C125" s="25"/>
      <c r="D125" s="25"/>
      <c r="E125" s="25"/>
      <c r="F125" s="25"/>
      <c r="G125" s="25"/>
      <c r="H125" s="25"/>
      <c r="I125" s="25"/>
      <c r="J125" s="25"/>
      <c r="K125" s="25"/>
    </row>
    <row r="126" spans="1:11" x14ac:dyDescent="0.25">
      <c r="A126" s="25"/>
      <c r="B126" s="25"/>
      <c r="C126" s="25"/>
      <c r="D126" s="25"/>
      <c r="E126" s="25"/>
      <c r="F126" s="25"/>
      <c r="G126" s="25"/>
      <c r="H126" s="25"/>
      <c r="I126" s="25"/>
      <c r="J126" s="25"/>
      <c r="K126" s="25"/>
    </row>
    <row r="127" spans="1:11" x14ac:dyDescent="0.25">
      <c r="A127" s="25"/>
      <c r="B127" s="25"/>
      <c r="C127" s="25"/>
      <c r="D127" s="25"/>
      <c r="E127" s="25"/>
      <c r="F127" s="25"/>
      <c r="G127" s="25"/>
      <c r="H127" s="25"/>
      <c r="I127" s="25"/>
      <c r="J127" s="25"/>
      <c r="K127" s="25"/>
    </row>
    <row r="128" spans="1:11" x14ac:dyDescent="0.25">
      <c r="A128" s="25"/>
      <c r="B128" s="25"/>
      <c r="C128" s="25"/>
      <c r="D128" s="25"/>
      <c r="E128" s="25"/>
      <c r="F128" s="25"/>
      <c r="G128" s="25"/>
      <c r="H128" s="25"/>
      <c r="I128" s="25"/>
      <c r="J128" s="25"/>
      <c r="K128" s="25"/>
    </row>
    <row r="129" spans="1:11" x14ac:dyDescent="0.25">
      <c r="A129" s="25"/>
      <c r="B129" s="25"/>
      <c r="C129" s="25"/>
      <c r="D129" s="25"/>
      <c r="E129" s="25"/>
      <c r="F129" s="25"/>
      <c r="G129" s="25"/>
      <c r="H129" s="25"/>
      <c r="I129" s="25"/>
      <c r="J129" s="25"/>
      <c r="K129" s="25"/>
    </row>
    <row r="130" spans="1:11" x14ac:dyDescent="0.25">
      <c r="A130" s="25"/>
      <c r="B130" s="25"/>
      <c r="C130" s="25"/>
      <c r="D130" s="25"/>
      <c r="E130" s="25"/>
      <c r="F130" s="25"/>
      <c r="G130" s="25"/>
      <c r="H130" s="25"/>
      <c r="I130" s="25"/>
      <c r="J130" s="25"/>
      <c r="K130" s="25"/>
    </row>
    <row r="131" spans="1:11" x14ac:dyDescent="0.25">
      <c r="A131" s="25"/>
      <c r="B131" s="25"/>
      <c r="C131" s="25"/>
      <c r="D131" s="25"/>
      <c r="E131" s="25"/>
      <c r="F131" s="25"/>
      <c r="G131" s="25"/>
      <c r="H131" s="25"/>
      <c r="I131" s="25"/>
      <c r="J131" s="25"/>
      <c r="K131" s="25"/>
    </row>
    <row r="132" spans="1:11" x14ac:dyDescent="0.25">
      <c r="A132" s="25"/>
      <c r="B132" s="25"/>
      <c r="C132" s="25"/>
      <c r="D132" s="25"/>
      <c r="E132" s="25"/>
      <c r="F132" s="25"/>
      <c r="G132" s="25"/>
      <c r="H132" s="25"/>
      <c r="I132" s="25"/>
      <c r="J132" s="25"/>
      <c r="K132" s="25"/>
    </row>
    <row r="133" spans="1:11" x14ac:dyDescent="0.25">
      <c r="A133" s="25"/>
      <c r="B133" s="25"/>
      <c r="C133" s="25"/>
      <c r="D133" s="25"/>
      <c r="E133" s="25"/>
      <c r="F133" s="25"/>
      <c r="G133" s="25"/>
      <c r="H133" s="25"/>
      <c r="I133" s="25"/>
      <c r="J133" s="25"/>
      <c r="K133" s="25"/>
    </row>
    <row r="134" spans="1:11" x14ac:dyDescent="0.25">
      <c r="A134" s="25"/>
      <c r="B134" s="25"/>
      <c r="C134" s="25"/>
      <c r="D134" s="25"/>
      <c r="E134" s="25"/>
      <c r="F134" s="25"/>
      <c r="G134" s="25"/>
      <c r="H134" s="25"/>
      <c r="I134" s="25"/>
      <c r="J134" s="25"/>
      <c r="K134" s="25"/>
    </row>
    <row r="135" spans="1:11" x14ac:dyDescent="0.25">
      <c r="A135" s="25"/>
      <c r="B135" s="25"/>
      <c r="C135" s="25"/>
      <c r="D135" s="25"/>
      <c r="E135" s="25"/>
      <c r="F135" s="25"/>
      <c r="G135" s="25"/>
      <c r="H135" s="25"/>
      <c r="I135" s="25"/>
      <c r="J135" s="25"/>
      <c r="K135" s="25"/>
    </row>
    <row r="136" spans="1:11" x14ac:dyDescent="0.25">
      <c r="A136" s="25"/>
      <c r="B136" s="25"/>
      <c r="C136" s="25"/>
      <c r="D136" s="25"/>
      <c r="E136" s="25"/>
      <c r="F136" s="25"/>
      <c r="G136" s="25"/>
      <c r="H136" s="25"/>
      <c r="I136" s="25"/>
      <c r="J136" s="25"/>
      <c r="K136" s="25"/>
    </row>
    <row r="137" spans="1:11" x14ac:dyDescent="0.25">
      <c r="A137" s="25"/>
      <c r="B137" s="25"/>
      <c r="C137" s="25"/>
      <c r="D137" s="25"/>
      <c r="E137" s="25"/>
      <c r="F137" s="25"/>
      <c r="G137" s="25"/>
      <c r="H137" s="25"/>
      <c r="I137" s="25"/>
      <c r="J137" s="25"/>
      <c r="K137" s="25"/>
    </row>
    <row r="138" spans="1:11" x14ac:dyDescent="0.25">
      <c r="A138" s="25"/>
      <c r="B138" s="25"/>
      <c r="C138" s="25"/>
      <c r="D138" s="25"/>
      <c r="E138" s="25"/>
      <c r="F138" s="25"/>
      <c r="G138" s="25"/>
      <c r="H138" s="25"/>
      <c r="I138" s="25"/>
      <c r="J138" s="25"/>
      <c r="K138" s="25"/>
    </row>
    <row r="139" spans="1:11" x14ac:dyDescent="0.25">
      <c r="A139" s="25"/>
      <c r="B139" s="25"/>
      <c r="C139" s="25"/>
      <c r="D139" s="25"/>
      <c r="E139" s="25"/>
      <c r="F139" s="25"/>
      <c r="G139" s="25"/>
      <c r="H139" s="25"/>
      <c r="I139" s="25"/>
      <c r="J139" s="25"/>
      <c r="K139" s="25"/>
    </row>
    <row r="140" spans="1:11" x14ac:dyDescent="0.25">
      <c r="A140" s="25"/>
      <c r="B140" s="25"/>
      <c r="C140" s="25"/>
      <c r="D140" s="25"/>
      <c r="E140" s="25"/>
      <c r="F140" s="25"/>
      <c r="G140" s="25"/>
      <c r="H140" s="25"/>
      <c r="I140" s="25"/>
      <c r="J140" s="25"/>
      <c r="K140" s="25"/>
    </row>
    <row r="141" spans="1:11" x14ac:dyDescent="0.25">
      <c r="A141" s="25"/>
      <c r="B141" s="25"/>
      <c r="C141" s="25"/>
      <c r="D141" s="25"/>
      <c r="E141" s="25"/>
      <c r="F141" s="25"/>
      <c r="G141" s="25"/>
      <c r="H141" s="25"/>
      <c r="I141" s="25"/>
      <c r="J141" s="25"/>
      <c r="K141" s="25"/>
    </row>
    <row r="142" spans="1:11" x14ac:dyDescent="0.25">
      <c r="A142" s="25"/>
      <c r="B142" s="25"/>
      <c r="C142" s="25"/>
      <c r="D142" s="25"/>
      <c r="E142" s="25"/>
      <c r="F142" s="25"/>
      <c r="G142" s="25"/>
      <c r="H142" s="25"/>
      <c r="I142" s="25"/>
      <c r="J142" s="25"/>
      <c r="K142" s="25"/>
    </row>
    <row r="143" spans="1:11" x14ac:dyDescent="0.25">
      <c r="A143" s="25"/>
      <c r="B143" s="25"/>
      <c r="C143" s="25"/>
      <c r="D143" s="25"/>
      <c r="E143" s="25"/>
      <c r="F143" s="25"/>
      <c r="G143" s="25"/>
      <c r="H143" s="25"/>
      <c r="I143" s="25"/>
      <c r="J143" s="25"/>
      <c r="K143" s="25"/>
    </row>
    <row r="144" spans="1:11" x14ac:dyDescent="0.25">
      <c r="A144" s="25"/>
      <c r="B144" s="25"/>
      <c r="C144" s="25"/>
      <c r="D144" s="25"/>
      <c r="E144" s="25"/>
      <c r="F144" s="25"/>
      <c r="G144" s="25"/>
      <c r="H144" s="25"/>
      <c r="I144" s="25"/>
      <c r="J144" s="25"/>
      <c r="K144" s="25"/>
    </row>
    <row r="145" spans="1:11" x14ac:dyDescent="0.25">
      <c r="A145" s="25"/>
      <c r="B145" s="25"/>
      <c r="C145" s="25"/>
      <c r="D145" s="25"/>
      <c r="E145" s="25"/>
      <c r="F145" s="25"/>
      <c r="G145" s="25"/>
      <c r="H145" s="25"/>
      <c r="I145" s="25"/>
      <c r="J145" s="25"/>
      <c r="K145" s="25"/>
    </row>
    <row r="146" spans="1:11" x14ac:dyDescent="0.25">
      <c r="A146" s="25"/>
      <c r="B146" s="25"/>
      <c r="C146" s="25"/>
      <c r="D146" s="25"/>
      <c r="E146" s="25"/>
      <c r="F146" s="25"/>
      <c r="G146" s="25"/>
      <c r="H146" s="25"/>
      <c r="I146" s="25"/>
      <c r="J146" s="25"/>
      <c r="K146" s="25"/>
    </row>
    <row r="147" spans="1:11" x14ac:dyDescent="0.25">
      <c r="A147" s="25"/>
      <c r="B147" s="25"/>
      <c r="C147" s="25"/>
      <c r="D147" s="25"/>
      <c r="E147" s="25"/>
      <c r="F147" s="25"/>
      <c r="G147" s="25"/>
      <c r="H147" s="25"/>
      <c r="I147" s="25"/>
      <c r="J147" s="25"/>
      <c r="K147" s="25"/>
    </row>
    <row r="148" spans="1:11" x14ac:dyDescent="0.25">
      <c r="A148" s="25"/>
      <c r="B148" s="25"/>
      <c r="C148" s="25"/>
      <c r="D148" s="25"/>
      <c r="E148" s="25"/>
      <c r="F148" s="25"/>
      <c r="G148" s="25"/>
      <c r="H148" s="25"/>
      <c r="I148" s="25"/>
      <c r="J148" s="25"/>
      <c r="K148" s="25"/>
    </row>
    <row r="149" spans="1:11" x14ac:dyDescent="0.25">
      <c r="A149" s="25"/>
      <c r="B149" s="25"/>
      <c r="C149" s="25"/>
      <c r="D149" s="25"/>
      <c r="E149" s="25"/>
      <c r="F149" s="25"/>
      <c r="G149" s="25"/>
      <c r="H149" s="25"/>
      <c r="I149" s="25"/>
      <c r="J149" s="25"/>
      <c r="K149" s="25"/>
    </row>
    <row r="150" spans="1:11" x14ac:dyDescent="0.25">
      <c r="A150" s="25"/>
      <c r="B150" s="25"/>
      <c r="C150" s="25"/>
      <c r="D150" s="25"/>
      <c r="E150" s="25"/>
      <c r="F150" s="25"/>
      <c r="G150" s="25"/>
      <c r="H150" s="25"/>
      <c r="I150" s="25"/>
      <c r="J150" s="25"/>
      <c r="K150" s="25"/>
    </row>
    <row r="151" spans="1:11" x14ac:dyDescent="0.25">
      <c r="A151" s="25"/>
      <c r="B151" s="25"/>
      <c r="C151" s="25"/>
      <c r="D151" s="25"/>
      <c r="E151" s="25"/>
      <c r="F151" s="25"/>
      <c r="G151" s="25"/>
      <c r="H151" s="25"/>
      <c r="I151" s="25"/>
      <c r="J151" s="25"/>
      <c r="K151" s="25"/>
    </row>
    <row r="152" spans="1:11" x14ac:dyDescent="0.25">
      <c r="A152" s="25"/>
      <c r="B152" s="25"/>
      <c r="C152" s="25"/>
      <c r="D152" s="25"/>
      <c r="E152" s="25"/>
      <c r="F152" s="25"/>
      <c r="G152" s="25"/>
      <c r="H152" s="25"/>
      <c r="I152" s="25"/>
      <c r="J152" s="25"/>
      <c r="K152" s="25"/>
    </row>
    <row r="153" spans="1:11" x14ac:dyDescent="0.25">
      <c r="A153" s="25"/>
      <c r="B153" s="25"/>
      <c r="C153" s="25"/>
      <c r="D153" s="25"/>
      <c r="E153" s="25"/>
      <c r="F153" s="25"/>
      <c r="G153" s="25"/>
      <c r="H153" s="25"/>
      <c r="I153" s="25"/>
      <c r="J153" s="25"/>
      <c r="K153" s="25"/>
    </row>
    <row r="154" spans="1:11" x14ac:dyDescent="0.25">
      <c r="A154" s="25"/>
      <c r="B154" s="25"/>
      <c r="C154" s="25"/>
      <c r="D154" s="25"/>
      <c r="E154" s="25"/>
      <c r="F154" s="25"/>
      <c r="G154" s="25"/>
      <c r="H154" s="25"/>
      <c r="I154" s="25"/>
      <c r="J154" s="25"/>
      <c r="K154" s="25"/>
    </row>
    <row r="155" spans="1:11" x14ac:dyDescent="0.25">
      <c r="A155" s="25"/>
      <c r="B155" s="25"/>
      <c r="C155" s="25"/>
      <c r="D155" s="25"/>
      <c r="E155" s="25"/>
      <c r="F155" s="25"/>
      <c r="G155" s="25"/>
      <c r="H155" s="25"/>
      <c r="I155" s="25"/>
      <c r="J155" s="25"/>
      <c r="K155" s="25"/>
    </row>
    <row r="156" spans="1:11" x14ac:dyDescent="0.25">
      <c r="A156" s="25"/>
      <c r="B156" s="25"/>
      <c r="C156" s="25"/>
      <c r="D156" s="25"/>
      <c r="E156" s="25"/>
      <c r="F156" s="25"/>
      <c r="G156" s="25"/>
      <c r="H156" s="25"/>
      <c r="I156" s="25"/>
      <c r="J156" s="25"/>
      <c r="K156" s="25"/>
    </row>
    <row r="157" spans="1:11" x14ac:dyDescent="0.25">
      <c r="A157" s="25"/>
      <c r="B157" s="25"/>
      <c r="C157" s="25"/>
      <c r="D157" s="25"/>
      <c r="E157" s="25"/>
      <c r="F157" s="25"/>
      <c r="G157" s="25"/>
      <c r="H157" s="25"/>
      <c r="I157" s="25"/>
      <c r="J157" s="25"/>
      <c r="K157" s="25"/>
    </row>
    <row r="158" spans="1:11" x14ac:dyDescent="0.25">
      <c r="A158" s="25"/>
      <c r="B158" s="25"/>
      <c r="C158" s="25"/>
      <c r="D158" s="25"/>
      <c r="E158" s="25"/>
      <c r="F158" s="25"/>
      <c r="G158" s="25"/>
      <c r="H158" s="25"/>
      <c r="I158" s="25"/>
      <c r="J158" s="25"/>
      <c r="K158" s="25"/>
    </row>
    <row r="159" spans="1:11" x14ac:dyDescent="0.25">
      <c r="A159" s="25"/>
      <c r="B159" s="25"/>
      <c r="C159" s="25"/>
      <c r="D159" s="25"/>
      <c r="E159" s="25"/>
      <c r="F159" s="25"/>
      <c r="G159" s="25"/>
      <c r="H159" s="25"/>
      <c r="I159" s="25"/>
      <c r="J159" s="25"/>
      <c r="K159" s="25"/>
    </row>
    <row r="160" spans="1:11" x14ac:dyDescent="0.25">
      <c r="A160" s="25"/>
      <c r="B160" s="25"/>
      <c r="C160" s="25"/>
      <c r="D160" s="25"/>
      <c r="E160" s="25"/>
      <c r="F160" s="25"/>
      <c r="G160" s="25"/>
      <c r="H160" s="25"/>
      <c r="I160" s="25"/>
      <c r="J160" s="25"/>
      <c r="K160" s="25"/>
    </row>
    <row r="161" spans="1:11" x14ac:dyDescent="0.25">
      <c r="A161" s="25"/>
      <c r="B161" s="25"/>
      <c r="C161" s="25"/>
      <c r="D161" s="25"/>
      <c r="E161" s="25"/>
      <c r="F161" s="25"/>
      <c r="G161" s="25"/>
      <c r="H161" s="25"/>
      <c r="I161" s="25"/>
      <c r="J161" s="25"/>
      <c r="K161" s="25"/>
    </row>
    <row r="162" spans="1:11" x14ac:dyDescent="0.25">
      <c r="A162" s="25"/>
      <c r="B162" s="25"/>
      <c r="C162" s="25"/>
      <c r="D162" s="25"/>
      <c r="E162" s="25"/>
      <c r="F162" s="25"/>
      <c r="G162" s="25"/>
      <c r="H162" s="25"/>
      <c r="I162" s="25"/>
      <c r="J162" s="25"/>
      <c r="K162" s="25"/>
    </row>
    <row r="163" spans="1:11" x14ac:dyDescent="0.25">
      <c r="A163" s="25"/>
      <c r="B163" s="25"/>
      <c r="C163" s="25"/>
      <c r="D163" s="25"/>
      <c r="E163" s="25"/>
      <c r="F163" s="25"/>
      <c r="G163" s="25"/>
      <c r="H163" s="25"/>
      <c r="I163" s="25"/>
      <c r="J163" s="25"/>
      <c r="K163" s="25"/>
    </row>
    <row r="164" spans="1:11" x14ac:dyDescent="0.25">
      <c r="A164" s="25"/>
      <c r="B164" s="25"/>
      <c r="C164" s="25"/>
      <c r="D164" s="25"/>
      <c r="E164" s="25"/>
      <c r="F164" s="25"/>
      <c r="G164" s="25"/>
      <c r="H164" s="25"/>
      <c r="I164" s="25"/>
      <c r="J164" s="25"/>
      <c r="K164" s="25"/>
    </row>
    <row r="165" spans="1:11" x14ac:dyDescent="0.25">
      <c r="A165" s="25"/>
      <c r="B165" s="25"/>
      <c r="C165" s="25"/>
      <c r="D165" s="25"/>
      <c r="E165" s="25"/>
      <c r="F165" s="25"/>
      <c r="G165" s="25"/>
      <c r="H165" s="25"/>
      <c r="I165" s="25"/>
      <c r="J165" s="25"/>
      <c r="K165" s="25"/>
    </row>
    <row r="166" spans="1:11" x14ac:dyDescent="0.25">
      <c r="A166" s="25"/>
      <c r="B166" s="25"/>
      <c r="C166" s="25"/>
      <c r="D166" s="25"/>
      <c r="E166" s="25"/>
      <c r="F166" s="25"/>
      <c r="G166" s="25"/>
      <c r="H166" s="25"/>
      <c r="I166" s="25"/>
      <c r="J166" s="25"/>
      <c r="K166" s="25"/>
    </row>
    <row r="167" spans="1:11" x14ac:dyDescent="0.25">
      <c r="A167" s="25"/>
      <c r="B167" s="25"/>
      <c r="C167" s="25"/>
      <c r="D167" s="25"/>
      <c r="E167" s="25"/>
      <c r="F167" s="25"/>
      <c r="G167" s="25"/>
      <c r="H167" s="25"/>
      <c r="I167" s="25"/>
      <c r="J167" s="25"/>
      <c r="K167" s="25"/>
    </row>
    <row r="168" spans="1:11" x14ac:dyDescent="0.25">
      <c r="A168" s="25"/>
      <c r="B168" s="25"/>
      <c r="C168" s="25"/>
      <c r="D168" s="25"/>
      <c r="E168" s="25"/>
      <c r="F168" s="25"/>
      <c r="G168" s="25"/>
      <c r="H168" s="25"/>
      <c r="I168" s="25"/>
      <c r="J168" s="25"/>
      <c r="K168" s="25"/>
    </row>
    <row r="169" spans="1:11" x14ac:dyDescent="0.25">
      <c r="A169" s="25"/>
      <c r="B169" s="25"/>
      <c r="C169" s="25"/>
      <c r="D169" s="25"/>
      <c r="E169" s="25"/>
      <c r="F169" s="25"/>
      <c r="G169" s="25"/>
      <c r="H169" s="25"/>
      <c r="I169" s="25"/>
      <c r="J169" s="25"/>
      <c r="K169" s="25"/>
    </row>
    <row r="170" spans="1:11" x14ac:dyDescent="0.25">
      <c r="A170" s="25"/>
      <c r="B170" s="25"/>
      <c r="C170" s="25"/>
      <c r="D170" s="25"/>
      <c r="E170" s="25"/>
      <c r="F170" s="25"/>
      <c r="G170" s="25"/>
      <c r="H170" s="25"/>
      <c r="I170" s="25"/>
      <c r="J170" s="25"/>
      <c r="K170" s="25"/>
    </row>
    <row r="171" spans="1:11" x14ac:dyDescent="0.25">
      <c r="A171" s="25"/>
      <c r="B171" s="25"/>
      <c r="C171" s="25"/>
      <c r="D171" s="25"/>
      <c r="E171" s="25"/>
      <c r="F171" s="25"/>
      <c r="G171" s="25"/>
      <c r="H171" s="25"/>
      <c r="I171" s="25"/>
      <c r="J171" s="25"/>
      <c r="K171" s="25"/>
    </row>
    <row r="172" spans="1:11" x14ac:dyDescent="0.25">
      <c r="A172" s="25"/>
      <c r="B172" s="25"/>
      <c r="C172" s="25"/>
      <c r="D172" s="25"/>
      <c r="E172" s="25"/>
      <c r="F172" s="25"/>
      <c r="G172" s="25"/>
      <c r="H172" s="25"/>
      <c r="I172" s="25"/>
      <c r="J172" s="25"/>
      <c r="K172" s="25"/>
    </row>
    <row r="173" spans="1:11" x14ac:dyDescent="0.25">
      <c r="A173" s="25"/>
      <c r="B173" s="25"/>
      <c r="C173" s="25"/>
      <c r="D173" s="25"/>
      <c r="E173" s="25"/>
      <c r="F173" s="25"/>
      <c r="G173" s="25"/>
      <c r="H173" s="25"/>
      <c r="I173" s="25"/>
      <c r="J173" s="25"/>
      <c r="K173" s="25"/>
    </row>
    <row r="174" spans="1:11" x14ac:dyDescent="0.25">
      <c r="A174" s="25"/>
      <c r="B174" s="25"/>
      <c r="C174" s="25"/>
      <c r="D174" s="25"/>
      <c r="E174" s="25"/>
      <c r="F174" s="25"/>
      <c r="G174" s="25"/>
      <c r="H174" s="25"/>
      <c r="I174" s="25"/>
      <c r="J174" s="25"/>
      <c r="K174" s="25"/>
    </row>
    <row r="175" spans="1:11" x14ac:dyDescent="0.25">
      <c r="A175" s="25"/>
      <c r="B175" s="25"/>
      <c r="C175" s="25"/>
      <c r="D175" s="25"/>
      <c r="E175" s="25"/>
      <c r="F175" s="25"/>
      <c r="G175" s="25"/>
      <c r="H175" s="25"/>
      <c r="I175" s="25"/>
      <c r="J175" s="25"/>
      <c r="K175" s="25"/>
    </row>
    <row r="176" spans="1:11" x14ac:dyDescent="0.25">
      <c r="A176" s="25"/>
      <c r="B176" s="25"/>
      <c r="C176" s="25"/>
      <c r="D176" s="25"/>
      <c r="E176" s="25"/>
      <c r="F176" s="25"/>
      <c r="G176" s="25"/>
      <c r="H176" s="25"/>
      <c r="I176" s="25"/>
      <c r="J176" s="25"/>
      <c r="K176" s="25"/>
    </row>
    <row r="177" spans="1:11" x14ac:dyDescent="0.25">
      <c r="A177" s="25"/>
      <c r="B177" s="25"/>
      <c r="C177" s="25"/>
      <c r="D177" s="25"/>
      <c r="E177" s="25"/>
      <c r="F177" s="25"/>
      <c r="G177" s="25"/>
      <c r="H177" s="25"/>
      <c r="I177" s="25"/>
      <c r="J177" s="25"/>
      <c r="K177" s="25"/>
    </row>
    <row r="178" spans="1:11" x14ac:dyDescent="0.25">
      <c r="A178" s="25"/>
      <c r="B178" s="25"/>
      <c r="C178" s="25"/>
      <c r="D178" s="25"/>
      <c r="E178" s="25"/>
      <c r="F178" s="25"/>
      <c r="G178" s="25"/>
      <c r="H178" s="25"/>
      <c r="I178" s="25"/>
      <c r="J178" s="25"/>
      <c r="K178" s="25"/>
    </row>
    <row r="179" spans="1:11" x14ac:dyDescent="0.25">
      <c r="A179" s="25"/>
      <c r="B179" s="25"/>
      <c r="C179" s="25"/>
      <c r="D179" s="25"/>
      <c r="E179" s="25"/>
      <c r="F179" s="25"/>
      <c r="G179" s="25"/>
      <c r="H179" s="25"/>
      <c r="I179" s="25"/>
      <c r="J179" s="25"/>
      <c r="K179" s="25"/>
    </row>
    <row r="180" spans="1:11" x14ac:dyDescent="0.25">
      <c r="A180" s="25"/>
      <c r="B180" s="25"/>
      <c r="C180" s="25"/>
      <c r="D180" s="25"/>
      <c r="E180" s="25"/>
      <c r="F180" s="25"/>
      <c r="G180" s="25"/>
      <c r="H180" s="25"/>
      <c r="I180" s="25"/>
      <c r="J180" s="25"/>
      <c r="K180" s="25"/>
    </row>
    <row r="181" spans="1:11" x14ac:dyDescent="0.25">
      <c r="A181" s="25"/>
      <c r="B181" s="25"/>
      <c r="C181" s="25"/>
      <c r="D181" s="25"/>
      <c r="E181" s="25"/>
      <c r="F181" s="25"/>
      <c r="G181" s="25"/>
      <c r="H181" s="25"/>
      <c r="I181" s="25"/>
      <c r="J181" s="25"/>
      <c r="K181" s="25"/>
    </row>
    <row r="182" spans="1:11" x14ac:dyDescent="0.25">
      <c r="A182" s="25"/>
      <c r="B182" s="25"/>
      <c r="C182" s="25"/>
      <c r="D182" s="25"/>
      <c r="E182" s="25"/>
      <c r="F182" s="25"/>
      <c r="G182" s="25"/>
      <c r="H182" s="25"/>
      <c r="I182" s="25"/>
      <c r="J182" s="25"/>
      <c r="K182" s="25"/>
    </row>
    <row r="183" spans="1:11" x14ac:dyDescent="0.25">
      <c r="A183" s="25"/>
      <c r="B183" s="25"/>
      <c r="C183" s="25"/>
      <c r="D183" s="25"/>
      <c r="E183" s="25"/>
      <c r="F183" s="25"/>
      <c r="G183" s="25"/>
      <c r="H183" s="25"/>
      <c r="I183" s="25"/>
      <c r="J183" s="25"/>
      <c r="K183" s="25"/>
    </row>
    <row r="184" spans="1:11" x14ac:dyDescent="0.25">
      <c r="A184" s="25"/>
      <c r="B184" s="25"/>
      <c r="C184" s="25"/>
      <c r="D184" s="25"/>
      <c r="E184" s="25"/>
      <c r="F184" s="25"/>
      <c r="G184" s="25"/>
      <c r="H184" s="25"/>
      <c r="I184" s="25"/>
      <c r="J184" s="25"/>
      <c r="K184" s="25"/>
    </row>
    <row r="185" spans="1:11" x14ac:dyDescent="0.25">
      <c r="A185" s="25"/>
      <c r="B185" s="25"/>
      <c r="C185" s="25"/>
      <c r="D185" s="25"/>
      <c r="E185" s="25"/>
      <c r="F185" s="25"/>
      <c r="G185" s="25"/>
      <c r="H185" s="25"/>
      <c r="I185" s="25"/>
      <c r="J185" s="25"/>
      <c r="K185" s="25"/>
    </row>
    <row r="186" spans="1:11" x14ac:dyDescent="0.25">
      <c r="A186" s="25"/>
      <c r="B186" s="25"/>
      <c r="C186" s="25"/>
      <c r="D186" s="25"/>
      <c r="E186" s="25"/>
      <c r="F186" s="25"/>
      <c r="G186" s="25"/>
      <c r="H186" s="25"/>
      <c r="I186" s="25"/>
      <c r="J186" s="25"/>
      <c r="K186" s="25"/>
    </row>
    <row r="187" spans="1:11" x14ac:dyDescent="0.25">
      <c r="A187" s="25"/>
      <c r="B187" s="25"/>
      <c r="C187" s="25"/>
      <c r="D187" s="25"/>
      <c r="E187" s="25"/>
      <c r="F187" s="25"/>
      <c r="G187" s="25"/>
      <c r="H187" s="25"/>
      <c r="I187" s="25"/>
      <c r="J187" s="25"/>
      <c r="K187" s="25"/>
    </row>
    <row r="188" spans="1:11" x14ac:dyDescent="0.25">
      <c r="A188" s="25"/>
      <c r="B188" s="25"/>
      <c r="C188" s="25"/>
      <c r="D188" s="25"/>
      <c r="E188" s="25"/>
      <c r="F188" s="25"/>
      <c r="G188" s="25"/>
      <c r="H188" s="25"/>
      <c r="I188" s="25"/>
      <c r="J188" s="25"/>
      <c r="K188" s="25"/>
    </row>
    <row r="189" spans="1:11" x14ac:dyDescent="0.25">
      <c r="A189" s="25"/>
      <c r="B189" s="25"/>
      <c r="C189" s="25"/>
      <c r="D189" s="25"/>
      <c r="E189" s="25"/>
      <c r="F189" s="25"/>
      <c r="G189" s="25"/>
      <c r="H189" s="25"/>
      <c r="I189" s="25"/>
      <c r="J189" s="25"/>
      <c r="K189" s="25"/>
    </row>
    <row r="190" spans="1:11" x14ac:dyDescent="0.25">
      <c r="A190" s="25"/>
      <c r="B190" s="25"/>
      <c r="C190" s="25"/>
      <c r="D190" s="25"/>
      <c r="E190" s="25"/>
      <c r="F190" s="25"/>
      <c r="G190" s="25"/>
      <c r="H190" s="25"/>
      <c r="I190" s="25"/>
      <c r="J190" s="25"/>
      <c r="K190" s="25"/>
    </row>
    <row r="191" spans="1:11" x14ac:dyDescent="0.25">
      <c r="A191" s="25"/>
      <c r="B191" s="25"/>
      <c r="C191" s="25"/>
      <c r="D191" s="25"/>
      <c r="E191" s="25"/>
      <c r="F191" s="25"/>
      <c r="G191" s="25"/>
      <c r="H191" s="25"/>
      <c r="I191" s="25"/>
      <c r="J191" s="25"/>
      <c r="K191" s="25"/>
    </row>
    <row r="192" spans="1:11" x14ac:dyDescent="0.25">
      <c r="A192" s="25"/>
      <c r="B192" s="25"/>
      <c r="C192" s="25"/>
      <c r="D192" s="25"/>
      <c r="E192" s="25"/>
      <c r="F192" s="25"/>
      <c r="G192" s="25"/>
      <c r="H192" s="25"/>
      <c r="I192" s="25"/>
      <c r="J192" s="25"/>
      <c r="K192" s="25"/>
    </row>
    <row r="193" spans="1:11" x14ac:dyDescent="0.25">
      <c r="A193" s="25"/>
      <c r="B193" s="25"/>
      <c r="C193" s="25"/>
      <c r="D193" s="25"/>
      <c r="E193" s="25"/>
      <c r="F193" s="25"/>
      <c r="G193" s="25"/>
      <c r="H193" s="25"/>
      <c r="I193" s="25"/>
      <c r="J193" s="25"/>
      <c r="K193" s="25"/>
    </row>
    <row r="194" spans="1:11" x14ac:dyDescent="0.25">
      <c r="A194" s="25"/>
      <c r="B194" s="25"/>
      <c r="C194" s="25"/>
      <c r="D194" s="25"/>
      <c r="E194" s="25"/>
      <c r="F194" s="25"/>
      <c r="G194" s="25"/>
      <c r="H194" s="25"/>
      <c r="I194" s="25"/>
      <c r="J194" s="25"/>
      <c r="K194" s="25"/>
    </row>
    <row r="195" spans="1:11" x14ac:dyDescent="0.25">
      <c r="A195" s="25"/>
      <c r="B195" s="25"/>
      <c r="C195" s="25"/>
      <c r="D195" s="25"/>
      <c r="E195" s="25"/>
      <c r="F195" s="25"/>
      <c r="G195" s="25"/>
      <c r="H195" s="25"/>
      <c r="I195" s="25"/>
      <c r="J195" s="25"/>
      <c r="K195" s="25"/>
    </row>
    <row r="196" spans="1:11" x14ac:dyDescent="0.25">
      <c r="A196" s="25"/>
      <c r="B196" s="25"/>
      <c r="C196" s="25"/>
      <c r="D196" s="25"/>
      <c r="E196" s="25"/>
      <c r="F196" s="25"/>
      <c r="G196" s="25"/>
      <c r="H196" s="25"/>
      <c r="I196" s="25"/>
      <c r="J196" s="25"/>
      <c r="K196" s="25"/>
    </row>
    <row r="197" spans="1:11" x14ac:dyDescent="0.25">
      <c r="A197" s="25"/>
      <c r="B197" s="25"/>
      <c r="C197" s="25"/>
      <c r="D197" s="25"/>
      <c r="E197" s="25"/>
      <c r="F197" s="25"/>
      <c r="G197" s="25"/>
      <c r="H197" s="25"/>
      <c r="I197" s="25"/>
      <c r="J197" s="25"/>
      <c r="K197" s="25"/>
    </row>
    <row r="198" spans="1:11" x14ac:dyDescent="0.25">
      <c r="A198" s="25"/>
      <c r="B198" s="25"/>
      <c r="C198" s="25"/>
      <c r="D198" s="25"/>
      <c r="E198" s="25"/>
      <c r="F198" s="25"/>
      <c r="G198" s="25"/>
      <c r="H198" s="25"/>
      <c r="I198" s="25"/>
      <c r="J198" s="25"/>
      <c r="K198" s="25"/>
    </row>
    <row r="199" spans="1:11" x14ac:dyDescent="0.25">
      <c r="A199" s="25"/>
      <c r="B199" s="25"/>
      <c r="C199" s="25"/>
      <c r="D199" s="25"/>
      <c r="E199" s="25"/>
      <c r="F199" s="25"/>
      <c r="G199" s="25"/>
      <c r="H199" s="25"/>
      <c r="I199" s="25"/>
      <c r="J199" s="25"/>
      <c r="K199" s="25"/>
    </row>
    <row r="200" spans="1:11" x14ac:dyDescent="0.25">
      <c r="A200" s="25"/>
      <c r="B200" s="25"/>
      <c r="C200" s="25"/>
      <c r="D200" s="25"/>
      <c r="E200" s="25"/>
      <c r="F200" s="25"/>
      <c r="G200" s="25"/>
      <c r="H200" s="25"/>
      <c r="I200" s="25"/>
      <c r="J200" s="25"/>
      <c r="K200" s="25"/>
    </row>
  </sheetData>
  <dataValidations count="14">
    <dataValidation operator="greaterThan" allowBlank="1" showInputMessage="1" showErrorMessage="1" sqref="C1 C201:C1048576" xr:uid="{E2513BFF-F9D1-4F2B-BA81-FB1C6A495E86}"/>
    <dataValidation type="list" allowBlank="1" showInputMessage="1" showErrorMessage="1" sqref="H2:H1048576" xr:uid="{AE485D11-71FC-4B33-83D3-4C6B61D753FC}">
      <formula1>"Yes,No"</formula1>
    </dataValidation>
    <dataValidation type="whole" operator="greaterThan" allowBlank="1" showInputMessage="1" showErrorMessage="1" errorTitle="Data Type Error" error="Should be in Number not Text" sqref="D2:D1048576" xr:uid="{6874A8C8-A2DA-4060-81ED-3D2C2E21D485}">
      <formula1>0</formula1>
    </dataValidation>
    <dataValidation allowBlank="1" showInputMessage="1" showErrorMessage="1" errorTitle="Cost Category Error" error="Please check the category of the cost" sqref="A1:B1" xr:uid="{73946AC4-F6C6-4ADA-B485-C196A6D16E4F}"/>
    <dataValidation type="whole" operator="greaterThan" allowBlank="1" showInputMessage="1" showErrorMessage="1" errorTitle="Data Type Error" error="The PDRI Portion should be in Integer or Float not String" sqref="K201:K1048576" xr:uid="{90321D4F-D54C-4B37-92F0-442E27B3B60D}">
      <formula1>0</formula1>
    </dataValidation>
    <dataValidation type="whole" operator="greaterThan" allowBlank="1" showInputMessage="1" showErrorMessage="1" errorTitle="Data Type Error" error="The PPN portion should be in Integer or Float not String" sqref="I201:J1048576" xr:uid="{D51A1E07-DEAF-4E72-968C-318105126DED}">
      <formula1>0</formula1>
    </dataValidation>
    <dataValidation type="whole" allowBlank="1" showInputMessage="1" showErrorMessage="1" errorTitle="Data Type Error" error="The Year should be in Integer not String" sqref="A2:A1048576" xr:uid="{B9CD97C0-3BBF-45BF-B688-6D8A914F091A}">
      <formula1>0</formula1>
      <formula2>9999</formula2>
    </dataValidation>
    <dataValidation type="list" allowBlank="1" showInputMessage="1" showErrorMessage="1" sqref="B2:B1048576" xr:uid="{2969FC48-8542-45FF-BA00-8E0914435DC3}">
      <formula1>"Oil,Gas"</formula1>
    </dataValidation>
    <dataValidation type="decimal" operator="greaterThanOrEqual" allowBlank="1" showInputMessage="1" showErrorMessage="1" errorTitle="Data Type" error="Should be more than or equal to 0." sqref="C2:C200" xr:uid="{97B55751-C250-445F-A002-81F70B2DC9CD}">
      <formula1>0</formula1>
    </dataValidation>
    <dataValidation type="whole" operator="greaterThan" allowBlank="1" showInputMessage="1" showErrorMessage="1" errorTitle="Data Type" error="Should be year number, non decimal" sqref="E2:E200" xr:uid="{A0477B44-4648-4A0C-97C2-29BC3ECEE0DF}">
      <formula1>0</formula1>
    </dataValidation>
    <dataValidation type="decimal" allowBlank="1" showInputMessage="1" showErrorMessage="1" errorTitle="Data Type" error="Should be between 0 and 1" sqref="F2:F200" xr:uid="{459927B0-7558-46C1-AE7E-8E6015DE4DA8}">
      <formula1>0</formula1>
      <formula2>1</formula2>
    </dataValidation>
    <dataValidation type="decimal" operator="greaterThanOrEqual" allowBlank="1" showInputMessage="1" showErrorMessage="1" sqref="G2:G200" xr:uid="{CD07B321-717B-4BA8-9798-8F91DA5F45FE}">
      <formula1>0</formula1>
    </dataValidation>
    <dataValidation type="decimal" allowBlank="1" showInputMessage="1" showErrorMessage="1" errorTitle="Data Type Error" error="Should be between 0 and 1" sqref="I2:J200" xr:uid="{BEC210BF-0399-4148-87CE-309FE3A2C344}">
      <formula1>0</formula1>
      <formula2>1</formula2>
    </dataValidation>
    <dataValidation operator="greaterThan" allowBlank="1" showInputMessage="1" showErrorMessage="1" errorTitle="Data Type Error" error="The PDRI Portion should be in Integer or Float not String" sqref="K2:K200" xr:uid="{07D89D1E-7CAB-4722-BF36-E7E719913BA4}"/>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E7F28-910F-41A4-9C83-669553086D7C}">
  <sheetPr codeName="Sheet12">
    <tabColor rgb="FFA3B8BA"/>
  </sheetPr>
  <dimension ref="A1:F200"/>
  <sheetViews>
    <sheetView workbookViewId="0">
      <selection activeCell="A2" sqref="A2:F6"/>
    </sheetView>
  </sheetViews>
  <sheetFormatPr defaultColWidth="0" defaultRowHeight="15" zeroHeight="1" x14ac:dyDescent="0.25"/>
  <cols>
    <col min="1" max="1" width="11.140625" customWidth="1"/>
    <col min="2" max="2" width="19" bestFit="1" customWidth="1"/>
    <col min="3" max="3" width="16.140625" bestFit="1" customWidth="1"/>
    <col min="4" max="4" width="15.5703125" bestFit="1" customWidth="1"/>
    <col min="5" max="5" width="15.140625" bestFit="1" customWidth="1"/>
    <col min="6" max="6" width="13.85546875" bestFit="1" customWidth="1"/>
    <col min="7" max="16384" width="8.85546875" hidden="1"/>
  </cols>
  <sheetData>
    <row r="1" spans="1:6" x14ac:dyDescent="0.25">
      <c r="A1" s="71" t="s">
        <v>0</v>
      </c>
      <c r="B1" s="71" t="s">
        <v>17</v>
      </c>
      <c r="C1" s="71" t="s">
        <v>18</v>
      </c>
      <c r="D1" s="71" t="s">
        <v>274</v>
      </c>
      <c r="E1" s="71" t="s">
        <v>271</v>
      </c>
      <c r="F1" s="71" t="s">
        <v>258</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9">
    <dataValidation type="list" allowBlank="1" showInputMessage="1" showErrorMessage="1" sqref="B2:B1048576" xr:uid="{C7D39D74-11A7-4203-8383-522FFBD611E8}">
      <formula1>"Oil,Gas"</formula1>
    </dataValidation>
    <dataValidation type="whole" allowBlank="1" showInputMessage="1" showErrorMessage="1" errorTitle="Data Type Error" error="The Year should be in Integer not String" sqref="A2:A1048576" xr:uid="{E2C6F16F-B840-48E8-AE01-5D08908C9FA0}">
      <formula1>0</formula1>
      <formula2>9999</formula2>
    </dataValidation>
    <dataValidation type="whole" allowBlank="1" showInputMessage="1" showErrorMessage="1" errorTitle="Data Type Error" error="Cost Data should be in Integer not String_x000a_" sqref="C201:C1048576" xr:uid="{0F0297ED-AF99-48BF-B0E5-8AB2C6199B9C}">
      <formula1>-9999999</formula1>
      <formula2>9999999</formula2>
    </dataValidation>
    <dataValidation type="whole" operator="greaterThan" allowBlank="1" showInputMessage="1" showErrorMessage="1" errorTitle="Data Type Error" error="The PPN portion should be in Integer or Float not String" sqref="D201:E1048576" xr:uid="{CE30951F-4309-49AB-8E09-C199EE825507}">
      <formula1>0</formula1>
    </dataValidation>
    <dataValidation type="whole" operator="greaterThan" allowBlank="1" showInputMessage="1" showErrorMessage="1" errorTitle="Data Type Error" error="The PDRI Portion should be in Integer or Float not String" sqref="F201:F1048576" xr:uid="{8C1BE538-9828-497F-8974-1EF45DE2C5A2}">
      <formula1>0</formula1>
    </dataValidation>
    <dataValidation allowBlank="1" showInputMessage="1" showErrorMessage="1" errorTitle="Cost Category Error" error="Please check the category of the cost" sqref="A1:F1" xr:uid="{587C7E7A-7A6A-4E2D-9238-1BEE1547036A}"/>
    <dataValidation type="whole" operator="greaterThanOrEqual" allowBlank="1" showInputMessage="1" showErrorMessage="1" errorTitle="Data Type Error" error="Cost Data should be in Integer not String_x000a_" sqref="C2:C200" xr:uid="{7B5F7F40-D3B4-4CB1-8E6C-CEA4020FC5D7}">
      <formula1>0</formula1>
    </dataValidation>
    <dataValidation type="decimal" allowBlank="1" showInputMessage="1" showErrorMessage="1" errorTitle="Data Type Error" error="Should be between 0 and 1" sqref="D2:E200" xr:uid="{10438725-6E2D-48D2-927A-7642F495BFA3}">
      <formula1>0</formula1>
      <formula2>1</formula2>
    </dataValidation>
    <dataValidation operator="greaterThan" allowBlank="1" showInputMessage="1" showErrorMessage="1" errorTitle="Data Type Error" error="The PDRI Portion should be in Integer or Float not String" sqref="F2:F200" xr:uid="{B27D3180-69D8-4596-99F6-C487FDA13BBA}"/>
  </dataValidation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DD502-59D0-414C-B4D7-EE6A0881CDF1}">
  <sheetPr codeName="Sheet13">
    <tabColor rgb="FFA3B8BA"/>
  </sheetPr>
  <dimension ref="A1:H200"/>
  <sheetViews>
    <sheetView workbookViewId="0">
      <selection activeCell="D6" sqref="D6"/>
    </sheetView>
  </sheetViews>
  <sheetFormatPr defaultColWidth="0" defaultRowHeight="15" zeroHeight="1" x14ac:dyDescent="0.25"/>
  <cols>
    <col min="1" max="1" width="9.140625" bestFit="1" customWidth="1"/>
    <col min="2" max="2" width="19" bestFit="1" customWidth="1"/>
    <col min="3" max="3" width="21.140625" bestFit="1" customWidth="1"/>
    <col min="4" max="4" width="19.140625" bestFit="1" customWidth="1"/>
    <col min="5" max="5" width="29.42578125" bestFit="1" customWidth="1"/>
    <col min="6" max="6" width="15.5703125" bestFit="1" customWidth="1"/>
    <col min="7" max="7" width="15.140625" bestFit="1" customWidth="1"/>
    <col min="8" max="8" width="14.85546875" bestFit="1" customWidth="1"/>
    <col min="9" max="16384" width="8.85546875" hidden="1"/>
  </cols>
  <sheetData>
    <row r="1" spans="1:8" x14ac:dyDescent="0.25">
      <c r="A1" s="71" t="s">
        <v>0</v>
      </c>
      <c r="B1" s="71" t="s">
        <v>17</v>
      </c>
      <c r="C1" s="71" t="s">
        <v>275</v>
      </c>
      <c r="D1" s="71" t="s">
        <v>276</v>
      </c>
      <c r="E1" s="71" t="s">
        <v>277</v>
      </c>
      <c r="F1" s="71" t="s">
        <v>274</v>
      </c>
      <c r="G1" s="71" t="s">
        <v>271</v>
      </c>
      <c r="H1" s="71" t="s">
        <v>258</v>
      </c>
    </row>
    <row r="2" spans="1:8" x14ac:dyDescent="0.25">
      <c r="A2" s="25"/>
      <c r="B2" s="25"/>
      <c r="C2" s="25"/>
      <c r="D2" s="25"/>
      <c r="E2" s="25"/>
      <c r="F2" s="25"/>
      <c r="G2" s="25"/>
      <c r="H2" s="25"/>
    </row>
    <row r="3" spans="1:8" x14ac:dyDescent="0.25">
      <c r="A3" s="25"/>
      <c r="B3" s="25"/>
      <c r="C3" s="25"/>
      <c r="D3" s="25"/>
      <c r="E3" s="25"/>
      <c r="F3" s="25"/>
      <c r="G3" s="25"/>
      <c r="H3" s="25"/>
    </row>
    <row r="4" spans="1:8" x14ac:dyDescent="0.25">
      <c r="A4" s="25"/>
      <c r="B4" s="25"/>
      <c r="C4" s="25"/>
      <c r="D4" s="25"/>
      <c r="E4" s="25"/>
      <c r="F4" s="25"/>
      <c r="G4" s="25"/>
      <c r="H4" s="25"/>
    </row>
    <row r="5" spans="1:8" x14ac:dyDescent="0.25">
      <c r="A5" s="25"/>
      <c r="B5" s="25"/>
      <c r="C5" s="25"/>
      <c r="D5" s="25"/>
      <c r="E5" s="25"/>
      <c r="F5" s="25"/>
      <c r="G5" s="25"/>
      <c r="H5" s="25"/>
    </row>
    <row r="6" spans="1:8" x14ac:dyDescent="0.25">
      <c r="A6" s="25"/>
      <c r="B6" s="25"/>
      <c r="C6" s="25"/>
      <c r="D6" s="25"/>
      <c r="E6" s="25"/>
      <c r="F6" s="25"/>
      <c r="G6" s="25"/>
      <c r="H6" s="25"/>
    </row>
    <row r="7" spans="1:8" x14ac:dyDescent="0.25">
      <c r="A7" s="25"/>
      <c r="B7" s="25"/>
      <c r="C7" s="25"/>
      <c r="D7" s="25"/>
      <c r="E7" s="25"/>
      <c r="F7" s="25"/>
      <c r="G7" s="25"/>
      <c r="H7" s="25"/>
    </row>
    <row r="8" spans="1:8" x14ac:dyDescent="0.25">
      <c r="A8" s="25"/>
      <c r="B8" s="25"/>
      <c r="C8" s="25"/>
      <c r="D8" s="25"/>
      <c r="E8" s="25"/>
      <c r="F8" s="25"/>
      <c r="G8" s="25"/>
      <c r="H8" s="25"/>
    </row>
    <row r="9" spans="1:8" x14ac:dyDescent="0.25">
      <c r="A9" s="25"/>
      <c r="B9" s="25"/>
      <c r="C9" s="25"/>
      <c r="D9" s="25"/>
      <c r="E9" s="25"/>
      <c r="F9" s="25"/>
      <c r="G9" s="25"/>
      <c r="H9" s="25"/>
    </row>
    <row r="10" spans="1:8" x14ac:dyDescent="0.25">
      <c r="A10" s="25"/>
      <c r="B10" s="25"/>
      <c r="C10" s="25"/>
      <c r="D10" s="25"/>
      <c r="E10" s="25"/>
      <c r="F10" s="25"/>
      <c r="G10" s="25"/>
      <c r="H10" s="25"/>
    </row>
    <row r="11" spans="1:8" x14ac:dyDescent="0.25">
      <c r="A11" s="25"/>
      <c r="B11" s="25"/>
      <c r="C11" s="25"/>
      <c r="D11" s="25"/>
      <c r="E11" s="25"/>
      <c r="F11" s="25"/>
      <c r="G11" s="25"/>
      <c r="H11" s="25"/>
    </row>
    <row r="12" spans="1:8" x14ac:dyDescent="0.25">
      <c r="A12" s="25"/>
      <c r="B12" s="25"/>
      <c r="C12" s="25"/>
      <c r="D12" s="25"/>
      <c r="E12" s="25"/>
      <c r="F12" s="25"/>
      <c r="G12" s="25"/>
      <c r="H12" s="25"/>
    </row>
    <row r="13" spans="1:8" x14ac:dyDescent="0.25">
      <c r="A13" s="25"/>
      <c r="B13" s="25"/>
      <c r="C13" s="25"/>
      <c r="D13" s="25"/>
      <c r="E13" s="25"/>
      <c r="F13" s="25"/>
      <c r="G13" s="25"/>
      <c r="H13" s="25"/>
    </row>
    <row r="14" spans="1:8" x14ac:dyDescent="0.25">
      <c r="A14" s="25"/>
      <c r="B14" s="25"/>
      <c r="C14" s="25"/>
      <c r="D14" s="25"/>
      <c r="E14" s="25"/>
      <c r="F14" s="25"/>
      <c r="G14" s="25"/>
      <c r="H14" s="25"/>
    </row>
    <row r="15" spans="1:8" x14ac:dyDescent="0.25">
      <c r="A15" s="25"/>
      <c r="B15" s="25"/>
      <c r="C15" s="25"/>
      <c r="D15" s="25"/>
      <c r="E15" s="25"/>
      <c r="F15" s="25"/>
      <c r="G15" s="25"/>
      <c r="H15" s="25"/>
    </row>
    <row r="16" spans="1:8" x14ac:dyDescent="0.25">
      <c r="A16" s="25"/>
      <c r="B16" s="25"/>
      <c r="C16" s="25"/>
      <c r="D16" s="25"/>
      <c r="E16" s="25"/>
      <c r="F16" s="25"/>
      <c r="G16" s="25"/>
      <c r="H16" s="25"/>
    </row>
    <row r="17" spans="1:8" x14ac:dyDescent="0.25">
      <c r="A17" s="25"/>
      <c r="B17" s="25"/>
      <c r="C17" s="25"/>
      <c r="D17" s="25"/>
      <c r="E17" s="25"/>
      <c r="F17" s="25"/>
      <c r="G17" s="25"/>
      <c r="H17" s="25"/>
    </row>
    <row r="18" spans="1:8" x14ac:dyDescent="0.25">
      <c r="A18" s="25"/>
      <c r="B18" s="25"/>
      <c r="C18" s="25"/>
      <c r="D18" s="25"/>
      <c r="E18" s="25"/>
      <c r="F18" s="25"/>
      <c r="G18" s="25"/>
      <c r="H18" s="25"/>
    </row>
    <row r="19" spans="1:8" x14ac:dyDescent="0.25">
      <c r="A19" s="25"/>
      <c r="B19" s="25"/>
      <c r="C19" s="25"/>
      <c r="D19" s="25"/>
      <c r="E19" s="25"/>
      <c r="F19" s="25"/>
      <c r="G19" s="25"/>
      <c r="H19" s="25"/>
    </row>
    <row r="20" spans="1:8" x14ac:dyDescent="0.25">
      <c r="A20" s="25"/>
      <c r="B20" s="25"/>
      <c r="C20" s="25"/>
      <c r="D20" s="25"/>
      <c r="E20" s="25"/>
      <c r="F20" s="25"/>
      <c r="G20" s="25"/>
      <c r="H20" s="25"/>
    </row>
    <row r="21" spans="1:8" x14ac:dyDescent="0.25">
      <c r="A21" s="25"/>
      <c r="B21" s="25"/>
      <c r="C21" s="25"/>
      <c r="D21" s="25"/>
      <c r="E21" s="25"/>
      <c r="F21" s="25"/>
      <c r="G21" s="25"/>
      <c r="H21" s="25"/>
    </row>
    <row r="22" spans="1:8" x14ac:dyDescent="0.25">
      <c r="A22" s="25"/>
      <c r="B22" s="25"/>
      <c r="C22" s="25"/>
      <c r="D22" s="25"/>
      <c r="E22" s="25"/>
      <c r="F22" s="25"/>
      <c r="G22" s="25"/>
      <c r="H22" s="25"/>
    </row>
    <row r="23" spans="1:8" x14ac:dyDescent="0.25">
      <c r="A23" s="25"/>
      <c r="B23" s="25"/>
      <c r="C23" s="25"/>
      <c r="D23" s="25"/>
      <c r="E23" s="25"/>
      <c r="F23" s="25"/>
      <c r="G23" s="25"/>
      <c r="H23" s="25"/>
    </row>
    <row r="24" spans="1:8" x14ac:dyDescent="0.25">
      <c r="A24" s="25"/>
      <c r="B24" s="25"/>
      <c r="C24" s="25"/>
      <c r="D24" s="25"/>
      <c r="E24" s="25"/>
      <c r="F24" s="25"/>
      <c r="G24" s="25"/>
      <c r="H24" s="25"/>
    </row>
    <row r="25" spans="1:8" x14ac:dyDescent="0.25">
      <c r="A25" s="25"/>
      <c r="B25" s="25"/>
      <c r="C25" s="25"/>
      <c r="D25" s="25"/>
      <c r="E25" s="25"/>
      <c r="F25" s="25"/>
      <c r="G25" s="25"/>
      <c r="H25" s="25"/>
    </row>
    <row r="26" spans="1:8" x14ac:dyDescent="0.25">
      <c r="A26" s="25"/>
      <c r="B26" s="25"/>
      <c r="C26" s="25"/>
      <c r="D26" s="25"/>
      <c r="E26" s="25"/>
      <c r="F26" s="25"/>
      <c r="G26" s="25"/>
      <c r="H26" s="25"/>
    </row>
    <row r="27" spans="1:8" x14ac:dyDescent="0.25">
      <c r="A27" s="25"/>
      <c r="B27" s="25"/>
      <c r="C27" s="25"/>
      <c r="D27" s="25"/>
      <c r="E27" s="25"/>
      <c r="F27" s="25"/>
      <c r="G27" s="25"/>
      <c r="H27" s="25"/>
    </row>
    <row r="28" spans="1:8" x14ac:dyDescent="0.25">
      <c r="A28" s="25"/>
      <c r="B28" s="25"/>
      <c r="C28" s="25"/>
      <c r="D28" s="25"/>
      <c r="E28" s="25"/>
      <c r="F28" s="25"/>
      <c r="G28" s="25"/>
      <c r="H28" s="25"/>
    </row>
    <row r="29" spans="1:8" x14ac:dyDescent="0.25">
      <c r="A29" s="25"/>
      <c r="B29" s="25"/>
      <c r="C29" s="25"/>
      <c r="D29" s="25"/>
      <c r="E29" s="25"/>
      <c r="F29" s="25"/>
      <c r="G29" s="25"/>
      <c r="H29" s="25"/>
    </row>
    <row r="30" spans="1:8" x14ac:dyDescent="0.25">
      <c r="A30" s="25"/>
      <c r="B30" s="25"/>
      <c r="C30" s="25"/>
      <c r="D30" s="25"/>
      <c r="E30" s="25"/>
      <c r="F30" s="25"/>
      <c r="G30" s="25"/>
      <c r="H30" s="25"/>
    </row>
    <row r="31" spans="1:8" x14ac:dyDescent="0.25">
      <c r="A31" s="25"/>
      <c r="B31" s="25"/>
      <c r="C31" s="25"/>
      <c r="D31" s="25"/>
      <c r="E31" s="25"/>
      <c r="F31" s="25"/>
      <c r="G31" s="25"/>
      <c r="H31" s="25"/>
    </row>
    <row r="32" spans="1:8" x14ac:dyDescent="0.25">
      <c r="A32" s="25"/>
      <c r="B32" s="25"/>
      <c r="C32" s="25"/>
      <c r="D32" s="25"/>
      <c r="E32" s="25"/>
      <c r="F32" s="25"/>
      <c r="G32" s="25"/>
      <c r="H32" s="25"/>
    </row>
    <row r="33" spans="1:8" x14ac:dyDescent="0.25">
      <c r="A33" s="25"/>
      <c r="B33" s="25"/>
      <c r="C33" s="25"/>
      <c r="D33" s="25"/>
      <c r="E33" s="25"/>
      <c r="F33" s="25"/>
      <c r="G33" s="25"/>
      <c r="H33" s="25"/>
    </row>
    <row r="34" spans="1:8" x14ac:dyDescent="0.25">
      <c r="A34" s="25"/>
      <c r="B34" s="25"/>
      <c r="C34" s="25"/>
      <c r="D34" s="25"/>
      <c r="E34" s="25"/>
      <c r="F34" s="25"/>
      <c r="G34" s="25"/>
      <c r="H34" s="25"/>
    </row>
    <row r="35" spans="1:8" x14ac:dyDescent="0.25">
      <c r="A35" s="25"/>
      <c r="B35" s="25"/>
      <c r="C35" s="25"/>
      <c r="D35" s="25"/>
      <c r="E35" s="25"/>
      <c r="F35" s="25"/>
      <c r="G35" s="25"/>
      <c r="H35" s="25"/>
    </row>
    <row r="36" spans="1:8" x14ac:dyDescent="0.25">
      <c r="A36" s="25"/>
      <c r="B36" s="25"/>
      <c r="C36" s="25"/>
      <c r="D36" s="25"/>
      <c r="E36" s="25"/>
      <c r="F36" s="25"/>
      <c r="G36" s="25"/>
      <c r="H36" s="25"/>
    </row>
    <row r="37" spans="1:8" x14ac:dyDescent="0.25">
      <c r="A37" s="25"/>
      <c r="B37" s="25"/>
      <c r="C37" s="25"/>
      <c r="D37" s="25"/>
      <c r="E37" s="25"/>
      <c r="F37" s="25"/>
      <c r="G37" s="25"/>
      <c r="H37" s="25"/>
    </row>
    <row r="38" spans="1:8" x14ac:dyDescent="0.25">
      <c r="A38" s="25"/>
      <c r="B38" s="25"/>
      <c r="C38" s="25"/>
      <c r="D38" s="25"/>
      <c r="E38" s="25"/>
      <c r="F38" s="25"/>
      <c r="G38" s="25"/>
      <c r="H38" s="25"/>
    </row>
    <row r="39" spans="1:8" x14ac:dyDescent="0.25">
      <c r="A39" s="25"/>
      <c r="B39" s="25"/>
      <c r="C39" s="25"/>
      <c r="D39" s="25"/>
      <c r="E39" s="25"/>
      <c r="F39" s="25"/>
      <c r="G39" s="25"/>
      <c r="H39" s="25"/>
    </row>
    <row r="40" spans="1:8" x14ac:dyDescent="0.25">
      <c r="A40" s="25"/>
      <c r="B40" s="25"/>
      <c r="C40" s="25"/>
      <c r="D40" s="25"/>
      <c r="E40" s="25"/>
      <c r="F40" s="25"/>
      <c r="G40" s="25"/>
      <c r="H40" s="25"/>
    </row>
    <row r="41" spans="1:8" x14ac:dyDescent="0.25">
      <c r="A41" s="25"/>
      <c r="B41" s="25"/>
      <c r="C41" s="25"/>
      <c r="D41" s="25"/>
      <c r="E41" s="25"/>
      <c r="F41" s="25"/>
      <c r="G41" s="25"/>
      <c r="H41" s="25"/>
    </row>
    <row r="42" spans="1:8" x14ac:dyDescent="0.25">
      <c r="A42" s="25"/>
      <c r="B42" s="25"/>
      <c r="C42" s="25"/>
      <c r="D42" s="25"/>
      <c r="E42" s="25"/>
      <c r="F42" s="25"/>
      <c r="G42" s="25"/>
      <c r="H42" s="25"/>
    </row>
    <row r="43" spans="1:8" x14ac:dyDescent="0.25">
      <c r="A43" s="25"/>
      <c r="B43" s="25"/>
      <c r="C43" s="25"/>
      <c r="D43" s="25"/>
      <c r="E43" s="25"/>
      <c r="F43" s="25"/>
      <c r="G43" s="25"/>
      <c r="H43" s="25"/>
    </row>
    <row r="44" spans="1:8" x14ac:dyDescent="0.25">
      <c r="A44" s="25"/>
      <c r="B44" s="25"/>
      <c r="C44" s="25"/>
      <c r="D44" s="25"/>
      <c r="E44" s="25"/>
      <c r="F44" s="25"/>
      <c r="G44" s="25"/>
      <c r="H44" s="25"/>
    </row>
    <row r="45" spans="1:8" x14ac:dyDescent="0.25">
      <c r="A45" s="25"/>
      <c r="B45" s="25"/>
      <c r="C45" s="25"/>
      <c r="D45" s="25"/>
      <c r="E45" s="25"/>
      <c r="F45" s="25"/>
      <c r="G45" s="25"/>
      <c r="H45" s="25"/>
    </row>
    <row r="46" spans="1:8" x14ac:dyDescent="0.25">
      <c r="A46" s="25"/>
      <c r="B46" s="25"/>
      <c r="C46" s="25"/>
      <c r="D46" s="25"/>
      <c r="E46" s="25"/>
      <c r="F46" s="25"/>
      <c r="G46" s="25"/>
      <c r="H46" s="25"/>
    </row>
    <row r="47" spans="1:8" x14ac:dyDescent="0.25">
      <c r="A47" s="25"/>
      <c r="B47" s="25"/>
      <c r="C47" s="25"/>
      <c r="D47" s="25"/>
      <c r="E47" s="25"/>
      <c r="F47" s="25"/>
      <c r="G47" s="25"/>
      <c r="H47" s="25"/>
    </row>
    <row r="48" spans="1:8" x14ac:dyDescent="0.25">
      <c r="A48" s="25"/>
      <c r="B48" s="25"/>
      <c r="C48" s="25"/>
      <c r="D48" s="25"/>
      <c r="E48" s="25"/>
      <c r="F48" s="25"/>
      <c r="G48" s="25"/>
      <c r="H48" s="25"/>
    </row>
    <row r="49" spans="1:8" x14ac:dyDescent="0.25">
      <c r="A49" s="25"/>
      <c r="B49" s="25"/>
      <c r="C49" s="25"/>
      <c r="D49" s="25"/>
      <c r="E49" s="25"/>
      <c r="F49" s="25"/>
      <c r="G49" s="25"/>
      <c r="H49" s="25"/>
    </row>
    <row r="50" spans="1:8" x14ac:dyDescent="0.25">
      <c r="A50" s="25"/>
      <c r="B50" s="25"/>
      <c r="C50" s="25"/>
      <c r="D50" s="25"/>
      <c r="E50" s="25"/>
      <c r="F50" s="25"/>
      <c r="G50" s="25"/>
      <c r="H50" s="25"/>
    </row>
    <row r="51" spans="1:8" x14ac:dyDescent="0.25">
      <c r="A51" s="25"/>
      <c r="B51" s="25"/>
      <c r="C51" s="25"/>
      <c r="D51" s="25"/>
      <c r="E51" s="25"/>
      <c r="F51" s="25"/>
      <c r="G51" s="25"/>
      <c r="H51" s="25"/>
    </row>
    <row r="52" spans="1:8" x14ac:dyDescent="0.25">
      <c r="A52" s="25"/>
      <c r="B52" s="25"/>
      <c r="C52" s="25"/>
      <c r="D52" s="25"/>
      <c r="E52" s="25"/>
      <c r="F52" s="25"/>
      <c r="G52" s="25"/>
      <c r="H52" s="25"/>
    </row>
    <row r="53" spans="1:8" x14ac:dyDescent="0.25">
      <c r="A53" s="25"/>
      <c r="B53" s="25"/>
      <c r="C53" s="25"/>
      <c r="D53" s="25"/>
      <c r="E53" s="25"/>
      <c r="F53" s="25"/>
      <c r="G53" s="25"/>
      <c r="H53" s="25"/>
    </row>
    <row r="54" spans="1:8" x14ac:dyDescent="0.25">
      <c r="A54" s="25"/>
      <c r="B54" s="25"/>
      <c r="C54" s="25"/>
      <c r="D54" s="25"/>
      <c r="E54" s="25"/>
      <c r="F54" s="25"/>
      <c r="G54" s="25"/>
      <c r="H54" s="25"/>
    </row>
    <row r="55" spans="1:8" x14ac:dyDescent="0.25">
      <c r="A55" s="25"/>
      <c r="B55" s="25"/>
      <c r="C55" s="25"/>
      <c r="D55" s="25"/>
      <c r="E55" s="25"/>
      <c r="F55" s="25"/>
      <c r="G55" s="25"/>
      <c r="H55" s="25"/>
    </row>
    <row r="56" spans="1:8" x14ac:dyDescent="0.25">
      <c r="A56" s="25"/>
      <c r="B56" s="25"/>
      <c r="C56" s="25"/>
      <c r="D56" s="25"/>
      <c r="E56" s="25"/>
      <c r="F56" s="25"/>
      <c r="G56" s="25"/>
      <c r="H56" s="25"/>
    </row>
    <row r="57" spans="1:8" x14ac:dyDescent="0.25">
      <c r="A57" s="25"/>
      <c r="B57" s="25"/>
      <c r="C57" s="25"/>
      <c r="D57" s="25"/>
      <c r="E57" s="25"/>
      <c r="F57" s="25"/>
      <c r="G57" s="25"/>
      <c r="H57" s="25"/>
    </row>
    <row r="58" spans="1:8" x14ac:dyDescent="0.25">
      <c r="A58" s="25"/>
      <c r="B58" s="25"/>
      <c r="C58" s="25"/>
      <c r="D58" s="25"/>
      <c r="E58" s="25"/>
      <c r="F58" s="25"/>
      <c r="G58" s="25"/>
      <c r="H58" s="25"/>
    </row>
    <row r="59" spans="1:8" x14ac:dyDescent="0.25">
      <c r="A59" s="25"/>
      <c r="B59" s="25"/>
      <c r="C59" s="25"/>
      <c r="D59" s="25"/>
      <c r="E59" s="25"/>
      <c r="F59" s="25"/>
      <c r="G59" s="25"/>
      <c r="H59" s="25"/>
    </row>
    <row r="60" spans="1:8" x14ac:dyDescent="0.25">
      <c r="A60" s="25"/>
      <c r="B60" s="25"/>
      <c r="C60" s="25"/>
      <c r="D60" s="25"/>
      <c r="E60" s="25"/>
      <c r="F60" s="25"/>
      <c r="G60" s="25"/>
      <c r="H60" s="25"/>
    </row>
    <row r="61" spans="1:8" x14ac:dyDescent="0.25">
      <c r="A61" s="25"/>
      <c r="B61" s="25"/>
      <c r="C61" s="25"/>
      <c r="D61" s="25"/>
      <c r="E61" s="25"/>
      <c r="F61" s="25"/>
      <c r="G61" s="25"/>
      <c r="H61" s="25"/>
    </row>
    <row r="62" spans="1:8" x14ac:dyDescent="0.25">
      <c r="A62" s="25"/>
      <c r="B62" s="25"/>
      <c r="C62" s="25"/>
      <c r="D62" s="25"/>
      <c r="E62" s="25"/>
      <c r="F62" s="25"/>
      <c r="G62" s="25"/>
      <c r="H62" s="25"/>
    </row>
    <row r="63" spans="1:8" x14ac:dyDescent="0.25">
      <c r="A63" s="25"/>
      <c r="B63" s="25"/>
      <c r="C63" s="25"/>
      <c r="D63" s="25"/>
      <c r="E63" s="25"/>
      <c r="F63" s="25"/>
      <c r="G63" s="25"/>
      <c r="H63" s="25"/>
    </row>
    <row r="64" spans="1:8" x14ac:dyDescent="0.25">
      <c r="A64" s="25"/>
      <c r="B64" s="25"/>
      <c r="C64" s="25"/>
      <c r="D64" s="25"/>
      <c r="E64" s="25"/>
      <c r="F64" s="25"/>
      <c r="G64" s="25"/>
      <c r="H64" s="25"/>
    </row>
    <row r="65" spans="1:8" x14ac:dyDescent="0.25">
      <c r="A65" s="25"/>
      <c r="B65" s="25"/>
      <c r="C65" s="25"/>
      <c r="D65" s="25"/>
      <c r="E65" s="25"/>
      <c r="F65" s="25"/>
      <c r="G65" s="25"/>
      <c r="H65" s="25"/>
    </row>
    <row r="66" spans="1:8" x14ac:dyDescent="0.25">
      <c r="A66" s="25"/>
      <c r="B66" s="25"/>
      <c r="C66" s="25"/>
      <c r="D66" s="25"/>
      <c r="E66" s="25"/>
      <c r="F66" s="25"/>
      <c r="G66" s="25"/>
      <c r="H66" s="25"/>
    </row>
    <row r="67" spans="1:8" x14ac:dyDescent="0.25">
      <c r="A67" s="25"/>
      <c r="B67" s="25"/>
      <c r="C67" s="25"/>
      <c r="D67" s="25"/>
      <c r="E67" s="25"/>
      <c r="F67" s="25"/>
      <c r="G67" s="25"/>
      <c r="H67" s="25"/>
    </row>
    <row r="68" spans="1:8" x14ac:dyDescent="0.25">
      <c r="A68" s="25"/>
      <c r="B68" s="25"/>
      <c r="C68" s="25"/>
      <c r="D68" s="25"/>
      <c r="E68" s="25"/>
      <c r="F68" s="25"/>
      <c r="G68" s="25"/>
      <c r="H68" s="25"/>
    </row>
    <row r="69" spans="1:8" x14ac:dyDescent="0.25">
      <c r="A69" s="25"/>
      <c r="B69" s="25"/>
      <c r="C69" s="25"/>
      <c r="D69" s="25"/>
      <c r="E69" s="25"/>
      <c r="F69" s="25"/>
      <c r="G69" s="25"/>
      <c r="H69" s="25"/>
    </row>
    <row r="70" spans="1:8" x14ac:dyDescent="0.25">
      <c r="A70" s="25"/>
      <c r="B70" s="25"/>
      <c r="C70" s="25"/>
      <c r="D70" s="25"/>
      <c r="E70" s="25"/>
      <c r="F70" s="25"/>
      <c r="G70" s="25"/>
      <c r="H70" s="25"/>
    </row>
    <row r="71" spans="1:8" x14ac:dyDescent="0.25">
      <c r="A71" s="25"/>
      <c r="B71" s="25"/>
      <c r="C71" s="25"/>
      <c r="D71" s="25"/>
      <c r="E71" s="25"/>
      <c r="F71" s="25"/>
      <c r="G71" s="25"/>
      <c r="H71" s="25"/>
    </row>
    <row r="72" spans="1:8" x14ac:dyDescent="0.25">
      <c r="A72" s="25"/>
      <c r="B72" s="25"/>
      <c r="C72" s="25"/>
      <c r="D72" s="25"/>
      <c r="E72" s="25"/>
      <c r="F72" s="25"/>
      <c r="G72" s="25"/>
      <c r="H72" s="25"/>
    </row>
    <row r="73" spans="1:8" x14ac:dyDescent="0.25">
      <c r="A73" s="25"/>
      <c r="B73" s="25"/>
      <c r="C73" s="25"/>
      <c r="D73" s="25"/>
      <c r="E73" s="25"/>
      <c r="F73" s="25"/>
      <c r="G73" s="25"/>
      <c r="H73" s="25"/>
    </row>
    <row r="74" spans="1:8" x14ac:dyDescent="0.25">
      <c r="A74" s="25"/>
      <c r="B74" s="25"/>
      <c r="C74" s="25"/>
      <c r="D74" s="25"/>
      <c r="E74" s="25"/>
      <c r="F74" s="25"/>
      <c r="G74" s="25"/>
      <c r="H74" s="25"/>
    </row>
    <row r="75" spans="1:8" x14ac:dyDescent="0.25">
      <c r="A75" s="25"/>
      <c r="B75" s="25"/>
      <c r="C75" s="25"/>
      <c r="D75" s="25"/>
      <c r="E75" s="25"/>
      <c r="F75" s="25"/>
      <c r="G75" s="25"/>
      <c r="H75" s="25"/>
    </row>
    <row r="76" spans="1:8" x14ac:dyDescent="0.25">
      <c r="A76" s="25"/>
      <c r="B76" s="25"/>
      <c r="C76" s="25"/>
      <c r="D76" s="25"/>
      <c r="E76" s="25"/>
      <c r="F76" s="25"/>
      <c r="G76" s="25"/>
      <c r="H76" s="25"/>
    </row>
    <row r="77" spans="1:8" x14ac:dyDescent="0.25">
      <c r="A77" s="25"/>
      <c r="B77" s="25"/>
      <c r="C77" s="25"/>
      <c r="D77" s="25"/>
      <c r="E77" s="25"/>
      <c r="F77" s="25"/>
      <c r="G77" s="25"/>
      <c r="H77" s="25"/>
    </row>
    <row r="78" spans="1:8" x14ac:dyDescent="0.25">
      <c r="A78" s="25"/>
      <c r="B78" s="25"/>
      <c r="C78" s="25"/>
      <c r="D78" s="25"/>
      <c r="E78" s="25"/>
      <c r="F78" s="25"/>
      <c r="G78" s="25"/>
      <c r="H78" s="25"/>
    </row>
    <row r="79" spans="1:8" x14ac:dyDescent="0.25">
      <c r="A79" s="25"/>
      <c r="B79" s="25"/>
      <c r="C79" s="25"/>
      <c r="D79" s="25"/>
      <c r="E79" s="25"/>
      <c r="F79" s="25"/>
      <c r="G79" s="25"/>
      <c r="H79" s="25"/>
    </row>
    <row r="80" spans="1:8" x14ac:dyDescent="0.25">
      <c r="A80" s="25"/>
      <c r="B80" s="25"/>
      <c r="C80" s="25"/>
      <c r="D80" s="25"/>
      <c r="E80" s="25"/>
      <c r="F80" s="25"/>
      <c r="G80" s="25"/>
      <c r="H80" s="25"/>
    </row>
    <row r="81" spans="1:8" x14ac:dyDescent="0.25">
      <c r="A81" s="25"/>
      <c r="B81" s="25"/>
      <c r="C81" s="25"/>
      <c r="D81" s="25"/>
      <c r="E81" s="25"/>
      <c r="F81" s="25"/>
      <c r="G81" s="25"/>
      <c r="H81" s="25"/>
    </row>
    <row r="82" spans="1:8" x14ac:dyDescent="0.25">
      <c r="A82" s="25"/>
      <c r="B82" s="25"/>
      <c r="C82" s="25"/>
      <c r="D82" s="25"/>
      <c r="E82" s="25"/>
      <c r="F82" s="25"/>
      <c r="G82" s="25"/>
      <c r="H82" s="25"/>
    </row>
    <row r="83" spans="1:8" x14ac:dyDescent="0.25">
      <c r="A83" s="25"/>
      <c r="B83" s="25"/>
      <c r="C83" s="25"/>
      <c r="D83" s="25"/>
      <c r="E83" s="25"/>
      <c r="F83" s="25"/>
      <c r="G83" s="25"/>
      <c r="H83" s="25"/>
    </row>
    <row r="84" spans="1:8" x14ac:dyDescent="0.25">
      <c r="A84" s="25"/>
      <c r="B84" s="25"/>
      <c r="C84" s="25"/>
      <c r="D84" s="25"/>
      <c r="E84" s="25"/>
      <c r="F84" s="25"/>
      <c r="G84" s="25"/>
      <c r="H84" s="25"/>
    </row>
    <row r="85" spans="1:8" x14ac:dyDescent="0.25">
      <c r="A85" s="25"/>
      <c r="B85" s="25"/>
      <c r="C85" s="25"/>
      <c r="D85" s="25"/>
      <c r="E85" s="25"/>
      <c r="F85" s="25"/>
      <c r="G85" s="25"/>
      <c r="H85" s="25"/>
    </row>
    <row r="86" spans="1:8" x14ac:dyDescent="0.25">
      <c r="A86" s="25"/>
      <c r="B86" s="25"/>
      <c r="C86" s="25"/>
      <c r="D86" s="25"/>
      <c r="E86" s="25"/>
      <c r="F86" s="25"/>
      <c r="G86" s="25"/>
      <c r="H86" s="25"/>
    </row>
    <row r="87" spans="1:8" x14ac:dyDescent="0.25">
      <c r="A87" s="25"/>
      <c r="B87" s="25"/>
      <c r="C87" s="25"/>
      <c r="D87" s="25"/>
      <c r="E87" s="25"/>
      <c r="F87" s="25"/>
      <c r="G87" s="25"/>
      <c r="H87" s="25"/>
    </row>
    <row r="88" spans="1:8" x14ac:dyDescent="0.25">
      <c r="A88" s="25"/>
      <c r="B88" s="25"/>
      <c r="C88" s="25"/>
      <c r="D88" s="25"/>
      <c r="E88" s="25"/>
      <c r="F88" s="25"/>
      <c r="G88" s="25"/>
      <c r="H88" s="25"/>
    </row>
    <row r="89" spans="1:8" x14ac:dyDescent="0.25">
      <c r="A89" s="25"/>
      <c r="B89" s="25"/>
      <c r="C89" s="25"/>
      <c r="D89" s="25"/>
      <c r="E89" s="25"/>
      <c r="F89" s="25"/>
      <c r="G89" s="25"/>
      <c r="H89" s="25"/>
    </row>
    <row r="90" spans="1:8" x14ac:dyDescent="0.25">
      <c r="A90" s="25"/>
      <c r="B90" s="25"/>
      <c r="C90" s="25"/>
      <c r="D90" s="25"/>
      <c r="E90" s="25"/>
      <c r="F90" s="25"/>
      <c r="G90" s="25"/>
      <c r="H90" s="25"/>
    </row>
    <row r="91" spans="1:8" x14ac:dyDescent="0.25">
      <c r="A91" s="25"/>
      <c r="B91" s="25"/>
      <c r="C91" s="25"/>
      <c r="D91" s="25"/>
      <c r="E91" s="25"/>
      <c r="F91" s="25"/>
      <c r="G91" s="25"/>
      <c r="H91" s="25"/>
    </row>
    <row r="92" spans="1:8" x14ac:dyDescent="0.25">
      <c r="A92" s="25"/>
      <c r="B92" s="25"/>
      <c r="C92" s="25"/>
      <c r="D92" s="25"/>
      <c r="E92" s="25"/>
      <c r="F92" s="25"/>
      <c r="G92" s="25"/>
      <c r="H92" s="25"/>
    </row>
    <row r="93" spans="1:8" x14ac:dyDescent="0.25">
      <c r="A93" s="25"/>
      <c r="B93" s="25"/>
      <c r="C93" s="25"/>
      <c r="D93" s="25"/>
      <c r="E93" s="25"/>
      <c r="F93" s="25"/>
      <c r="G93" s="25"/>
      <c r="H93" s="25"/>
    </row>
    <row r="94" spans="1:8" x14ac:dyDescent="0.25">
      <c r="A94" s="25"/>
      <c r="B94" s="25"/>
      <c r="C94" s="25"/>
      <c r="D94" s="25"/>
      <c r="E94" s="25"/>
      <c r="F94" s="25"/>
      <c r="G94" s="25"/>
      <c r="H94" s="25"/>
    </row>
    <row r="95" spans="1:8" x14ac:dyDescent="0.25">
      <c r="A95" s="25"/>
      <c r="B95" s="25"/>
      <c r="C95" s="25"/>
      <c r="D95" s="25"/>
      <c r="E95" s="25"/>
      <c r="F95" s="25"/>
      <c r="G95" s="25"/>
      <c r="H95" s="25"/>
    </row>
    <row r="96" spans="1:8" x14ac:dyDescent="0.25">
      <c r="A96" s="25"/>
      <c r="B96" s="25"/>
      <c r="C96" s="25"/>
      <c r="D96" s="25"/>
      <c r="E96" s="25"/>
      <c r="F96" s="25"/>
      <c r="G96" s="25"/>
      <c r="H96" s="25"/>
    </row>
    <row r="97" spans="1:8" x14ac:dyDescent="0.25">
      <c r="A97" s="25"/>
      <c r="B97" s="25"/>
      <c r="C97" s="25"/>
      <c r="D97" s="25"/>
      <c r="E97" s="25"/>
      <c r="F97" s="25"/>
      <c r="G97" s="25"/>
      <c r="H97" s="25"/>
    </row>
    <row r="98" spans="1:8" x14ac:dyDescent="0.25">
      <c r="A98" s="25"/>
      <c r="B98" s="25"/>
      <c r="C98" s="25"/>
      <c r="D98" s="25"/>
      <c r="E98" s="25"/>
      <c r="F98" s="25"/>
      <c r="G98" s="25"/>
      <c r="H98" s="25"/>
    </row>
    <row r="99" spans="1:8" x14ac:dyDescent="0.25">
      <c r="A99" s="25"/>
      <c r="B99" s="25"/>
      <c r="C99" s="25"/>
      <c r="D99" s="25"/>
      <c r="E99" s="25"/>
      <c r="F99" s="25"/>
      <c r="G99" s="25"/>
      <c r="H99" s="25"/>
    </row>
    <row r="100" spans="1:8" x14ac:dyDescent="0.25">
      <c r="A100" s="25"/>
      <c r="B100" s="25"/>
      <c r="C100" s="25"/>
      <c r="D100" s="25"/>
      <c r="E100" s="25"/>
      <c r="F100" s="25"/>
      <c r="G100" s="25"/>
      <c r="H100" s="25"/>
    </row>
    <row r="101" spans="1:8" x14ac:dyDescent="0.25">
      <c r="A101" s="25"/>
      <c r="B101" s="25"/>
      <c r="C101" s="25"/>
      <c r="D101" s="25"/>
      <c r="E101" s="25"/>
      <c r="F101" s="25"/>
      <c r="G101" s="25"/>
      <c r="H101" s="25"/>
    </row>
    <row r="102" spans="1:8" x14ac:dyDescent="0.25">
      <c r="A102" s="25"/>
      <c r="B102" s="25"/>
      <c r="C102" s="25"/>
      <c r="D102" s="25"/>
      <c r="E102" s="25"/>
      <c r="F102" s="25"/>
      <c r="G102" s="25"/>
      <c r="H102" s="25"/>
    </row>
    <row r="103" spans="1:8" x14ac:dyDescent="0.25">
      <c r="A103" s="25"/>
      <c r="B103" s="25"/>
      <c r="C103" s="25"/>
      <c r="D103" s="25"/>
      <c r="E103" s="25"/>
      <c r="F103" s="25"/>
      <c r="G103" s="25"/>
      <c r="H103" s="25"/>
    </row>
    <row r="104" spans="1:8" x14ac:dyDescent="0.25">
      <c r="A104" s="25"/>
      <c r="B104" s="25"/>
      <c r="C104" s="25"/>
      <c r="D104" s="25"/>
      <c r="E104" s="25"/>
      <c r="F104" s="25"/>
      <c r="G104" s="25"/>
      <c r="H104" s="25"/>
    </row>
    <row r="105" spans="1:8" x14ac:dyDescent="0.25">
      <c r="A105" s="25"/>
      <c r="B105" s="25"/>
      <c r="C105" s="25"/>
      <c r="D105" s="25"/>
      <c r="E105" s="25"/>
      <c r="F105" s="25"/>
      <c r="G105" s="25"/>
      <c r="H105" s="25"/>
    </row>
    <row r="106" spans="1:8" x14ac:dyDescent="0.25">
      <c r="A106" s="25"/>
      <c r="B106" s="25"/>
      <c r="C106" s="25"/>
      <c r="D106" s="25"/>
      <c r="E106" s="25"/>
      <c r="F106" s="25"/>
      <c r="G106" s="25"/>
      <c r="H106" s="25"/>
    </row>
    <row r="107" spans="1:8" x14ac:dyDescent="0.25">
      <c r="A107" s="25"/>
      <c r="B107" s="25"/>
      <c r="C107" s="25"/>
      <c r="D107" s="25"/>
      <c r="E107" s="25"/>
      <c r="F107" s="25"/>
      <c r="G107" s="25"/>
      <c r="H107" s="25"/>
    </row>
    <row r="108" spans="1:8" x14ac:dyDescent="0.25">
      <c r="A108" s="25"/>
      <c r="B108" s="25"/>
      <c r="C108" s="25"/>
      <c r="D108" s="25"/>
      <c r="E108" s="25"/>
      <c r="F108" s="25"/>
      <c r="G108" s="25"/>
      <c r="H108" s="25"/>
    </row>
    <row r="109" spans="1:8" x14ac:dyDescent="0.25">
      <c r="A109" s="25"/>
      <c r="B109" s="25"/>
      <c r="C109" s="25"/>
      <c r="D109" s="25"/>
      <c r="E109" s="25"/>
      <c r="F109" s="25"/>
      <c r="G109" s="25"/>
      <c r="H109" s="25"/>
    </row>
    <row r="110" spans="1:8" x14ac:dyDescent="0.25">
      <c r="A110" s="25"/>
      <c r="B110" s="25"/>
      <c r="C110" s="25"/>
      <c r="D110" s="25"/>
      <c r="E110" s="25"/>
      <c r="F110" s="25"/>
      <c r="G110" s="25"/>
      <c r="H110" s="25"/>
    </row>
    <row r="111" spans="1:8" x14ac:dyDescent="0.25">
      <c r="A111" s="25"/>
      <c r="B111" s="25"/>
      <c r="C111" s="25"/>
      <c r="D111" s="25"/>
      <c r="E111" s="25"/>
      <c r="F111" s="25"/>
      <c r="G111" s="25"/>
      <c r="H111" s="25"/>
    </row>
    <row r="112" spans="1:8" x14ac:dyDescent="0.25">
      <c r="A112" s="25"/>
      <c r="B112" s="25"/>
      <c r="C112" s="25"/>
      <c r="D112" s="25"/>
      <c r="E112" s="25"/>
      <c r="F112" s="25"/>
      <c r="G112" s="25"/>
      <c r="H112" s="25"/>
    </row>
    <row r="113" spans="1:8" x14ac:dyDescent="0.25">
      <c r="A113" s="25"/>
      <c r="B113" s="25"/>
      <c r="C113" s="25"/>
      <c r="D113" s="25"/>
      <c r="E113" s="25"/>
      <c r="F113" s="25"/>
      <c r="G113" s="25"/>
      <c r="H113" s="25"/>
    </row>
    <row r="114" spans="1:8" x14ac:dyDescent="0.25">
      <c r="A114" s="25"/>
      <c r="B114" s="25"/>
      <c r="C114" s="25"/>
      <c r="D114" s="25"/>
      <c r="E114" s="25"/>
      <c r="F114" s="25"/>
      <c r="G114" s="25"/>
      <c r="H114" s="25"/>
    </row>
    <row r="115" spans="1:8" x14ac:dyDescent="0.25">
      <c r="A115" s="25"/>
      <c r="B115" s="25"/>
      <c r="C115" s="25"/>
      <c r="D115" s="25"/>
      <c r="E115" s="25"/>
      <c r="F115" s="25"/>
      <c r="G115" s="25"/>
      <c r="H115" s="25"/>
    </row>
    <row r="116" spans="1:8" x14ac:dyDescent="0.25">
      <c r="A116" s="25"/>
      <c r="B116" s="25"/>
      <c r="C116" s="25"/>
      <c r="D116" s="25"/>
      <c r="E116" s="25"/>
      <c r="F116" s="25"/>
      <c r="G116" s="25"/>
      <c r="H116" s="25"/>
    </row>
    <row r="117" spans="1:8" x14ac:dyDescent="0.25">
      <c r="A117" s="25"/>
      <c r="B117" s="25"/>
      <c r="C117" s="25"/>
      <c r="D117" s="25"/>
      <c r="E117" s="25"/>
      <c r="F117" s="25"/>
      <c r="G117" s="25"/>
      <c r="H117" s="25"/>
    </row>
    <row r="118" spans="1:8" x14ac:dyDescent="0.25">
      <c r="A118" s="25"/>
      <c r="B118" s="25"/>
      <c r="C118" s="25"/>
      <c r="D118" s="25"/>
      <c r="E118" s="25"/>
      <c r="F118" s="25"/>
      <c r="G118" s="25"/>
      <c r="H118" s="25"/>
    </row>
    <row r="119" spans="1:8" x14ac:dyDescent="0.25">
      <c r="A119" s="25"/>
      <c r="B119" s="25"/>
      <c r="C119" s="25"/>
      <c r="D119" s="25"/>
      <c r="E119" s="25"/>
      <c r="F119" s="25"/>
      <c r="G119" s="25"/>
      <c r="H119" s="25"/>
    </row>
    <row r="120" spans="1:8" x14ac:dyDescent="0.25">
      <c r="A120" s="25"/>
      <c r="B120" s="25"/>
      <c r="C120" s="25"/>
      <c r="D120" s="25"/>
      <c r="E120" s="25"/>
      <c r="F120" s="25"/>
      <c r="G120" s="25"/>
      <c r="H120" s="25"/>
    </row>
    <row r="121" spans="1:8" x14ac:dyDescent="0.25">
      <c r="A121" s="25"/>
      <c r="B121" s="25"/>
      <c r="C121" s="25"/>
      <c r="D121" s="25"/>
      <c r="E121" s="25"/>
      <c r="F121" s="25"/>
      <c r="G121" s="25"/>
      <c r="H121" s="25"/>
    </row>
    <row r="122" spans="1:8" x14ac:dyDescent="0.25">
      <c r="A122" s="25"/>
      <c r="B122" s="25"/>
      <c r="C122" s="25"/>
      <c r="D122" s="25"/>
      <c r="E122" s="25"/>
      <c r="F122" s="25"/>
      <c r="G122" s="25"/>
      <c r="H122" s="25"/>
    </row>
    <row r="123" spans="1:8" x14ac:dyDescent="0.25">
      <c r="A123" s="25"/>
      <c r="B123" s="25"/>
      <c r="C123" s="25"/>
      <c r="D123" s="25"/>
      <c r="E123" s="25"/>
      <c r="F123" s="25"/>
      <c r="G123" s="25"/>
      <c r="H123" s="25"/>
    </row>
    <row r="124" spans="1:8" x14ac:dyDescent="0.25">
      <c r="A124" s="25"/>
      <c r="B124" s="25"/>
      <c r="C124" s="25"/>
      <c r="D124" s="25"/>
      <c r="E124" s="25"/>
      <c r="F124" s="25"/>
      <c r="G124" s="25"/>
      <c r="H124" s="25"/>
    </row>
    <row r="125" spans="1:8" x14ac:dyDescent="0.25">
      <c r="A125" s="25"/>
      <c r="B125" s="25"/>
      <c r="C125" s="25"/>
      <c r="D125" s="25"/>
      <c r="E125" s="25"/>
      <c r="F125" s="25"/>
      <c r="G125" s="25"/>
      <c r="H125" s="25"/>
    </row>
    <row r="126" spans="1:8" x14ac:dyDescent="0.25">
      <c r="A126" s="25"/>
      <c r="B126" s="25"/>
      <c r="C126" s="25"/>
      <c r="D126" s="25"/>
      <c r="E126" s="25"/>
      <c r="F126" s="25"/>
      <c r="G126" s="25"/>
      <c r="H126" s="25"/>
    </row>
    <row r="127" spans="1:8" x14ac:dyDescent="0.25">
      <c r="A127" s="25"/>
      <c r="B127" s="25"/>
      <c r="C127" s="25"/>
      <c r="D127" s="25"/>
      <c r="E127" s="25"/>
      <c r="F127" s="25"/>
      <c r="G127" s="25"/>
      <c r="H127" s="25"/>
    </row>
    <row r="128" spans="1:8" x14ac:dyDescent="0.25">
      <c r="A128" s="25"/>
      <c r="B128" s="25"/>
      <c r="C128" s="25"/>
      <c r="D128" s="25"/>
      <c r="E128" s="25"/>
      <c r="F128" s="25"/>
      <c r="G128" s="25"/>
      <c r="H128" s="25"/>
    </row>
    <row r="129" spans="1:8" x14ac:dyDescent="0.25">
      <c r="A129" s="25"/>
      <c r="B129" s="25"/>
      <c r="C129" s="25"/>
      <c r="D129" s="25"/>
      <c r="E129" s="25"/>
      <c r="F129" s="25"/>
      <c r="G129" s="25"/>
      <c r="H129" s="25"/>
    </row>
    <row r="130" spans="1:8" x14ac:dyDescent="0.25">
      <c r="A130" s="25"/>
      <c r="B130" s="25"/>
      <c r="C130" s="25"/>
      <c r="D130" s="25"/>
      <c r="E130" s="25"/>
      <c r="F130" s="25"/>
      <c r="G130" s="25"/>
      <c r="H130" s="25"/>
    </row>
    <row r="131" spans="1:8" x14ac:dyDescent="0.25">
      <c r="A131" s="25"/>
      <c r="B131" s="25"/>
      <c r="C131" s="25"/>
      <c r="D131" s="25"/>
      <c r="E131" s="25"/>
      <c r="F131" s="25"/>
      <c r="G131" s="25"/>
      <c r="H131" s="25"/>
    </row>
    <row r="132" spans="1:8" x14ac:dyDescent="0.25">
      <c r="A132" s="25"/>
      <c r="B132" s="25"/>
      <c r="C132" s="25"/>
      <c r="D132" s="25"/>
      <c r="E132" s="25"/>
      <c r="F132" s="25"/>
      <c r="G132" s="25"/>
      <c r="H132" s="25"/>
    </row>
    <row r="133" spans="1:8" x14ac:dyDescent="0.25">
      <c r="A133" s="25"/>
      <c r="B133" s="25"/>
      <c r="C133" s="25"/>
      <c r="D133" s="25"/>
      <c r="E133" s="25"/>
      <c r="F133" s="25"/>
      <c r="G133" s="25"/>
      <c r="H133" s="25"/>
    </row>
    <row r="134" spans="1:8" x14ac:dyDescent="0.25">
      <c r="A134" s="25"/>
      <c r="B134" s="25"/>
      <c r="C134" s="25"/>
      <c r="D134" s="25"/>
      <c r="E134" s="25"/>
      <c r="F134" s="25"/>
      <c r="G134" s="25"/>
      <c r="H134" s="25"/>
    </row>
    <row r="135" spans="1:8" x14ac:dyDescent="0.25">
      <c r="A135" s="25"/>
      <c r="B135" s="25"/>
      <c r="C135" s="25"/>
      <c r="D135" s="25"/>
      <c r="E135" s="25"/>
      <c r="F135" s="25"/>
      <c r="G135" s="25"/>
      <c r="H135" s="25"/>
    </row>
    <row r="136" spans="1:8" x14ac:dyDescent="0.25">
      <c r="A136" s="25"/>
      <c r="B136" s="25"/>
      <c r="C136" s="25"/>
      <c r="D136" s="25"/>
      <c r="E136" s="25"/>
      <c r="F136" s="25"/>
      <c r="G136" s="25"/>
      <c r="H136" s="25"/>
    </row>
    <row r="137" spans="1:8" x14ac:dyDescent="0.25">
      <c r="A137" s="25"/>
      <c r="B137" s="25"/>
      <c r="C137" s="25"/>
      <c r="D137" s="25"/>
      <c r="E137" s="25"/>
      <c r="F137" s="25"/>
      <c r="G137" s="25"/>
      <c r="H137" s="25"/>
    </row>
    <row r="138" spans="1:8" x14ac:dyDescent="0.25">
      <c r="A138" s="25"/>
      <c r="B138" s="25"/>
      <c r="C138" s="25"/>
      <c r="D138" s="25"/>
      <c r="E138" s="25"/>
      <c r="F138" s="25"/>
      <c r="G138" s="25"/>
      <c r="H138" s="25"/>
    </row>
    <row r="139" spans="1:8" x14ac:dyDescent="0.25">
      <c r="A139" s="25"/>
      <c r="B139" s="25"/>
      <c r="C139" s="25"/>
      <c r="D139" s="25"/>
      <c r="E139" s="25"/>
      <c r="F139" s="25"/>
      <c r="G139" s="25"/>
      <c r="H139" s="25"/>
    </row>
    <row r="140" spans="1:8" x14ac:dyDescent="0.25">
      <c r="A140" s="25"/>
      <c r="B140" s="25"/>
      <c r="C140" s="25"/>
      <c r="D140" s="25"/>
      <c r="E140" s="25"/>
      <c r="F140" s="25"/>
      <c r="G140" s="25"/>
      <c r="H140" s="25"/>
    </row>
    <row r="141" spans="1:8" x14ac:dyDescent="0.25">
      <c r="A141" s="25"/>
      <c r="B141" s="25"/>
      <c r="C141" s="25"/>
      <c r="D141" s="25"/>
      <c r="E141" s="25"/>
      <c r="F141" s="25"/>
      <c r="G141" s="25"/>
      <c r="H141" s="25"/>
    </row>
    <row r="142" spans="1:8" x14ac:dyDescent="0.25">
      <c r="A142" s="25"/>
      <c r="B142" s="25"/>
      <c r="C142" s="25"/>
      <c r="D142" s="25"/>
      <c r="E142" s="25"/>
      <c r="F142" s="25"/>
      <c r="G142" s="25"/>
      <c r="H142" s="25"/>
    </row>
    <row r="143" spans="1:8" x14ac:dyDescent="0.25">
      <c r="A143" s="25"/>
      <c r="B143" s="25"/>
      <c r="C143" s="25"/>
      <c r="D143" s="25"/>
      <c r="E143" s="25"/>
      <c r="F143" s="25"/>
      <c r="G143" s="25"/>
      <c r="H143" s="25"/>
    </row>
    <row r="144" spans="1:8" x14ac:dyDescent="0.25">
      <c r="A144" s="25"/>
      <c r="B144" s="25"/>
      <c r="C144" s="25"/>
      <c r="D144" s="25"/>
      <c r="E144" s="25"/>
      <c r="F144" s="25"/>
      <c r="G144" s="25"/>
      <c r="H144" s="25"/>
    </row>
    <row r="145" spans="1:8" x14ac:dyDescent="0.25">
      <c r="A145" s="25"/>
      <c r="B145" s="25"/>
      <c r="C145" s="25"/>
      <c r="D145" s="25"/>
      <c r="E145" s="25"/>
      <c r="F145" s="25"/>
      <c r="G145" s="25"/>
      <c r="H145" s="25"/>
    </row>
    <row r="146" spans="1:8" x14ac:dyDescent="0.25">
      <c r="A146" s="25"/>
      <c r="B146" s="25"/>
      <c r="C146" s="25"/>
      <c r="D146" s="25"/>
      <c r="E146" s="25"/>
      <c r="F146" s="25"/>
      <c r="G146" s="25"/>
      <c r="H146" s="25"/>
    </row>
    <row r="147" spans="1:8" x14ac:dyDescent="0.25">
      <c r="A147" s="25"/>
      <c r="B147" s="25"/>
      <c r="C147" s="25"/>
      <c r="D147" s="25"/>
      <c r="E147" s="25"/>
      <c r="F147" s="25"/>
      <c r="G147" s="25"/>
      <c r="H147" s="25"/>
    </row>
    <row r="148" spans="1:8" x14ac:dyDescent="0.25">
      <c r="A148" s="25"/>
      <c r="B148" s="25"/>
      <c r="C148" s="25"/>
      <c r="D148" s="25"/>
      <c r="E148" s="25"/>
      <c r="F148" s="25"/>
      <c r="G148" s="25"/>
      <c r="H148" s="25"/>
    </row>
    <row r="149" spans="1:8" x14ac:dyDescent="0.25">
      <c r="A149" s="25"/>
      <c r="B149" s="25"/>
      <c r="C149" s="25"/>
      <c r="D149" s="25"/>
      <c r="E149" s="25"/>
      <c r="F149" s="25"/>
      <c r="G149" s="25"/>
      <c r="H149" s="25"/>
    </row>
    <row r="150" spans="1:8" x14ac:dyDescent="0.25">
      <c r="A150" s="25"/>
      <c r="B150" s="25"/>
      <c r="C150" s="25"/>
      <c r="D150" s="25"/>
      <c r="E150" s="25"/>
      <c r="F150" s="25"/>
      <c r="G150" s="25"/>
      <c r="H150" s="25"/>
    </row>
    <row r="151" spans="1:8" x14ac:dyDescent="0.25">
      <c r="A151" s="25"/>
      <c r="B151" s="25"/>
      <c r="C151" s="25"/>
      <c r="D151" s="25"/>
      <c r="E151" s="25"/>
      <c r="F151" s="25"/>
      <c r="G151" s="25"/>
      <c r="H151" s="25"/>
    </row>
    <row r="152" spans="1:8" x14ac:dyDescent="0.25">
      <c r="A152" s="25"/>
      <c r="B152" s="25"/>
      <c r="C152" s="25"/>
      <c r="D152" s="25"/>
      <c r="E152" s="25"/>
      <c r="F152" s="25"/>
      <c r="G152" s="25"/>
      <c r="H152" s="25"/>
    </row>
    <row r="153" spans="1:8" x14ac:dyDescent="0.25">
      <c r="A153" s="25"/>
      <c r="B153" s="25"/>
      <c r="C153" s="25"/>
      <c r="D153" s="25"/>
      <c r="E153" s="25"/>
      <c r="F153" s="25"/>
      <c r="G153" s="25"/>
      <c r="H153" s="25"/>
    </row>
    <row r="154" spans="1:8" x14ac:dyDescent="0.25">
      <c r="A154" s="25"/>
      <c r="B154" s="25"/>
      <c r="C154" s="25"/>
      <c r="D154" s="25"/>
      <c r="E154" s="25"/>
      <c r="F154" s="25"/>
      <c r="G154" s="25"/>
      <c r="H154" s="25"/>
    </row>
    <row r="155" spans="1:8" x14ac:dyDescent="0.25">
      <c r="A155" s="25"/>
      <c r="B155" s="25"/>
      <c r="C155" s="25"/>
      <c r="D155" s="25"/>
      <c r="E155" s="25"/>
      <c r="F155" s="25"/>
      <c r="G155" s="25"/>
      <c r="H155" s="25"/>
    </row>
    <row r="156" spans="1:8" x14ac:dyDescent="0.25">
      <c r="A156" s="25"/>
      <c r="B156" s="25"/>
      <c r="C156" s="25"/>
      <c r="D156" s="25"/>
      <c r="E156" s="25"/>
      <c r="F156" s="25"/>
      <c r="G156" s="25"/>
      <c r="H156" s="25"/>
    </row>
    <row r="157" spans="1:8" x14ac:dyDescent="0.25">
      <c r="A157" s="25"/>
      <c r="B157" s="25"/>
      <c r="C157" s="25"/>
      <c r="D157" s="25"/>
      <c r="E157" s="25"/>
      <c r="F157" s="25"/>
      <c r="G157" s="25"/>
      <c r="H157" s="25"/>
    </row>
    <row r="158" spans="1:8" x14ac:dyDescent="0.25">
      <c r="A158" s="25"/>
      <c r="B158" s="25"/>
      <c r="C158" s="25"/>
      <c r="D158" s="25"/>
      <c r="E158" s="25"/>
      <c r="F158" s="25"/>
      <c r="G158" s="25"/>
      <c r="H158" s="25"/>
    </row>
    <row r="159" spans="1:8" x14ac:dyDescent="0.25">
      <c r="A159" s="25"/>
      <c r="B159" s="25"/>
      <c r="C159" s="25"/>
      <c r="D159" s="25"/>
      <c r="E159" s="25"/>
      <c r="F159" s="25"/>
      <c r="G159" s="25"/>
      <c r="H159" s="25"/>
    </row>
    <row r="160" spans="1:8" x14ac:dyDescent="0.25">
      <c r="A160" s="25"/>
      <c r="B160" s="25"/>
      <c r="C160" s="25"/>
      <c r="D160" s="25"/>
      <c r="E160" s="25"/>
      <c r="F160" s="25"/>
      <c r="G160" s="25"/>
      <c r="H160" s="25"/>
    </row>
    <row r="161" spans="1:8" x14ac:dyDescent="0.25">
      <c r="A161" s="25"/>
      <c r="B161" s="25"/>
      <c r="C161" s="25"/>
      <c r="D161" s="25"/>
      <c r="E161" s="25"/>
      <c r="F161" s="25"/>
      <c r="G161" s="25"/>
      <c r="H161" s="25"/>
    </row>
    <row r="162" spans="1:8" x14ac:dyDescent="0.25">
      <c r="A162" s="25"/>
      <c r="B162" s="25"/>
      <c r="C162" s="25"/>
      <c r="D162" s="25"/>
      <c r="E162" s="25"/>
      <c r="F162" s="25"/>
      <c r="G162" s="25"/>
      <c r="H162" s="25"/>
    </row>
    <row r="163" spans="1:8" x14ac:dyDescent="0.25">
      <c r="A163" s="25"/>
      <c r="B163" s="25"/>
      <c r="C163" s="25"/>
      <c r="D163" s="25"/>
      <c r="E163" s="25"/>
      <c r="F163" s="25"/>
      <c r="G163" s="25"/>
      <c r="H163" s="25"/>
    </row>
    <row r="164" spans="1:8" x14ac:dyDescent="0.25">
      <c r="A164" s="25"/>
      <c r="B164" s="25"/>
      <c r="C164" s="25"/>
      <c r="D164" s="25"/>
      <c r="E164" s="25"/>
      <c r="F164" s="25"/>
      <c r="G164" s="25"/>
      <c r="H164" s="25"/>
    </row>
    <row r="165" spans="1:8" x14ac:dyDescent="0.25">
      <c r="A165" s="25"/>
      <c r="B165" s="25"/>
      <c r="C165" s="25"/>
      <c r="D165" s="25"/>
      <c r="E165" s="25"/>
      <c r="F165" s="25"/>
      <c r="G165" s="25"/>
      <c r="H165" s="25"/>
    </row>
    <row r="166" spans="1:8" x14ac:dyDescent="0.25">
      <c r="A166" s="25"/>
      <c r="B166" s="25"/>
      <c r="C166" s="25"/>
      <c r="D166" s="25"/>
      <c r="E166" s="25"/>
      <c r="F166" s="25"/>
      <c r="G166" s="25"/>
      <c r="H166" s="25"/>
    </row>
    <row r="167" spans="1:8" x14ac:dyDescent="0.25">
      <c r="A167" s="25"/>
      <c r="B167" s="25"/>
      <c r="C167" s="25"/>
      <c r="D167" s="25"/>
      <c r="E167" s="25"/>
      <c r="F167" s="25"/>
      <c r="G167" s="25"/>
      <c r="H167" s="25"/>
    </row>
    <row r="168" spans="1:8" x14ac:dyDescent="0.25">
      <c r="A168" s="25"/>
      <c r="B168" s="25"/>
      <c r="C168" s="25"/>
      <c r="D168" s="25"/>
      <c r="E168" s="25"/>
      <c r="F168" s="25"/>
      <c r="G168" s="25"/>
      <c r="H168" s="25"/>
    </row>
    <row r="169" spans="1:8" x14ac:dyDescent="0.25">
      <c r="A169" s="25"/>
      <c r="B169" s="25"/>
      <c r="C169" s="25"/>
      <c r="D169" s="25"/>
      <c r="E169" s="25"/>
      <c r="F169" s="25"/>
      <c r="G169" s="25"/>
      <c r="H169" s="25"/>
    </row>
    <row r="170" spans="1:8" x14ac:dyDescent="0.25">
      <c r="A170" s="25"/>
      <c r="B170" s="25"/>
      <c r="C170" s="25"/>
      <c r="D170" s="25"/>
      <c r="E170" s="25"/>
      <c r="F170" s="25"/>
      <c r="G170" s="25"/>
      <c r="H170" s="25"/>
    </row>
    <row r="171" spans="1:8" x14ac:dyDescent="0.25">
      <c r="A171" s="25"/>
      <c r="B171" s="25"/>
      <c r="C171" s="25"/>
      <c r="D171" s="25"/>
      <c r="E171" s="25"/>
      <c r="F171" s="25"/>
      <c r="G171" s="25"/>
      <c r="H171" s="25"/>
    </row>
    <row r="172" spans="1:8" x14ac:dyDescent="0.25">
      <c r="A172" s="25"/>
      <c r="B172" s="25"/>
      <c r="C172" s="25"/>
      <c r="D172" s="25"/>
      <c r="E172" s="25"/>
      <c r="F172" s="25"/>
      <c r="G172" s="25"/>
      <c r="H172" s="25"/>
    </row>
    <row r="173" spans="1:8" x14ac:dyDescent="0.25">
      <c r="A173" s="25"/>
      <c r="B173" s="25"/>
      <c r="C173" s="25"/>
      <c r="D173" s="25"/>
      <c r="E173" s="25"/>
      <c r="F173" s="25"/>
      <c r="G173" s="25"/>
      <c r="H173" s="25"/>
    </row>
    <row r="174" spans="1:8" x14ac:dyDescent="0.25">
      <c r="A174" s="25"/>
      <c r="B174" s="25"/>
      <c r="C174" s="25"/>
      <c r="D174" s="25"/>
      <c r="E174" s="25"/>
      <c r="F174" s="25"/>
      <c r="G174" s="25"/>
      <c r="H174" s="25"/>
    </row>
    <row r="175" spans="1:8" x14ac:dyDescent="0.25">
      <c r="A175" s="25"/>
      <c r="B175" s="25"/>
      <c r="C175" s="25"/>
      <c r="D175" s="25"/>
      <c r="E175" s="25"/>
      <c r="F175" s="25"/>
      <c r="G175" s="25"/>
      <c r="H175" s="25"/>
    </row>
    <row r="176" spans="1:8" x14ac:dyDescent="0.25">
      <c r="A176" s="25"/>
      <c r="B176" s="25"/>
      <c r="C176" s="25"/>
      <c r="D176" s="25"/>
      <c r="E176" s="25"/>
      <c r="F176" s="25"/>
      <c r="G176" s="25"/>
      <c r="H176" s="25"/>
    </row>
    <row r="177" spans="1:8" x14ac:dyDescent="0.25">
      <c r="A177" s="25"/>
      <c r="B177" s="25"/>
      <c r="C177" s="25"/>
      <c r="D177" s="25"/>
      <c r="E177" s="25"/>
      <c r="F177" s="25"/>
      <c r="G177" s="25"/>
      <c r="H177" s="25"/>
    </row>
    <row r="178" spans="1:8" x14ac:dyDescent="0.25">
      <c r="A178" s="25"/>
      <c r="B178" s="25"/>
      <c r="C178" s="25"/>
      <c r="D178" s="25"/>
      <c r="E178" s="25"/>
      <c r="F178" s="25"/>
      <c r="G178" s="25"/>
      <c r="H178" s="25"/>
    </row>
    <row r="179" spans="1:8" x14ac:dyDescent="0.25">
      <c r="A179" s="25"/>
      <c r="B179" s="25"/>
      <c r="C179" s="25"/>
      <c r="D179" s="25"/>
      <c r="E179" s="25"/>
      <c r="F179" s="25"/>
      <c r="G179" s="25"/>
      <c r="H179" s="25"/>
    </row>
    <row r="180" spans="1:8" x14ac:dyDescent="0.25">
      <c r="A180" s="25"/>
      <c r="B180" s="25"/>
      <c r="C180" s="25"/>
      <c r="D180" s="25"/>
      <c r="E180" s="25"/>
      <c r="F180" s="25"/>
      <c r="G180" s="25"/>
      <c r="H180" s="25"/>
    </row>
    <row r="181" spans="1:8" x14ac:dyDescent="0.25">
      <c r="A181" s="25"/>
      <c r="B181" s="25"/>
      <c r="C181" s="25"/>
      <c r="D181" s="25"/>
      <c r="E181" s="25"/>
      <c r="F181" s="25"/>
      <c r="G181" s="25"/>
      <c r="H181" s="25"/>
    </row>
    <row r="182" spans="1:8" x14ac:dyDescent="0.25">
      <c r="A182" s="25"/>
      <c r="B182" s="25"/>
      <c r="C182" s="25"/>
      <c r="D182" s="25"/>
      <c r="E182" s="25"/>
      <c r="F182" s="25"/>
      <c r="G182" s="25"/>
      <c r="H182" s="25"/>
    </row>
    <row r="183" spans="1:8" x14ac:dyDescent="0.25">
      <c r="A183" s="25"/>
      <c r="B183" s="25"/>
      <c r="C183" s="25"/>
      <c r="D183" s="25"/>
      <c r="E183" s="25"/>
      <c r="F183" s="25"/>
      <c r="G183" s="25"/>
      <c r="H183" s="25"/>
    </row>
    <row r="184" spans="1:8" x14ac:dyDescent="0.25">
      <c r="A184" s="25"/>
      <c r="B184" s="25"/>
      <c r="C184" s="25"/>
      <c r="D184" s="25"/>
      <c r="E184" s="25"/>
      <c r="F184" s="25"/>
      <c r="G184" s="25"/>
      <c r="H184" s="25"/>
    </row>
    <row r="185" spans="1:8" x14ac:dyDescent="0.25">
      <c r="A185" s="25"/>
      <c r="B185" s="25"/>
      <c r="C185" s="25"/>
      <c r="D185" s="25"/>
      <c r="E185" s="25"/>
      <c r="F185" s="25"/>
      <c r="G185" s="25"/>
      <c r="H185" s="25"/>
    </row>
    <row r="186" spans="1:8" x14ac:dyDescent="0.25">
      <c r="A186" s="25"/>
      <c r="B186" s="25"/>
      <c r="C186" s="25"/>
      <c r="D186" s="25"/>
      <c r="E186" s="25"/>
      <c r="F186" s="25"/>
      <c r="G186" s="25"/>
      <c r="H186" s="25"/>
    </row>
    <row r="187" spans="1:8" x14ac:dyDescent="0.25">
      <c r="A187" s="25"/>
      <c r="B187" s="25"/>
      <c r="C187" s="25"/>
      <c r="D187" s="25"/>
      <c r="E187" s="25"/>
      <c r="F187" s="25"/>
      <c r="G187" s="25"/>
      <c r="H187" s="25"/>
    </row>
    <row r="188" spans="1:8" x14ac:dyDescent="0.25">
      <c r="A188" s="25"/>
      <c r="B188" s="25"/>
      <c r="C188" s="25"/>
      <c r="D188" s="25"/>
      <c r="E188" s="25"/>
      <c r="F188" s="25"/>
      <c r="G188" s="25"/>
      <c r="H188" s="25"/>
    </row>
    <row r="189" spans="1:8" x14ac:dyDescent="0.25">
      <c r="A189" s="25"/>
      <c r="B189" s="25"/>
      <c r="C189" s="25"/>
      <c r="D189" s="25"/>
      <c r="E189" s="25"/>
      <c r="F189" s="25"/>
      <c r="G189" s="25"/>
      <c r="H189" s="25"/>
    </row>
    <row r="190" spans="1:8" x14ac:dyDescent="0.25">
      <c r="A190" s="25"/>
      <c r="B190" s="25"/>
      <c r="C190" s="25"/>
      <c r="D190" s="25"/>
      <c r="E190" s="25"/>
      <c r="F190" s="25"/>
      <c r="G190" s="25"/>
      <c r="H190" s="25"/>
    </row>
    <row r="191" spans="1:8" x14ac:dyDescent="0.25">
      <c r="A191" s="25"/>
      <c r="B191" s="25"/>
      <c r="C191" s="25"/>
      <c r="D191" s="25"/>
      <c r="E191" s="25"/>
      <c r="F191" s="25"/>
      <c r="G191" s="25"/>
      <c r="H191" s="25"/>
    </row>
    <row r="192" spans="1:8" x14ac:dyDescent="0.25">
      <c r="A192" s="25"/>
      <c r="B192" s="25"/>
      <c r="C192" s="25"/>
      <c r="D192" s="25"/>
      <c r="E192" s="25"/>
      <c r="F192" s="25"/>
      <c r="G192" s="25"/>
      <c r="H192" s="25"/>
    </row>
    <row r="193" spans="1:8" x14ac:dyDescent="0.25">
      <c r="A193" s="25"/>
      <c r="B193" s="25"/>
      <c r="C193" s="25"/>
      <c r="D193" s="25"/>
      <c r="E193" s="25"/>
      <c r="F193" s="25"/>
      <c r="G193" s="25"/>
      <c r="H193" s="25"/>
    </row>
    <row r="194" spans="1:8" x14ac:dyDescent="0.25">
      <c r="A194" s="25"/>
      <c r="B194" s="25"/>
      <c r="C194" s="25"/>
      <c r="D194" s="25"/>
      <c r="E194" s="25"/>
      <c r="F194" s="25"/>
      <c r="G194" s="25"/>
      <c r="H194" s="25"/>
    </row>
    <row r="195" spans="1:8" x14ac:dyDescent="0.25">
      <c r="A195" s="25"/>
      <c r="B195" s="25"/>
      <c r="C195" s="25"/>
      <c r="D195" s="25"/>
      <c r="E195" s="25"/>
      <c r="F195" s="25"/>
      <c r="G195" s="25"/>
      <c r="H195" s="25"/>
    </row>
    <row r="196" spans="1:8" x14ac:dyDescent="0.25">
      <c r="A196" s="25"/>
      <c r="B196" s="25"/>
      <c r="C196" s="25"/>
      <c r="D196" s="25"/>
      <c r="E196" s="25"/>
      <c r="F196" s="25"/>
      <c r="G196" s="25"/>
      <c r="H196" s="25"/>
    </row>
    <row r="197" spans="1:8" x14ac:dyDescent="0.25">
      <c r="A197" s="25"/>
      <c r="B197" s="25"/>
      <c r="C197" s="25"/>
      <c r="D197" s="25"/>
      <c r="E197" s="25"/>
      <c r="F197" s="25"/>
      <c r="G197" s="25"/>
      <c r="H197" s="25"/>
    </row>
    <row r="198" spans="1:8" x14ac:dyDescent="0.25">
      <c r="A198" s="25"/>
      <c r="B198" s="25"/>
      <c r="C198" s="25"/>
      <c r="D198" s="25"/>
      <c r="E198" s="25"/>
      <c r="F198" s="25"/>
      <c r="G198" s="25"/>
      <c r="H198" s="25"/>
    </row>
    <row r="199" spans="1:8" x14ac:dyDescent="0.25">
      <c r="A199" s="25"/>
      <c r="B199" s="25"/>
      <c r="C199" s="25"/>
      <c r="D199" s="25"/>
      <c r="E199" s="25"/>
      <c r="F199" s="25"/>
      <c r="G199" s="25"/>
      <c r="H199" s="25"/>
    </row>
    <row r="200" spans="1:8" x14ac:dyDescent="0.25">
      <c r="A200" s="25"/>
      <c r="B200" s="25"/>
      <c r="C200" s="25"/>
      <c r="D200" s="25"/>
      <c r="E200" s="25"/>
      <c r="F200" s="25"/>
      <c r="G200" s="25"/>
      <c r="H200" s="25"/>
    </row>
  </sheetData>
  <dataValidations count="8">
    <dataValidation type="list" allowBlank="1" showInputMessage="1" showErrorMessage="1" sqref="B2:B1048576" xr:uid="{1168EA0E-9118-41FA-B807-805BE8611012}">
      <formula1>"Oil,Gas"</formula1>
    </dataValidation>
    <dataValidation type="whole" allowBlank="1" showInputMessage="1" showErrorMessage="1" errorTitle="Data Type Error" error="The Year should be in Integer not String" sqref="A2:A1048576" xr:uid="{608DD8F8-2C54-4565-9407-A6E4D8FD232E}">
      <formula1>0</formula1>
      <formula2>9999</formula2>
    </dataValidation>
    <dataValidation type="whole" operator="greaterThan" allowBlank="1" showInputMessage="1" showErrorMessage="1" errorTitle="Data Type Error" error="The PDRI Portion should be in Integer or Float not String" sqref="H201:H1048576" xr:uid="{571F39CA-2596-4703-8FE7-ECBA82C1DAC5}">
      <formula1>0</formula1>
    </dataValidation>
    <dataValidation operator="greaterThan" allowBlank="1" showInputMessage="1" showErrorMessage="1" sqref="C201:C1048576 D201:D1048576 E201:E1048576" xr:uid="{57D8EB5D-3412-4A1B-A503-E277B73E46EB}"/>
    <dataValidation type="whole" operator="greaterThan" allowBlank="1" showInputMessage="1" showErrorMessage="1" errorTitle="Data Type Error" error="The PPN portion should be in Integer or Float not String" sqref="F201:G1048576" xr:uid="{D6BAAAA3-7123-4C72-8EA7-916A96E65F47}">
      <formula1>0</formula1>
    </dataValidation>
    <dataValidation type="decimal" operator="greaterThanOrEqual" allowBlank="1" showInputMessage="1" showErrorMessage="1" errorTitle="Data Type" error="Should be more than or equal to 0" sqref="C2:C200 D2:D200 E2:E200" xr:uid="{CE355227-2DA2-47D9-AAE9-9549B9AACA45}">
      <formula1>0</formula1>
    </dataValidation>
    <dataValidation type="decimal" allowBlank="1" showInputMessage="1" showErrorMessage="1" errorTitle="Data Type Error" error="Should be between 0 and 1" sqref="F2:G200" xr:uid="{FE6F9FC9-A019-4AC3-B8AA-590E6AF4DFEF}">
      <formula1>0</formula1>
      <formula2>1</formula2>
    </dataValidation>
    <dataValidation operator="greaterThan" allowBlank="1" showInputMessage="1" showErrorMessage="1" errorTitle="Data Type Error" error="The PDRI Portion should be in Integer or Float not String" sqref="H2:H200" xr:uid="{0A494F8E-FB6C-445E-B691-1674BEA51835}"/>
  </dataValidation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A363-75AD-4D3D-B5B7-017E89AC7A03}">
  <sheetPr codeName="Sheet14">
    <tabColor rgb="FFA3B8BA"/>
  </sheetPr>
  <dimension ref="A1:F200"/>
  <sheetViews>
    <sheetView workbookViewId="0">
      <selection activeCell="A2" sqref="A2:C6"/>
    </sheetView>
  </sheetViews>
  <sheetFormatPr defaultColWidth="0" defaultRowHeight="15" zeroHeight="1" x14ac:dyDescent="0.25"/>
  <cols>
    <col min="1" max="1" width="11.140625" customWidth="1"/>
    <col min="2" max="2" width="19" bestFit="1" customWidth="1"/>
    <col min="3" max="3" width="16.140625" bestFit="1" customWidth="1"/>
    <col min="4" max="4" width="15.5703125" bestFit="1" customWidth="1"/>
    <col min="5" max="5" width="15.5703125" customWidth="1"/>
    <col min="6" max="6" width="13.85546875" bestFit="1" customWidth="1"/>
    <col min="7" max="16384" width="8.85546875" hidden="1"/>
  </cols>
  <sheetData>
    <row r="1" spans="1:6" s="63" customFormat="1" x14ac:dyDescent="0.25">
      <c r="A1" s="71" t="s">
        <v>0</v>
      </c>
      <c r="B1" s="71" t="s">
        <v>17</v>
      </c>
      <c r="C1" s="71" t="s">
        <v>18</v>
      </c>
      <c r="D1" s="71" t="s">
        <v>274</v>
      </c>
      <c r="E1" s="71" t="s">
        <v>271</v>
      </c>
      <c r="F1" s="71" t="s">
        <v>258</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8">
    <dataValidation operator="greaterThan" allowBlank="1" showInputMessage="1" showErrorMessage="1" sqref="C201:C1048576" xr:uid="{5BCCE960-18E6-4C83-BB26-0A13093ED7FD}"/>
    <dataValidation type="whole" operator="greaterThan" allowBlank="1" showInputMessage="1" showErrorMessage="1" errorTitle="Data Type Error" error="The PDRI Portion should be in Integer or Float not String" sqref="F201:F1048576" xr:uid="{8722536D-716B-4E96-A826-80CF0CD4DCA4}">
      <formula1>0</formula1>
    </dataValidation>
    <dataValidation type="whole" operator="greaterThan" allowBlank="1" showInputMessage="1" showErrorMessage="1" errorTitle="Data Type Error" error="The PPN portion should be in Integer or Float not String" sqref="D201:E1048576" xr:uid="{B35242D3-F07B-4E84-A5F0-760276B36CF5}">
      <formula1>0</formula1>
    </dataValidation>
    <dataValidation type="whole" allowBlank="1" showInputMessage="1" showErrorMessage="1" errorTitle="Data Type Error" error="The Year should be in Integer not String" sqref="A2:A1048576" xr:uid="{F295CFAE-C6C8-48D3-AA85-E3795EE31C06}">
      <formula1>0</formula1>
      <formula2>9999</formula2>
    </dataValidation>
    <dataValidation type="list" allowBlank="1" showInputMessage="1" showErrorMessage="1" sqref="B2:B1048576" xr:uid="{75902F9C-3017-4780-9C4D-245C4165608E}">
      <formula1>"Oil,Gas"</formula1>
    </dataValidation>
    <dataValidation type="decimal" operator="greaterThanOrEqual" allowBlank="1" showInputMessage="1" showErrorMessage="1" errorTitle="Data Type" error="Should be more than or equal to 0" sqref="C2:C200" xr:uid="{02BECE29-BFFC-4415-8B68-A0B32DD70F1C}">
      <formula1>0</formula1>
    </dataValidation>
    <dataValidation type="decimal" allowBlank="1" showInputMessage="1" showErrorMessage="1" errorTitle="Data Type Error" error="Should be between 0 and 1" sqref="D2:E200" xr:uid="{90696346-FFF0-4E48-8F77-F90728843BFD}">
      <formula1>0</formula1>
      <formula2>1</formula2>
    </dataValidation>
    <dataValidation operator="greaterThan" allowBlank="1" showInputMessage="1" showErrorMessage="1" errorTitle="Data Type Error" error="The PDRI Portion should be in Integer or Float not String" sqref="F2:F200" xr:uid="{4695060E-0407-432B-9423-3590BA516A94}"/>
  </dataValidations>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BA898-4E38-484D-A98D-D30CD20AF89E}">
  <sheetPr codeName="Sheet24">
    <tabColor rgb="FF435259"/>
  </sheetPr>
  <dimension ref="A1:O71"/>
  <sheetViews>
    <sheetView showGridLines="0" showRowColHeaders="0" zoomScaleNormal="100" workbookViewId="0">
      <selection activeCell="C8" sqref="C8"/>
    </sheetView>
  </sheetViews>
  <sheetFormatPr defaultColWidth="0" defaultRowHeight="15" zeroHeight="1" x14ac:dyDescent="0.25"/>
  <cols>
    <col min="1" max="1" width="6.42578125" customWidth="1"/>
    <col min="2" max="2" width="16.85546875" customWidth="1"/>
    <col min="3" max="5" width="8.85546875" customWidth="1"/>
    <col min="6" max="6" width="6.5703125" customWidth="1"/>
    <col min="7" max="14" width="8.85546875" customWidth="1"/>
    <col min="15" max="15" width="9" customWidth="1"/>
    <col min="16" max="16384" width="8.85546875" hidden="1"/>
  </cols>
  <sheetData>
    <row r="1" spans="1:14" x14ac:dyDescent="0.25">
      <c r="A1" s="9" t="s">
        <v>352</v>
      </c>
      <c r="F1" s="9" t="s">
        <v>356</v>
      </c>
    </row>
    <row r="2" spans="1:14" x14ac:dyDescent="0.25">
      <c r="B2" t="s">
        <v>353</v>
      </c>
      <c r="C2" s="29">
        <v>0.2</v>
      </c>
      <c r="G2" s="9" t="s">
        <v>357</v>
      </c>
    </row>
    <row r="3" spans="1:14" x14ac:dyDescent="0.25">
      <c r="B3" t="s">
        <v>354</v>
      </c>
      <c r="C3" s="29">
        <v>0.2</v>
      </c>
      <c r="G3" s="80"/>
      <c r="H3" s="80"/>
      <c r="I3" s="80"/>
      <c r="J3" s="80"/>
      <c r="K3" s="80"/>
      <c r="L3" s="80"/>
      <c r="M3" s="80"/>
      <c r="N3" s="80"/>
    </row>
    <row r="4" spans="1:14" x14ac:dyDescent="0.25">
      <c r="B4" t="s">
        <v>355</v>
      </c>
      <c r="C4" s="79">
        <v>5</v>
      </c>
      <c r="G4" s="80"/>
      <c r="H4" s="80"/>
      <c r="I4" s="80"/>
      <c r="J4" s="80"/>
      <c r="K4" s="80"/>
      <c r="L4" s="80"/>
      <c r="M4" s="80"/>
      <c r="N4" s="80"/>
    </row>
    <row r="5" spans="1:14" x14ac:dyDescent="0.25">
      <c r="G5" s="80"/>
      <c r="H5" s="80"/>
      <c r="I5" s="80"/>
      <c r="J5" s="80"/>
      <c r="K5" s="80"/>
      <c r="L5" s="80"/>
      <c r="M5" s="80"/>
      <c r="N5" s="80"/>
    </row>
    <row r="6" spans="1:14" x14ac:dyDescent="0.25">
      <c r="B6" s="83" t="s">
        <v>50</v>
      </c>
      <c r="C6" s="83" t="s">
        <v>342</v>
      </c>
      <c r="D6" s="83" t="s">
        <v>343</v>
      </c>
      <c r="E6" s="83" t="s">
        <v>344</v>
      </c>
      <c r="G6" s="80"/>
      <c r="H6" s="80"/>
      <c r="I6" s="80"/>
      <c r="J6" s="80"/>
      <c r="K6" s="80"/>
      <c r="L6" s="80"/>
      <c r="M6" s="80"/>
      <c r="N6" s="80"/>
    </row>
    <row r="7" spans="1:14" x14ac:dyDescent="0.25">
      <c r="B7" t="s">
        <v>367</v>
      </c>
      <c r="C7" s="25">
        <f>D7-$C$2*D7</f>
        <v>0</v>
      </c>
      <c r="D7" s="25">
        <f>IFERROR(AVERAGE(tbl_prod_oil[Oil Price (USD/BBL)]),0)</f>
        <v>0</v>
      </c>
      <c r="E7" s="25">
        <f>D7+$C$3*D7</f>
        <v>0</v>
      </c>
      <c r="G7" s="80"/>
      <c r="H7" s="80"/>
      <c r="I7" s="80"/>
      <c r="J7" s="80"/>
      <c r="K7" s="80"/>
      <c r="L7" s="80"/>
      <c r="M7" s="80"/>
      <c r="N7" s="80"/>
    </row>
    <row r="8" spans="1:14" x14ac:dyDescent="0.25">
      <c r="B8" t="s">
        <v>368</v>
      </c>
      <c r="C8" s="25">
        <f t="shared" ref="C8:C11" si="0">D8-$C$2*D8</f>
        <v>0</v>
      </c>
      <c r="D8" s="25">
        <f>IFERROR(AVERAGE(tbl_prod_gas[GSA 1 Price (USD/MMBTU)]),0)</f>
        <v>0</v>
      </c>
      <c r="E8" s="25">
        <f t="shared" ref="E8:E11" si="1">D8+$C$3*D8</f>
        <v>0</v>
      </c>
      <c r="G8" s="80"/>
      <c r="H8" s="80"/>
      <c r="I8" s="80"/>
      <c r="J8" s="80"/>
      <c r="K8" s="80"/>
      <c r="L8" s="80"/>
      <c r="M8" s="80"/>
      <c r="N8" s="80"/>
    </row>
    <row r="9" spans="1:14" x14ac:dyDescent="0.25">
      <c r="B9" t="s">
        <v>230</v>
      </c>
      <c r="C9" s="25">
        <f t="shared" si="0"/>
        <v>0</v>
      </c>
      <c r="D9" s="25">
        <f>SUM(tbl_cost_opex[Fixed Cost (MUSD)])</f>
        <v>0</v>
      </c>
      <c r="E9" s="25">
        <f t="shared" si="1"/>
        <v>0</v>
      </c>
      <c r="G9" s="80"/>
      <c r="H9" s="80"/>
      <c r="I9" s="80"/>
      <c r="J9" s="80"/>
      <c r="K9" s="80"/>
      <c r="L9" s="80"/>
      <c r="M9" s="80"/>
      <c r="N9" s="80"/>
    </row>
    <row r="10" spans="1:14" x14ac:dyDescent="0.25">
      <c r="B10" t="s">
        <v>259</v>
      </c>
      <c r="C10" s="25">
        <f t="shared" si="0"/>
        <v>0</v>
      </c>
      <c r="D10" s="25">
        <f>SUM(tbl_cost_tangible[Cost (MUSD)])</f>
        <v>0</v>
      </c>
      <c r="E10" s="25">
        <f t="shared" si="1"/>
        <v>0</v>
      </c>
      <c r="G10" s="80"/>
      <c r="H10" s="80"/>
      <c r="I10" s="80"/>
      <c r="J10" s="80"/>
      <c r="K10" s="80"/>
      <c r="L10" s="80"/>
      <c r="M10" s="80"/>
      <c r="N10" s="80"/>
    </row>
    <row r="11" spans="1:14" x14ac:dyDescent="0.25">
      <c r="B11" t="s">
        <v>369</v>
      </c>
      <c r="C11" s="25">
        <f t="shared" si="0"/>
        <v>0</v>
      </c>
      <c r="D11" s="25">
        <f>SUM(tbl_prod_oil[Oil Sales (MMBOPY)]) + SUM(tbl_prod_gas[Gas Production (BSCF)])</f>
        <v>0</v>
      </c>
      <c r="E11" s="25">
        <f t="shared" si="1"/>
        <v>0</v>
      </c>
      <c r="G11" s="80"/>
      <c r="H11" s="80"/>
      <c r="I11" s="80"/>
      <c r="J11" s="80"/>
      <c r="K11" s="80"/>
      <c r="L11" s="80"/>
      <c r="M11" s="80"/>
      <c r="N11" s="80"/>
    </row>
    <row r="12" spans="1:14" x14ac:dyDescent="0.25">
      <c r="G12" s="80"/>
      <c r="H12" s="80"/>
      <c r="I12" s="80"/>
      <c r="J12" s="80"/>
      <c r="K12" s="80"/>
      <c r="L12" s="80"/>
      <c r="M12" s="80"/>
      <c r="N12" s="80"/>
    </row>
    <row r="13" spans="1:14" x14ac:dyDescent="0.25">
      <c r="G13" s="80"/>
      <c r="H13" s="80"/>
      <c r="I13" s="80"/>
      <c r="J13" s="80"/>
      <c r="K13" s="80"/>
      <c r="L13" s="80"/>
      <c r="M13" s="80"/>
      <c r="N13" s="80"/>
    </row>
    <row r="14" spans="1:14" x14ac:dyDescent="0.25">
      <c r="G14" s="80"/>
      <c r="H14" s="80"/>
      <c r="I14" s="80"/>
      <c r="J14" s="80"/>
      <c r="K14" s="80"/>
      <c r="L14" s="80"/>
      <c r="M14" s="80"/>
      <c r="N14" s="80"/>
    </row>
    <row r="15" spans="1:14" x14ac:dyDescent="0.25"/>
    <row r="16" spans="1:14" x14ac:dyDescent="0.25">
      <c r="G16" s="9" t="s">
        <v>347</v>
      </c>
    </row>
    <row r="17" spans="7:14" x14ac:dyDescent="0.25">
      <c r="G17" s="80"/>
      <c r="H17" s="80"/>
      <c r="I17" s="80"/>
      <c r="J17" s="80"/>
      <c r="K17" s="80"/>
      <c r="L17" s="80"/>
      <c r="M17" s="80"/>
      <c r="N17" s="80"/>
    </row>
    <row r="18" spans="7:14" x14ac:dyDescent="0.25">
      <c r="G18" s="80"/>
      <c r="H18" s="80"/>
      <c r="I18" s="80"/>
      <c r="J18" s="80"/>
      <c r="K18" s="80"/>
      <c r="L18" s="80"/>
      <c r="M18" s="80"/>
      <c r="N18" s="80"/>
    </row>
    <row r="19" spans="7:14" x14ac:dyDescent="0.25">
      <c r="G19" s="80"/>
      <c r="H19" s="80"/>
      <c r="I19" s="80"/>
      <c r="J19" s="80"/>
      <c r="K19" s="80"/>
      <c r="L19" s="80"/>
      <c r="M19" s="80"/>
      <c r="N19" s="80"/>
    </row>
    <row r="20" spans="7:14" x14ac:dyDescent="0.25">
      <c r="G20" s="80"/>
      <c r="H20" s="80"/>
      <c r="I20" s="80"/>
      <c r="J20" s="80"/>
      <c r="K20" s="80"/>
      <c r="L20" s="80"/>
      <c r="M20" s="80"/>
      <c r="N20" s="80"/>
    </row>
    <row r="21" spans="7:14" x14ac:dyDescent="0.25">
      <c r="G21" s="80"/>
      <c r="H21" s="80"/>
      <c r="I21" s="80"/>
      <c r="J21" s="80"/>
      <c r="K21" s="80"/>
      <c r="L21" s="80"/>
      <c r="M21" s="80"/>
      <c r="N21" s="80"/>
    </row>
    <row r="22" spans="7:14" x14ac:dyDescent="0.25">
      <c r="G22" s="80"/>
      <c r="H22" s="80"/>
      <c r="I22" s="80"/>
      <c r="J22" s="80"/>
      <c r="K22" s="80"/>
      <c r="L22" s="80"/>
      <c r="M22" s="80"/>
      <c r="N22" s="80"/>
    </row>
    <row r="23" spans="7:14" x14ac:dyDescent="0.25">
      <c r="G23" s="80"/>
      <c r="H23" s="80"/>
      <c r="I23" s="80"/>
      <c r="J23" s="80"/>
      <c r="K23" s="80"/>
      <c r="L23" s="80"/>
      <c r="M23" s="80"/>
      <c r="N23" s="80"/>
    </row>
    <row r="24" spans="7:14" x14ac:dyDescent="0.25">
      <c r="G24" s="80"/>
      <c r="H24" s="80"/>
      <c r="I24" s="80"/>
      <c r="J24" s="80"/>
      <c r="K24" s="80"/>
      <c r="L24" s="80"/>
      <c r="M24" s="80"/>
      <c r="N24" s="80"/>
    </row>
    <row r="25" spans="7:14" x14ac:dyDescent="0.25">
      <c r="G25" s="80"/>
      <c r="H25" s="80"/>
      <c r="I25" s="80"/>
      <c r="J25" s="80"/>
      <c r="K25" s="80"/>
      <c r="L25" s="80"/>
      <c r="M25" s="80"/>
      <c r="N25" s="80"/>
    </row>
    <row r="26" spans="7:14" x14ac:dyDescent="0.25">
      <c r="G26" s="80"/>
      <c r="H26" s="80"/>
      <c r="I26" s="80"/>
      <c r="J26" s="80"/>
      <c r="K26" s="80"/>
      <c r="L26" s="80"/>
      <c r="M26" s="80"/>
      <c r="N26" s="80"/>
    </row>
    <row r="27" spans="7:14" x14ac:dyDescent="0.25">
      <c r="G27" s="80"/>
      <c r="H27" s="80"/>
      <c r="I27" s="80"/>
      <c r="J27" s="80"/>
      <c r="K27" s="80"/>
      <c r="L27" s="80"/>
      <c r="M27" s="80"/>
      <c r="N27" s="80"/>
    </row>
    <row r="28" spans="7:14" x14ac:dyDescent="0.25">
      <c r="G28" s="80"/>
      <c r="H28" s="80"/>
      <c r="I28" s="80"/>
      <c r="J28" s="80"/>
      <c r="K28" s="80"/>
      <c r="L28" s="80"/>
      <c r="M28" s="80"/>
      <c r="N28" s="80"/>
    </row>
    <row r="29" spans="7:14" x14ac:dyDescent="0.25"/>
    <row r="30" spans="7:14" x14ac:dyDescent="0.25">
      <c r="G30" s="9" t="s">
        <v>358</v>
      </c>
    </row>
    <row r="31" spans="7:14" x14ac:dyDescent="0.25">
      <c r="G31" s="80"/>
      <c r="H31" s="80"/>
      <c r="I31" s="80"/>
      <c r="J31" s="80"/>
      <c r="K31" s="80"/>
      <c r="L31" s="80"/>
      <c r="M31" s="80"/>
      <c r="N31" s="80"/>
    </row>
    <row r="32" spans="7:14" x14ac:dyDescent="0.25">
      <c r="G32" s="80"/>
      <c r="H32" s="80"/>
      <c r="I32" s="80"/>
      <c r="J32" s="80"/>
      <c r="K32" s="80"/>
      <c r="L32" s="80"/>
      <c r="M32" s="80"/>
      <c r="N32" s="80"/>
    </row>
    <row r="33" spans="7:14" x14ac:dyDescent="0.25">
      <c r="G33" s="80"/>
      <c r="H33" s="80"/>
      <c r="I33" s="80"/>
      <c r="J33" s="80"/>
      <c r="K33" s="80"/>
      <c r="L33" s="80"/>
      <c r="M33" s="80"/>
      <c r="N33" s="80"/>
    </row>
    <row r="34" spans="7:14" x14ac:dyDescent="0.25">
      <c r="G34" s="80"/>
      <c r="H34" s="80"/>
      <c r="I34" s="80"/>
      <c r="J34" s="80"/>
      <c r="K34" s="80"/>
      <c r="L34" s="80"/>
      <c r="M34" s="80"/>
      <c r="N34" s="80"/>
    </row>
    <row r="35" spans="7:14" x14ac:dyDescent="0.25">
      <c r="G35" s="80"/>
      <c r="H35" s="80"/>
      <c r="I35" s="80"/>
      <c r="J35" s="80"/>
      <c r="K35" s="80"/>
      <c r="L35" s="80"/>
      <c r="M35" s="80"/>
      <c r="N35" s="80"/>
    </row>
    <row r="36" spans="7:14" x14ac:dyDescent="0.25">
      <c r="G36" s="80"/>
      <c r="H36" s="80"/>
      <c r="I36" s="80"/>
      <c r="J36" s="80"/>
      <c r="K36" s="80"/>
      <c r="L36" s="80"/>
      <c r="M36" s="80"/>
      <c r="N36" s="80"/>
    </row>
    <row r="37" spans="7:14" x14ac:dyDescent="0.25">
      <c r="G37" s="80"/>
      <c r="H37" s="80"/>
      <c r="I37" s="80"/>
      <c r="J37" s="80"/>
      <c r="K37" s="80"/>
      <c r="L37" s="80"/>
      <c r="M37" s="80"/>
      <c r="N37" s="80"/>
    </row>
    <row r="38" spans="7:14" x14ac:dyDescent="0.25">
      <c r="G38" s="80"/>
      <c r="H38" s="80"/>
      <c r="I38" s="80"/>
      <c r="J38" s="80"/>
      <c r="K38" s="80"/>
      <c r="L38" s="80"/>
      <c r="M38" s="80"/>
      <c r="N38" s="80"/>
    </row>
    <row r="39" spans="7:14" x14ac:dyDescent="0.25">
      <c r="G39" s="80"/>
      <c r="H39" s="80"/>
      <c r="I39" s="80"/>
      <c r="J39" s="80"/>
      <c r="K39" s="80"/>
      <c r="L39" s="80"/>
      <c r="M39" s="80"/>
      <c r="N39" s="80"/>
    </row>
    <row r="40" spans="7:14" x14ac:dyDescent="0.25">
      <c r="G40" s="80"/>
      <c r="H40" s="80"/>
      <c r="I40" s="80"/>
      <c r="J40" s="80"/>
      <c r="K40" s="80"/>
      <c r="L40" s="80"/>
      <c r="M40" s="80"/>
      <c r="N40" s="80"/>
    </row>
    <row r="41" spans="7:14" x14ac:dyDescent="0.25">
      <c r="G41" s="80"/>
      <c r="H41" s="80"/>
      <c r="I41" s="80"/>
      <c r="J41" s="80"/>
      <c r="K41" s="80"/>
      <c r="L41" s="80"/>
      <c r="M41" s="80"/>
      <c r="N41" s="80"/>
    </row>
    <row r="42" spans="7:14" x14ac:dyDescent="0.25">
      <c r="G42" s="80"/>
      <c r="H42" s="80"/>
      <c r="I42" s="80"/>
      <c r="J42" s="80"/>
      <c r="K42" s="80"/>
      <c r="L42" s="80"/>
      <c r="M42" s="80"/>
      <c r="N42" s="80"/>
    </row>
    <row r="43" spans="7:14" x14ac:dyDescent="0.25"/>
    <row r="44" spans="7:14" x14ac:dyDescent="0.25">
      <c r="G44" s="9" t="s">
        <v>332</v>
      </c>
    </row>
    <row r="45" spans="7:14" x14ac:dyDescent="0.25">
      <c r="G45" s="80"/>
      <c r="H45" s="80"/>
      <c r="I45" s="80"/>
      <c r="J45" s="80"/>
      <c r="K45" s="80"/>
      <c r="L45" s="80"/>
      <c r="M45" s="80"/>
      <c r="N45" s="80"/>
    </row>
    <row r="46" spans="7:14" x14ac:dyDescent="0.25">
      <c r="G46" s="80"/>
      <c r="H46" s="80"/>
      <c r="I46" s="80"/>
      <c r="J46" s="80"/>
      <c r="K46" s="80"/>
      <c r="L46" s="80"/>
      <c r="M46" s="80"/>
      <c r="N46" s="80"/>
    </row>
    <row r="47" spans="7:14" x14ac:dyDescent="0.25">
      <c r="G47" s="80"/>
      <c r="H47" s="80"/>
      <c r="I47" s="80"/>
      <c r="J47" s="80"/>
      <c r="K47" s="80"/>
      <c r="L47" s="80"/>
      <c r="M47" s="80"/>
      <c r="N47" s="80"/>
    </row>
    <row r="48" spans="7:14" x14ac:dyDescent="0.25">
      <c r="G48" s="80"/>
      <c r="H48" s="80"/>
      <c r="I48" s="80"/>
      <c r="J48" s="80"/>
      <c r="K48" s="80"/>
      <c r="L48" s="80"/>
      <c r="M48" s="80"/>
      <c r="N48" s="80"/>
    </row>
    <row r="49" spans="7:14" x14ac:dyDescent="0.25">
      <c r="G49" s="80"/>
      <c r="H49" s="80"/>
      <c r="I49" s="80"/>
      <c r="J49" s="80"/>
      <c r="K49" s="80"/>
      <c r="L49" s="80"/>
      <c r="M49" s="80"/>
      <c r="N49" s="80"/>
    </row>
    <row r="50" spans="7:14" x14ac:dyDescent="0.25">
      <c r="G50" s="80"/>
      <c r="H50" s="80"/>
      <c r="I50" s="80"/>
      <c r="J50" s="80"/>
      <c r="K50" s="80"/>
      <c r="L50" s="80"/>
      <c r="M50" s="80"/>
      <c r="N50" s="80"/>
    </row>
    <row r="51" spans="7:14" x14ac:dyDescent="0.25">
      <c r="G51" s="80"/>
      <c r="H51" s="80"/>
      <c r="I51" s="80"/>
      <c r="J51" s="80"/>
      <c r="K51" s="80"/>
      <c r="L51" s="80"/>
      <c r="M51" s="80"/>
      <c r="N51" s="80"/>
    </row>
    <row r="52" spans="7:14" x14ac:dyDescent="0.25">
      <c r="G52" s="80"/>
      <c r="H52" s="80"/>
      <c r="I52" s="80"/>
      <c r="J52" s="80"/>
      <c r="K52" s="80"/>
      <c r="L52" s="80"/>
      <c r="M52" s="80"/>
      <c r="N52" s="80"/>
    </row>
    <row r="53" spans="7:14" x14ac:dyDescent="0.25">
      <c r="G53" s="80"/>
      <c r="H53" s="80"/>
      <c r="I53" s="80"/>
      <c r="J53" s="80"/>
      <c r="K53" s="80"/>
      <c r="L53" s="80"/>
      <c r="M53" s="80"/>
      <c r="N53" s="80"/>
    </row>
    <row r="54" spans="7:14" x14ac:dyDescent="0.25">
      <c r="G54" s="80"/>
      <c r="H54" s="80"/>
      <c r="I54" s="80"/>
      <c r="J54" s="80"/>
      <c r="K54" s="80"/>
      <c r="L54" s="80"/>
      <c r="M54" s="80"/>
      <c r="N54" s="80"/>
    </row>
    <row r="55" spans="7:14" x14ac:dyDescent="0.25">
      <c r="G55" s="80"/>
      <c r="H55" s="80"/>
      <c r="I55" s="80"/>
      <c r="J55" s="80"/>
      <c r="K55" s="80"/>
      <c r="L55" s="80"/>
      <c r="M55" s="80"/>
      <c r="N55" s="80"/>
    </row>
    <row r="56" spans="7:14" x14ac:dyDescent="0.25">
      <c r="G56" s="80"/>
      <c r="H56" s="80"/>
      <c r="I56" s="80"/>
      <c r="J56" s="80"/>
      <c r="K56" s="80"/>
      <c r="L56" s="80"/>
      <c r="M56" s="80"/>
      <c r="N56" s="80"/>
    </row>
    <row r="57" spans="7:14" x14ac:dyDescent="0.25"/>
    <row r="58" spans="7:14" x14ac:dyDescent="0.25">
      <c r="G58" s="9" t="s">
        <v>311</v>
      </c>
    </row>
    <row r="59" spans="7:14" x14ac:dyDescent="0.25">
      <c r="G59" s="80"/>
      <c r="H59" s="80"/>
      <c r="I59" s="80"/>
      <c r="J59" s="80"/>
      <c r="K59" s="80"/>
      <c r="L59" s="80"/>
      <c r="M59" s="80"/>
      <c r="N59" s="80"/>
    </row>
    <row r="60" spans="7:14" x14ac:dyDescent="0.25">
      <c r="G60" s="80"/>
      <c r="H60" s="80"/>
      <c r="I60" s="80"/>
      <c r="J60" s="80"/>
      <c r="K60" s="80"/>
      <c r="L60" s="80"/>
      <c r="M60" s="80"/>
      <c r="N60" s="80"/>
    </row>
    <row r="61" spans="7:14" x14ac:dyDescent="0.25">
      <c r="G61" s="80"/>
      <c r="H61" s="80"/>
      <c r="I61" s="80"/>
      <c r="J61" s="80"/>
      <c r="K61" s="80"/>
      <c r="L61" s="80"/>
      <c r="M61" s="80"/>
      <c r="N61" s="80"/>
    </row>
    <row r="62" spans="7:14" x14ac:dyDescent="0.25">
      <c r="G62" s="80"/>
      <c r="H62" s="80"/>
      <c r="I62" s="80"/>
      <c r="J62" s="80"/>
      <c r="K62" s="80"/>
      <c r="L62" s="80"/>
      <c r="M62" s="80"/>
      <c r="N62" s="80"/>
    </row>
    <row r="63" spans="7:14" x14ac:dyDescent="0.25">
      <c r="G63" s="80"/>
      <c r="H63" s="80"/>
      <c r="I63" s="80"/>
      <c r="J63" s="80"/>
      <c r="K63" s="80"/>
      <c r="L63" s="80"/>
      <c r="M63" s="80"/>
      <c r="N63" s="80"/>
    </row>
    <row r="64" spans="7:14" x14ac:dyDescent="0.25">
      <c r="G64" s="80"/>
      <c r="H64" s="80"/>
      <c r="I64" s="80"/>
      <c r="J64" s="80"/>
      <c r="K64" s="80"/>
      <c r="L64" s="80"/>
      <c r="M64" s="80"/>
      <c r="N64" s="80"/>
    </row>
    <row r="65" spans="7:14" x14ac:dyDescent="0.25">
      <c r="G65" s="80"/>
      <c r="H65" s="80"/>
      <c r="I65" s="80"/>
      <c r="J65" s="80"/>
      <c r="K65" s="80"/>
      <c r="L65" s="80"/>
      <c r="M65" s="80"/>
      <c r="N65" s="80"/>
    </row>
    <row r="66" spans="7:14" x14ac:dyDescent="0.25">
      <c r="G66" s="80"/>
      <c r="H66" s="80"/>
      <c r="I66" s="80"/>
      <c r="J66" s="80"/>
      <c r="K66" s="80"/>
      <c r="L66" s="80"/>
      <c r="M66" s="80"/>
      <c r="N66" s="80"/>
    </row>
    <row r="67" spans="7:14" x14ac:dyDescent="0.25">
      <c r="G67" s="80"/>
      <c r="H67" s="80"/>
      <c r="I67" s="80"/>
      <c r="J67" s="80"/>
      <c r="K67" s="80"/>
      <c r="L67" s="80"/>
      <c r="M67" s="80"/>
      <c r="N67" s="80"/>
    </row>
    <row r="68" spans="7:14" x14ac:dyDescent="0.25">
      <c r="G68" s="80"/>
      <c r="H68" s="80"/>
      <c r="I68" s="80"/>
      <c r="J68" s="80"/>
      <c r="K68" s="80"/>
      <c r="L68" s="80"/>
      <c r="M68" s="80"/>
      <c r="N68" s="80"/>
    </row>
    <row r="69" spans="7:14" x14ac:dyDescent="0.25">
      <c r="G69" s="80"/>
      <c r="H69" s="80"/>
      <c r="I69" s="80"/>
      <c r="J69" s="80"/>
      <c r="K69" s="80"/>
      <c r="L69" s="80"/>
      <c r="M69" s="80"/>
      <c r="N69" s="80"/>
    </row>
    <row r="70" spans="7:14" x14ac:dyDescent="0.25">
      <c r="G70" s="80"/>
      <c r="H70" s="80"/>
      <c r="I70" s="80"/>
      <c r="J70" s="80"/>
      <c r="K70" s="80"/>
      <c r="L70" s="80"/>
      <c r="M70" s="80"/>
      <c r="N70" s="80"/>
    </row>
    <row r="71" spans="7:14" x14ac:dyDescent="0.2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D2879-C6EC-4E2B-AA6F-2B18B8D3D660}">
  <sheetPr codeName="Sheet23">
    <tabColor rgb="FF435259"/>
  </sheetPr>
  <dimension ref="A1:Q21"/>
  <sheetViews>
    <sheetView showGridLines="0" showRowColHeaders="0" zoomScaleNormal="100" workbookViewId="0">
      <selection activeCell="F2" sqref="F2"/>
    </sheetView>
  </sheetViews>
  <sheetFormatPr defaultColWidth="0" defaultRowHeight="15" zeroHeight="1" x14ac:dyDescent="0.25"/>
  <cols>
    <col min="1" max="1" width="3.140625" customWidth="1"/>
    <col min="2" max="2" width="20" bestFit="1" customWidth="1"/>
    <col min="3" max="3" width="8.85546875" customWidth="1"/>
    <col min="4" max="4" width="9.140625" style="25" bestFit="1" customWidth="1"/>
    <col min="5" max="5" width="8.140625" style="25" customWidth="1"/>
    <col min="6" max="8" width="8.85546875" customWidth="1"/>
    <col min="9" max="9" width="4.5703125" customWidth="1"/>
    <col min="10" max="10" width="0" hidden="1" customWidth="1"/>
    <col min="11" max="11" width="6" customWidth="1"/>
    <col min="12" max="12" width="3.42578125" customWidth="1"/>
    <col min="13" max="13" width="4.140625" customWidth="1"/>
    <col min="14" max="14" width="20" bestFit="1" customWidth="1"/>
    <col min="15" max="16" width="8.85546875" customWidth="1"/>
    <col min="17" max="17" width="4.42578125" customWidth="1"/>
    <col min="18" max="16384" width="8.85546875" hidden="1"/>
  </cols>
  <sheetData>
    <row r="1" spans="1:16" x14ac:dyDescent="0.25">
      <c r="A1" s="9" t="s">
        <v>346</v>
      </c>
      <c r="M1" s="9" t="s">
        <v>349</v>
      </c>
    </row>
    <row r="2" spans="1:16" x14ac:dyDescent="0.25">
      <c r="B2" t="s">
        <v>213</v>
      </c>
      <c r="D2" s="29" t="s">
        <v>347</v>
      </c>
      <c r="E2" s="75" t="s">
        <v>348</v>
      </c>
      <c r="F2" s="78">
        <v>0.15</v>
      </c>
      <c r="N2" t="str">
        <f>CONCATENATE(D2," ","Result")</f>
        <v>IRR Result</v>
      </c>
      <c r="P2" s="76"/>
    </row>
    <row r="3" spans="1:16" x14ac:dyDescent="0.25"/>
    <row r="4" spans="1:16" x14ac:dyDescent="0.25">
      <c r="A4" s="9" t="s">
        <v>334</v>
      </c>
      <c r="D4" s="73" t="s">
        <v>340</v>
      </c>
      <c r="E4" s="73" t="s">
        <v>341</v>
      </c>
      <c r="F4" s="74" t="s">
        <v>343</v>
      </c>
      <c r="G4" s="74" t="s">
        <v>342</v>
      </c>
      <c r="H4" s="74" t="s">
        <v>344</v>
      </c>
      <c r="J4" s="25">
        <v>0</v>
      </c>
      <c r="M4" s="9" t="s">
        <v>350</v>
      </c>
    </row>
    <row r="5" spans="1:16" x14ac:dyDescent="0.25">
      <c r="B5" t="s">
        <v>114</v>
      </c>
      <c r="D5" s="29"/>
      <c r="E5" s="72"/>
      <c r="F5" s="77">
        <f>'Cost Recovery Config'!C8</f>
        <v>0.25</v>
      </c>
      <c r="G5" s="29"/>
      <c r="H5" s="29"/>
      <c r="N5" t="s">
        <v>114</v>
      </c>
      <c r="P5" s="76"/>
    </row>
    <row r="6" spans="1:16" x14ac:dyDescent="0.25">
      <c r="B6" t="s">
        <v>113</v>
      </c>
      <c r="D6" s="29"/>
      <c r="E6" s="72"/>
      <c r="F6" s="77">
        <f>'Cost Recovery Config'!C9</f>
        <v>0.5</v>
      </c>
      <c r="G6" s="29"/>
      <c r="H6" s="29"/>
      <c r="N6" t="s">
        <v>113</v>
      </c>
      <c r="P6" s="76"/>
    </row>
    <row r="7" spans="1:16" x14ac:dyDescent="0.25">
      <c r="B7" t="s">
        <v>110</v>
      </c>
      <c r="D7" s="29"/>
      <c r="E7" s="72"/>
      <c r="F7" s="77">
        <f>'Cost Recovery Config'!C4</f>
        <v>0.2</v>
      </c>
      <c r="G7" s="29"/>
      <c r="H7" s="29"/>
      <c r="N7" t="s">
        <v>110</v>
      </c>
      <c r="P7" s="76"/>
    </row>
    <row r="8" spans="1:16" x14ac:dyDescent="0.25">
      <c r="B8" t="s">
        <v>115</v>
      </c>
      <c r="D8" s="29"/>
      <c r="E8" s="72"/>
      <c r="F8" s="77">
        <f>'Cost Recovery Config'!C13</f>
        <v>0</v>
      </c>
      <c r="G8" s="29"/>
      <c r="H8" s="29"/>
      <c r="N8" t="s">
        <v>115</v>
      </c>
      <c r="P8" s="76"/>
    </row>
    <row r="9" spans="1:16" x14ac:dyDescent="0.25">
      <c r="B9" t="s">
        <v>117</v>
      </c>
      <c r="D9" s="29"/>
      <c r="E9" s="72"/>
      <c r="F9" s="77">
        <f>'Cost Recovery Config'!C14</f>
        <v>0</v>
      </c>
      <c r="G9" s="29"/>
      <c r="H9" s="29"/>
      <c r="N9" t="s">
        <v>117</v>
      </c>
      <c r="P9" s="76"/>
    </row>
    <row r="10" spans="1:16" x14ac:dyDescent="0.25">
      <c r="B10" t="s">
        <v>335</v>
      </c>
      <c r="D10" s="29"/>
      <c r="E10" s="72"/>
      <c r="F10" s="77">
        <f>'Cost Recovery Config'!C28</f>
        <v>1</v>
      </c>
      <c r="G10" s="29"/>
      <c r="H10" s="29"/>
      <c r="N10" t="s">
        <v>335</v>
      </c>
      <c r="P10" s="76"/>
    </row>
    <row r="11" spans="1:16" x14ac:dyDescent="0.25">
      <c r="B11" t="s">
        <v>336</v>
      </c>
      <c r="D11" s="29"/>
      <c r="E11" s="72"/>
      <c r="F11" s="77">
        <f>'Gross Split Config'!C30</f>
        <v>1</v>
      </c>
      <c r="G11" s="29"/>
      <c r="H11" s="29"/>
      <c r="N11" t="s">
        <v>336</v>
      </c>
      <c r="P11" s="76"/>
    </row>
    <row r="12" spans="1:16" x14ac:dyDescent="0.25">
      <c r="B12" t="s">
        <v>272</v>
      </c>
      <c r="D12" s="29"/>
      <c r="E12" s="72"/>
      <c r="F12" s="77">
        <f>'General Config'!C18</f>
        <v>0</v>
      </c>
      <c r="G12" s="29"/>
      <c r="H12" s="29"/>
      <c r="N12" t="s">
        <v>272</v>
      </c>
      <c r="P12" s="76"/>
    </row>
    <row r="13" spans="1:16" x14ac:dyDescent="0.25">
      <c r="B13" t="s">
        <v>337</v>
      </c>
      <c r="D13" s="29"/>
      <c r="E13" s="72"/>
      <c r="F13" s="77">
        <f>'Fiscal Config'!C3</f>
        <v>0.44</v>
      </c>
      <c r="G13" s="29"/>
      <c r="H13" s="29"/>
      <c r="N13" t="s">
        <v>337</v>
      </c>
      <c r="P13" s="76"/>
    </row>
    <row r="14" spans="1:16" x14ac:dyDescent="0.25"/>
    <row r="15" spans="1:16" x14ac:dyDescent="0.25">
      <c r="A15" s="9" t="s">
        <v>338</v>
      </c>
      <c r="D15" s="73" t="s">
        <v>340</v>
      </c>
      <c r="E15" s="73" t="s">
        <v>341</v>
      </c>
      <c r="F15" s="74" t="s">
        <v>343</v>
      </c>
      <c r="G15" s="73" t="s">
        <v>342</v>
      </c>
      <c r="H15" s="73" t="s">
        <v>344</v>
      </c>
      <c r="J15" s="72">
        <v>0</v>
      </c>
      <c r="M15" s="9" t="s">
        <v>351</v>
      </c>
    </row>
    <row r="16" spans="1:16" x14ac:dyDescent="0.25">
      <c r="B16" t="s">
        <v>339</v>
      </c>
      <c r="D16" s="29"/>
      <c r="F16" s="77">
        <f>'Gross Split Config'!C13</f>
        <v>0.08</v>
      </c>
      <c r="G16" s="29"/>
      <c r="H16" s="29"/>
      <c r="N16" t="s">
        <v>339</v>
      </c>
      <c r="P16" s="76"/>
    </row>
    <row r="17" spans="2:16" x14ac:dyDescent="0.25">
      <c r="B17" t="s">
        <v>272</v>
      </c>
      <c r="D17" s="29"/>
      <c r="F17" s="77">
        <f>'General Config'!C18</f>
        <v>0</v>
      </c>
      <c r="G17" s="29"/>
      <c r="H17" s="29"/>
      <c r="N17" t="s">
        <v>272</v>
      </c>
      <c r="P17" s="76"/>
    </row>
    <row r="18" spans="2:16" x14ac:dyDescent="0.25">
      <c r="B18" t="s">
        <v>337</v>
      </c>
      <c r="D18" s="29"/>
      <c r="F18" s="77">
        <f>'Fiscal Config'!C3</f>
        <v>0.44</v>
      </c>
      <c r="G18" s="29"/>
      <c r="H18" s="29"/>
      <c r="N18" t="s">
        <v>337</v>
      </c>
      <c r="P18" s="76"/>
    </row>
    <row r="20" spans="2:16" x14ac:dyDescent="0.25"/>
    <row r="21" spans="2:16" x14ac:dyDescent="0.25"/>
  </sheetData>
  <dataValidations count="1">
    <dataValidation type="list" allowBlank="1" showInputMessage="1" showErrorMessage="1" sqref="D2" xr:uid="{9C1F6AB7-91A2-44ED-9F11-B135B9884B9C}">
      <formula1>"IRR,NPV,PV Ratio"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6177" r:id="rId3" name="Check Box 1">
              <controlPr defaultSize="0" autoFill="0" autoLine="0" autoPict="0" macro="[0]!ThisWorkbook.ResetPriorityOilPreTax">
                <anchor moveWithCells="1">
                  <from>
                    <xdr:col>3</xdr:col>
                    <xdr:colOff>219075</xdr:colOff>
                    <xdr:row>3</xdr:row>
                    <xdr:rowOff>161925</xdr:rowOff>
                  </from>
                  <to>
                    <xdr:col>3</xdr:col>
                    <xdr:colOff>428625</xdr:colOff>
                    <xdr:row>5</xdr:row>
                    <xdr:rowOff>28575</xdr:rowOff>
                  </to>
                </anchor>
              </controlPr>
            </control>
          </mc:Choice>
        </mc:AlternateContent>
        <mc:AlternateContent xmlns:mc="http://schemas.openxmlformats.org/markup-compatibility/2006">
          <mc:Choice Requires="x14">
            <control shapeId="306178" r:id="rId4" name="Check Box 2">
              <controlPr defaultSize="0" autoFill="0" autoLine="0" autoPict="0" macro="[0]!ThisWorkbook.ResetPriorityGasPreTax">
                <anchor moveWithCells="1">
                  <from>
                    <xdr:col>3</xdr:col>
                    <xdr:colOff>219075</xdr:colOff>
                    <xdr:row>4</xdr:row>
                    <xdr:rowOff>161925</xdr:rowOff>
                  </from>
                  <to>
                    <xdr:col>3</xdr:col>
                    <xdr:colOff>428625</xdr:colOff>
                    <xdr:row>6</xdr:row>
                    <xdr:rowOff>9525</xdr:rowOff>
                  </to>
                </anchor>
              </controlPr>
            </control>
          </mc:Choice>
        </mc:AlternateContent>
        <mc:AlternateContent xmlns:mc="http://schemas.openxmlformats.org/markup-compatibility/2006">
          <mc:Choice Requires="x14">
            <control shapeId="306180" r:id="rId5" name="Check Box 4">
              <controlPr defaultSize="0" autoFill="0" autoLine="0" autoPict="0" macro="[0]!ThisWorkbook.ResetPriorityFTPPortion">
                <anchor moveWithCells="1">
                  <from>
                    <xdr:col>3</xdr:col>
                    <xdr:colOff>219075</xdr:colOff>
                    <xdr:row>5</xdr:row>
                    <xdr:rowOff>161925</xdr:rowOff>
                  </from>
                  <to>
                    <xdr:col>3</xdr:col>
                    <xdr:colOff>428625</xdr:colOff>
                    <xdr:row>7</xdr:row>
                    <xdr:rowOff>9525</xdr:rowOff>
                  </to>
                </anchor>
              </controlPr>
            </control>
          </mc:Choice>
        </mc:AlternateContent>
        <mc:AlternateContent xmlns:mc="http://schemas.openxmlformats.org/markup-compatibility/2006">
          <mc:Choice Requires="x14">
            <control shapeId="306181" r:id="rId6" name="Check Box 5">
              <controlPr defaultSize="0" autoFill="0" autoLine="0" autoPict="0" macro="[0]!ThisWorkbook.ResetPriorityOilIC">
                <anchor moveWithCells="1">
                  <from>
                    <xdr:col>3</xdr:col>
                    <xdr:colOff>219075</xdr:colOff>
                    <xdr:row>6</xdr:row>
                    <xdr:rowOff>161925</xdr:rowOff>
                  </from>
                  <to>
                    <xdr:col>3</xdr:col>
                    <xdr:colOff>428625</xdr:colOff>
                    <xdr:row>8</xdr:row>
                    <xdr:rowOff>9525</xdr:rowOff>
                  </to>
                </anchor>
              </controlPr>
            </control>
          </mc:Choice>
        </mc:AlternateContent>
        <mc:AlternateContent xmlns:mc="http://schemas.openxmlformats.org/markup-compatibility/2006">
          <mc:Choice Requires="x14">
            <control shapeId="306182" r:id="rId7" name="Check Box 6">
              <controlPr defaultSize="0" autoFill="0" autoLine="0" autoPict="0" macro="[0]!ThisWorkbook.ResetPriorityGasIC">
                <anchor moveWithCells="1">
                  <from>
                    <xdr:col>3</xdr:col>
                    <xdr:colOff>219075</xdr:colOff>
                    <xdr:row>7</xdr:row>
                    <xdr:rowOff>180975</xdr:rowOff>
                  </from>
                  <to>
                    <xdr:col>3</xdr:col>
                    <xdr:colOff>428625</xdr:colOff>
                    <xdr:row>9</xdr:row>
                    <xdr:rowOff>28575</xdr:rowOff>
                  </to>
                </anchor>
              </controlPr>
            </control>
          </mc:Choice>
        </mc:AlternateContent>
        <mc:AlternateContent xmlns:mc="http://schemas.openxmlformats.org/markup-compatibility/2006">
          <mc:Choice Requires="x14">
            <control shapeId="306183" r:id="rId8" name="Check Box 7">
              <controlPr defaultSize="0" autoFill="0" autoLine="0" autoPict="0" macro="[0]!ThisWorkbook.ResetPriorityOilDMO">
                <anchor moveWithCells="1">
                  <from>
                    <xdr:col>3</xdr:col>
                    <xdr:colOff>219075</xdr:colOff>
                    <xdr:row>8</xdr:row>
                    <xdr:rowOff>180975</xdr:rowOff>
                  </from>
                  <to>
                    <xdr:col>3</xdr:col>
                    <xdr:colOff>428625</xdr:colOff>
                    <xdr:row>10</xdr:row>
                    <xdr:rowOff>28575</xdr:rowOff>
                  </to>
                </anchor>
              </controlPr>
            </control>
          </mc:Choice>
        </mc:AlternateContent>
        <mc:AlternateContent xmlns:mc="http://schemas.openxmlformats.org/markup-compatibility/2006">
          <mc:Choice Requires="x14">
            <control shapeId="306184" r:id="rId9" name="Check Box 8">
              <controlPr defaultSize="0" autoFill="0" autoLine="0" autoPict="0" macro="[0]!ThisWorkbook.ResetPriorityGasDMO">
                <anchor moveWithCells="1">
                  <from>
                    <xdr:col>3</xdr:col>
                    <xdr:colOff>219075</xdr:colOff>
                    <xdr:row>9</xdr:row>
                    <xdr:rowOff>180975</xdr:rowOff>
                  </from>
                  <to>
                    <xdr:col>3</xdr:col>
                    <xdr:colOff>428625</xdr:colOff>
                    <xdr:row>11</xdr:row>
                    <xdr:rowOff>28575</xdr:rowOff>
                  </to>
                </anchor>
              </controlPr>
            </control>
          </mc:Choice>
        </mc:AlternateContent>
        <mc:AlternateContent xmlns:mc="http://schemas.openxmlformats.org/markup-compatibility/2006">
          <mc:Choice Requires="x14">
            <control shapeId="306185" r:id="rId10" name="Check Box 9">
              <controlPr defaultSize="0" autoFill="0" autoLine="0" autoPict="0" macro="[0]!ThisWorkbook.ResetPriorityVATDisc">
                <anchor moveWithCells="1">
                  <from>
                    <xdr:col>3</xdr:col>
                    <xdr:colOff>219075</xdr:colOff>
                    <xdr:row>10</xdr:row>
                    <xdr:rowOff>180975</xdr:rowOff>
                  </from>
                  <to>
                    <xdr:col>3</xdr:col>
                    <xdr:colOff>428625</xdr:colOff>
                    <xdr:row>12</xdr:row>
                    <xdr:rowOff>28575</xdr:rowOff>
                  </to>
                </anchor>
              </controlPr>
            </control>
          </mc:Choice>
        </mc:AlternateContent>
        <mc:AlternateContent xmlns:mc="http://schemas.openxmlformats.org/markup-compatibility/2006">
          <mc:Choice Requires="x14">
            <control shapeId="306186" r:id="rId11" name="Check Box 10">
              <controlPr defaultSize="0" autoFill="0" autoLine="0" autoPict="0" macro="[0]!ThisWorkbook.ResetPriorityEffectiveTax">
                <anchor moveWithCells="1">
                  <from>
                    <xdr:col>3</xdr:col>
                    <xdr:colOff>219075</xdr:colOff>
                    <xdr:row>11</xdr:row>
                    <xdr:rowOff>180975</xdr:rowOff>
                  </from>
                  <to>
                    <xdr:col>3</xdr:col>
                    <xdr:colOff>428625</xdr:colOff>
                    <xdr:row>13</xdr:row>
                    <xdr:rowOff>28575</xdr:rowOff>
                  </to>
                </anchor>
              </controlPr>
            </control>
          </mc:Choice>
        </mc:AlternateContent>
        <mc:AlternateContent xmlns:mc="http://schemas.openxmlformats.org/markup-compatibility/2006">
          <mc:Choice Requires="x14">
            <control shapeId="306191" r:id="rId12" name="Check Box 15">
              <controlPr defaultSize="0" autoFill="0" autoLine="0" autoPict="0" macro="[0]!ThisWorkbook.ResetPriorityMinestrial">
                <anchor moveWithCells="1">
                  <from>
                    <xdr:col>3</xdr:col>
                    <xdr:colOff>219075</xdr:colOff>
                    <xdr:row>12</xdr:row>
                    <xdr:rowOff>152400</xdr:rowOff>
                  </from>
                  <to>
                    <xdr:col>3</xdr:col>
                    <xdr:colOff>428625</xdr:colOff>
                    <xdr:row>14</xdr:row>
                    <xdr:rowOff>0</xdr:rowOff>
                  </to>
                </anchor>
              </controlPr>
            </control>
          </mc:Choice>
        </mc:AlternateContent>
        <mc:AlternateContent xmlns:mc="http://schemas.openxmlformats.org/markup-compatibility/2006">
          <mc:Choice Requires="x14">
            <control shapeId="306192" r:id="rId13" name="Check Box 16">
              <controlPr defaultSize="0" autoFill="0" autoLine="0" autoPict="0" macro="[0]!ThisWorkbook.ResetPriorityVATDiscGS">
                <anchor moveWithCells="1">
                  <from>
                    <xdr:col>3</xdr:col>
                    <xdr:colOff>219075</xdr:colOff>
                    <xdr:row>12</xdr:row>
                    <xdr:rowOff>152400</xdr:rowOff>
                  </from>
                  <to>
                    <xdr:col>3</xdr:col>
                    <xdr:colOff>428625</xdr:colOff>
                    <xdr:row>14</xdr:row>
                    <xdr:rowOff>0</xdr:rowOff>
                  </to>
                </anchor>
              </controlPr>
            </control>
          </mc:Choice>
        </mc:AlternateContent>
        <mc:AlternateContent xmlns:mc="http://schemas.openxmlformats.org/markup-compatibility/2006">
          <mc:Choice Requires="x14">
            <control shapeId="306193" r:id="rId14" name="Check Box 17">
              <controlPr defaultSize="0" autoFill="0" autoLine="0" autoPict="0" macro="[0]!ThisWorkbook.ResetPriorityeFffectiveTaxGS">
                <anchor moveWithCells="1">
                  <from>
                    <xdr:col>3</xdr:col>
                    <xdr:colOff>219075</xdr:colOff>
                    <xdr:row>12</xdr:row>
                    <xdr:rowOff>152400</xdr:rowOff>
                  </from>
                  <to>
                    <xdr:col>3</xdr:col>
                    <xdr:colOff>428625</xdr:colOff>
                    <xdr:row>14</xdr:row>
                    <xdr:rowOff>0</xdr:rowOff>
                  </to>
                </anchor>
              </controlPr>
            </control>
          </mc:Choice>
        </mc:AlternateContent>
        <mc:AlternateContent xmlns:mc="http://schemas.openxmlformats.org/markup-compatibility/2006">
          <mc:Choice Requires="x14">
            <control shapeId="306196" r:id="rId15" name="Check Box 20">
              <controlPr locked="0" defaultSize="0" autoFill="0" autoLine="0" autoPict="0" macro="[0]!ThisWorkbook.ResetPriorityMinestrial">
                <anchor moveWithCells="1">
                  <from>
                    <xdr:col>3</xdr:col>
                    <xdr:colOff>219075</xdr:colOff>
                    <xdr:row>15</xdr:row>
                    <xdr:rowOff>9525</xdr:rowOff>
                  </from>
                  <to>
                    <xdr:col>3</xdr:col>
                    <xdr:colOff>428625</xdr:colOff>
                    <xdr:row>15</xdr:row>
                    <xdr:rowOff>171450</xdr:rowOff>
                  </to>
                </anchor>
              </controlPr>
            </control>
          </mc:Choice>
        </mc:AlternateContent>
        <mc:AlternateContent xmlns:mc="http://schemas.openxmlformats.org/markup-compatibility/2006">
          <mc:Choice Requires="x14">
            <control shapeId="306197" r:id="rId16" name="Check Box 21">
              <controlPr locked="0" defaultSize="0" autoFill="0" autoLine="0" autoPict="0" macro="[0]!ThisWorkbook.ResetPriorityVATDiscGS">
                <anchor moveWithCells="1">
                  <from>
                    <xdr:col>3</xdr:col>
                    <xdr:colOff>219075</xdr:colOff>
                    <xdr:row>16</xdr:row>
                    <xdr:rowOff>9525</xdr:rowOff>
                  </from>
                  <to>
                    <xdr:col>3</xdr:col>
                    <xdr:colOff>428625</xdr:colOff>
                    <xdr:row>16</xdr:row>
                    <xdr:rowOff>171450</xdr:rowOff>
                  </to>
                </anchor>
              </controlPr>
            </control>
          </mc:Choice>
        </mc:AlternateContent>
        <mc:AlternateContent xmlns:mc="http://schemas.openxmlformats.org/markup-compatibility/2006">
          <mc:Choice Requires="x14">
            <control shapeId="306198" r:id="rId17" name="Check Box 22">
              <controlPr locked="0" defaultSize="0" autoFill="0" autoLine="0" autoPict="0" macro="[0]!ThisWorkbook.ResetPriorityeFffectiveTaxGS">
                <anchor moveWithCells="1">
                  <from>
                    <xdr:col>3</xdr:col>
                    <xdr:colOff>219075</xdr:colOff>
                    <xdr:row>17</xdr:row>
                    <xdr:rowOff>9525</xdr:rowOff>
                  </from>
                  <to>
                    <xdr:col>3</xdr:col>
                    <xdr:colOff>428625</xdr:colOff>
                    <xdr:row>17</xdr:row>
                    <xdr:rowOff>171450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1B886-21E9-45B0-AB35-A3013ACAEF45}">
  <sheetPr codeName="Sheet26"/>
  <dimension ref="A1:S71"/>
  <sheetViews>
    <sheetView showGridLines="0" tabSelected="1" workbookViewId="0">
      <selection activeCell="D31" sqref="D31"/>
    </sheetView>
  </sheetViews>
  <sheetFormatPr defaultColWidth="0" defaultRowHeight="15" customHeight="1" zeroHeight="1" x14ac:dyDescent="0.25"/>
  <cols>
    <col min="1" max="1" width="5.42578125" customWidth="1"/>
    <col min="2" max="2" width="21.28515625" bestFit="1" customWidth="1"/>
    <col min="3" max="3" width="9.7109375" customWidth="1"/>
    <col min="4" max="7" width="8.85546875" customWidth="1"/>
    <col min="8" max="8" width="14" bestFit="1" customWidth="1"/>
    <col min="9" max="9" width="5.140625" customWidth="1"/>
    <col min="10" max="10" width="5" customWidth="1"/>
    <col min="11" max="19" width="8.85546875" customWidth="1"/>
    <col min="20" max="16384" width="8.85546875" hidden="1"/>
  </cols>
  <sheetData>
    <row r="1" spans="1:18" x14ac:dyDescent="0.25">
      <c r="A1" s="9" t="s">
        <v>370</v>
      </c>
      <c r="J1" s="9" t="s">
        <v>371</v>
      </c>
    </row>
    <row r="2" spans="1:18" x14ac:dyDescent="0.25">
      <c r="B2" s="83" t="s">
        <v>50</v>
      </c>
      <c r="C2" s="83" t="s">
        <v>372</v>
      </c>
      <c r="E2" s="83" t="s">
        <v>342</v>
      </c>
      <c r="F2" s="83" t="s">
        <v>343</v>
      </c>
      <c r="G2" s="83" t="s">
        <v>344</v>
      </c>
      <c r="H2" s="83" t="s">
        <v>374</v>
      </c>
      <c r="I2" s="83"/>
      <c r="K2" s="9" t="s">
        <v>357</v>
      </c>
    </row>
    <row r="3" spans="1:18" x14ac:dyDescent="0.25">
      <c r="B3" t="s">
        <v>367</v>
      </c>
      <c r="C3" s="25" t="s">
        <v>373</v>
      </c>
      <c r="E3" s="78"/>
      <c r="F3" s="25">
        <f>[2]Sensitivity!D7</f>
        <v>0</v>
      </c>
      <c r="G3" s="78"/>
      <c r="H3" s="78"/>
      <c r="K3" s="80"/>
      <c r="L3" s="80"/>
      <c r="M3" s="80"/>
      <c r="N3" s="80"/>
      <c r="O3" s="80"/>
      <c r="P3" s="80"/>
      <c r="Q3" s="80"/>
      <c r="R3" s="80"/>
    </row>
    <row r="4" spans="1:18" x14ac:dyDescent="0.25">
      <c r="B4" t="s">
        <v>368</v>
      </c>
      <c r="C4" s="25" t="s">
        <v>373</v>
      </c>
      <c r="E4" s="78"/>
      <c r="F4" s="25">
        <f>[2]Sensitivity!D8</f>
        <v>0</v>
      </c>
      <c r="G4" s="78"/>
      <c r="H4" s="78"/>
      <c r="K4" s="80"/>
      <c r="L4" s="80"/>
      <c r="M4" s="80"/>
      <c r="N4" s="80"/>
      <c r="O4" s="80"/>
      <c r="P4" s="80"/>
      <c r="Q4" s="80"/>
      <c r="R4" s="80"/>
    </row>
    <row r="5" spans="1:18" x14ac:dyDescent="0.25">
      <c r="B5" t="s">
        <v>230</v>
      </c>
      <c r="C5" s="25" t="s">
        <v>373</v>
      </c>
      <c r="E5" s="78"/>
      <c r="F5" s="25">
        <f>[2]Sensitivity!D9</f>
        <v>0</v>
      </c>
      <c r="G5" s="78"/>
      <c r="H5" s="78"/>
      <c r="K5" s="80"/>
      <c r="L5" s="80"/>
      <c r="M5" s="80"/>
      <c r="N5" s="80"/>
      <c r="O5" s="80"/>
      <c r="P5" s="80"/>
      <c r="Q5" s="80"/>
      <c r="R5" s="80"/>
    </row>
    <row r="6" spans="1:18" x14ac:dyDescent="0.25">
      <c r="B6" t="s">
        <v>259</v>
      </c>
      <c r="C6" s="25" t="s">
        <v>373</v>
      </c>
      <c r="E6" s="78"/>
      <c r="F6" s="25">
        <f>[2]Sensitivity!D10</f>
        <v>0</v>
      </c>
      <c r="G6" s="78"/>
      <c r="H6" s="78"/>
      <c r="K6" s="80"/>
      <c r="L6" s="80"/>
      <c r="M6" s="80"/>
      <c r="N6" s="80"/>
      <c r="O6" s="80"/>
      <c r="P6" s="80"/>
      <c r="Q6" s="80"/>
      <c r="R6" s="80"/>
    </row>
    <row r="7" spans="1:18" x14ac:dyDescent="0.25">
      <c r="B7" t="s">
        <v>369</v>
      </c>
      <c r="C7" s="25" t="s">
        <v>373</v>
      </c>
      <c r="E7" s="78"/>
      <c r="F7" s="25">
        <f>[2]Sensitivity!D11</f>
        <v>0</v>
      </c>
      <c r="G7" s="78"/>
      <c r="H7" s="78"/>
      <c r="K7" s="80"/>
      <c r="L7" s="80"/>
      <c r="M7" s="80"/>
      <c r="N7" s="80"/>
      <c r="O7" s="80"/>
      <c r="P7" s="80"/>
      <c r="Q7" s="80"/>
      <c r="R7" s="80"/>
    </row>
    <row r="8" spans="1:18" x14ac:dyDescent="0.25">
      <c r="K8" s="80"/>
      <c r="L8" s="80"/>
      <c r="M8" s="80"/>
      <c r="N8" s="80"/>
      <c r="O8" s="80"/>
      <c r="P8" s="80"/>
      <c r="Q8" s="80"/>
      <c r="R8" s="80"/>
    </row>
    <row r="9" spans="1:18" x14ac:dyDescent="0.25">
      <c r="K9" s="80"/>
      <c r="L9" s="80"/>
      <c r="M9" s="80"/>
      <c r="N9" s="80"/>
      <c r="O9" s="80"/>
      <c r="P9" s="80"/>
      <c r="Q9" s="80"/>
      <c r="R9" s="80"/>
    </row>
    <row r="10" spans="1:18" x14ac:dyDescent="0.25">
      <c r="K10" s="80"/>
      <c r="L10" s="80"/>
      <c r="M10" s="80"/>
      <c r="N10" s="80"/>
      <c r="O10" s="80"/>
      <c r="P10" s="80"/>
      <c r="Q10" s="80"/>
      <c r="R10" s="80"/>
    </row>
    <row r="11" spans="1:18" x14ac:dyDescent="0.25">
      <c r="K11" s="80"/>
      <c r="L11" s="80"/>
      <c r="M11" s="80"/>
      <c r="N11" s="80"/>
      <c r="O11" s="80"/>
      <c r="P11" s="80"/>
      <c r="Q11" s="80"/>
      <c r="R11" s="80"/>
    </row>
    <row r="12" spans="1:18" x14ac:dyDescent="0.25">
      <c r="K12" s="80"/>
      <c r="L12" s="80"/>
      <c r="M12" s="80"/>
      <c r="N12" s="80"/>
      <c r="O12" s="80"/>
      <c r="P12" s="80"/>
      <c r="Q12" s="80"/>
      <c r="R12" s="80"/>
    </row>
    <row r="13" spans="1:18" x14ac:dyDescent="0.25">
      <c r="K13" s="80"/>
      <c r="L13" s="80"/>
      <c r="M13" s="80"/>
      <c r="N13" s="80"/>
      <c r="O13" s="80"/>
      <c r="P13" s="80"/>
      <c r="Q13" s="80"/>
      <c r="R13" s="80"/>
    </row>
    <row r="14" spans="1:18" x14ac:dyDescent="0.25">
      <c r="K14" s="80"/>
      <c r="L14" s="80"/>
      <c r="M14" s="80"/>
      <c r="N14" s="80"/>
      <c r="O14" s="80"/>
      <c r="P14" s="80"/>
      <c r="Q14" s="80"/>
      <c r="R14" s="80"/>
    </row>
    <row r="15" spans="1:18" x14ac:dyDescent="0.25"/>
    <row r="16" spans="1:18" x14ac:dyDescent="0.25">
      <c r="K16" s="9" t="s">
        <v>347</v>
      </c>
    </row>
    <row r="17" spans="11:18" x14ac:dyDescent="0.25">
      <c r="K17" s="80"/>
      <c r="L17" s="80"/>
      <c r="M17" s="80"/>
      <c r="N17" s="80"/>
      <c r="O17" s="80"/>
      <c r="P17" s="80"/>
      <c r="Q17" s="80"/>
      <c r="R17" s="80"/>
    </row>
    <row r="18" spans="11:18" x14ac:dyDescent="0.25">
      <c r="K18" s="80"/>
      <c r="L18" s="80"/>
      <c r="M18" s="80"/>
      <c r="N18" s="80"/>
      <c r="O18" s="80"/>
      <c r="P18" s="80"/>
      <c r="Q18" s="80"/>
      <c r="R18" s="80"/>
    </row>
    <row r="19" spans="11:18" x14ac:dyDescent="0.25">
      <c r="K19" s="80"/>
      <c r="L19" s="80"/>
      <c r="M19" s="80"/>
      <c r="N19" s="80"/>
      <c r="O19" s="80"/>
      <c r="P19" s="80"/>
      <c r="Q19" s="80"/>
      <c r="R19" s="80"/>
    </row>
    <row r="20" spans="11:18" x14ac:dyDescent="0.25">
      <c r="K20" s="80"/>
      <c r="L20" s="80"/>
      <c r="M20" s="80"/>
      <c r="N20" s="80"/>
      <c r="O20" s="80"/>
      <c r="P20" s="80"/>
      <c r="Q20" s="80"/>
      <c r="R20" s="80"/>
    </row>
    <row r="21" spans="11:18" x14ac:dyDescent="0.25">
      <c r="K21" s="80"/>
      <c r="L21" s="80"/>
      <c r="M21" s="80"/>
      <c r="N21" s="80"/>
      <c r="O21" s="80"/>
      <c r="P21" s="80"/>
      <c r="Q21" s="80"/>
      <c r="R21" s="80"/>
    </row>
    <row r="22" spans="11:18" x14ac:dyDescent="0.25">
      <c r="K22" s="80"/>
      <c r="L22" s="80"/>
      <c r="M22" s="80"/>
      <c r="N22" s="80"/>
      <c r="O22" s="80"/>
      <c r="P22" s="80"/>
      <c r="Q22" s="80"/>
      <c r="R22" s="80"/>
    </row>
    <row r="23" spans="11:18" x14ac:dyDescent="0.25">
      <c r="K23" s="80"/>
      <c r="L23" s="80"/>
      <c r="M23" s="80"/>
      <c r="N23" s="80"/>
      <c r="O23" s="80"/>
      <c r="P23" s="80"/>
      <c r="Q23" s="80"/>
      <c r="R23" s="80"/>
    </row>
    <row r="24" spans="11:18" x14ac:dyDescent="0.25">
      <c r="K24" s="80"/>
      <c r="L24" s="80"/>
      <c r="M24" s="80"/>
      <c r="N24" s="80"/>
      <c r="O24" s="80"/>
      <c r="P24" s="80"/>
      <c r="Q24" s="80"/>
      <c r="R24" s="80"/>
    </row>
    <row r="25" spans="11:18" x14ac:dyDescent="0.25">
      <c r="K25" s="80"/>
      <c r="L25" s="80"/>
      <c r="M25" s="80"/>
      <c r="N25" s="80"/>
      <c r="O25" s="80"/>
      <c r="P25" s="80"/>
      <c r="Q25" s="80"/>
      <c r="R25" s="80"/>
    </row>
    <row r="26" spans="11:18" x14ac:dyDescent="0.25">
      <c r="K26" s="80"/>
      <c r="L26" s="80"/>
      <c r="M26" s="80"/>
      <c r="N26" s="80"/>
      <c r="O26" s="80"/>
      <c r="P26" s="80"/>
      <c r="Q26" s="80"/>
      <c r="R26" s="80"/>
    </row>
    <row r="27" spans="11:18" x14ac:dyDescent="0.25">
      <c r="K27" s="80"/>
      <c r="L27" s="80"/>
      <c r="M27" s="80"/>
      <c r="N27" s="80"/>
      <c r="O27" s="80"/>
      <c r="P27" s="80"/>
      <c r="Q27" s="80"/>
      <c r="R27" s="80"/>
    </row>
    <row r="28" spans="11:18" x14ac:dyDescent="0.25">
      <c r="K28" s="80"/>
      <c r="L28" s="80"/>
      <c r="M28" s="80"/>
      <c r="N28" s="80"/>
      <c r="O28" s="80"/>
      <c r="P28" s="80"/>
      <c r="Q28" s="80"/>
      <c r="R28" s="80"/>
    </row>
    <row r="29" spans="11:18" x14ac:dyDescent="0.25"/>
    <row r="30" spans="11:18" x14ac:dyDescent="0.25">
      <c r="K30" s="9" t="s">
        <v>358</v>
      </c>
    </row>
    <row r="31" spans="11:18" x14ac:dyDescent="0.25">
      <c r="K31" s="80"/>
      <c r="L31" s="80"/>
      <c r="M31" s="80"/>
      <c r="N31" s="80"/>
      <c r="O31" s="80"/>
      <c r="P31" s="80"/>
      <c r="Q31" s="80"/>
      <c r="R31" s="80"/>
    </row>
    <row r="32" spans="11:18" x14ac:dyDescent="0.25">
      <c r="K32" s="80"/>
      <c r="L32" s="80"/>
      <c r="M32" s="80"/>
      <c r="N32" s="80"/>
      <c r="O32" s="80"/>
      <c r="P32" s="80"/>
      <c r="Q32" s="80"/>
      <c r="R32" s="80"/>
    </row>
    <row r="33" spans="11:18" x14ac:dyDescent="0.25">
      <c r="K33" s="80"/>
      <c r="L33" s="80"/>
      <c r="M33" s="80"/>
      <c r="N33" s="80"/>
      <c r="O33" s="80"/>
      <c r="P33" s="80"/>
      <c r="Q33" s="80"/>
      <c r="R33" s="80"/>
    </row>
    <row r="34" spans="11:18" x14ac:dyDescent="0.25">
      <c r="K34" s="80"/>
      <c r="L34" s="80"/>
      <c r="M34" s="80"/>
      <c r="N34" s="80"/>
      <c r="O34" s="80"/>
      <c r="P34" s="80"/>
      <c r="Q34" s="80"/>
      <c r="R34" s="80"/>
    </row>
    <row r="35" spans="11:18" x14ac:dyDescent="0.25">
      <c r="K35" s="80"/>
      <c r="L35" s="80"/>
      <c r="M35" s="80"/>
      <c r="N35" s="80"/>
      <c r="O35" s="80"/>
      <c r="P35" s="80"/>
      <c r="Q35" s="80"/>
      <c r="R35" s="80"/>
    </row>
    <row r="36" spans="11:18" x14ac:dyDescent="0.25">
      <c r="K36" s="80"/>
      <c r="L36" s="80"/>
      <c r="M36" s="80"/>
      <c r="N36" s="80"/>
      <c r="O36" s="80"/>
      <c r="P36" s="80"/>
      <c r="Q36" s="80"/>
      <c r="R36" s="80"/>
    </row>
    <row r="37" spans="11:18" x14ac:dyDescent="0.25">
      <c r="K37" s="80"/>
      <c r="L37" s="80"/>
      <c r="M37" s="80"/>
      <c r="N37" s="80"/>
      <c r="O37" s="80"/>
      <c r="P37" s="80"/>
      <c r="Q37" s="80"/>
      <c r="R37" s="80"/>
    </row>
    <row r="38" spans="11:18" x14ac:dyDescent="0.25">
      <c r="K38" s="80"/>
      <c r="L38" s="80"/>
      <c r="M38" s="80"/>
      <c r="N38" s="80"/>
      <c r="O38" s="80"/>
      <c r="P38" s="80"/>
      <c r="Q38" s="80"/>
      <c r="R38" s="80"/>
    </row>
    <row r="39" spans="11:18" x14ac:dyDescent="0.25">
      <c r="K39" s="80"/>
      <c r="L39" s="80"/>
      <c r="M39" s="80"/>
      <c r="N39" s="80"/>
      <c r="O39" s="80"/>
      <c r="P39" s="80"/>
      <c r="Q39" s="80"/>
      <c r="R39" s="80"/>
    </row>
    <row r="40" spans="11:18" x14ac:dyDescent="0.25">
      <c r="K40" s="80"/>
      <c r="L40" s="80"/>
      <c r="M40" s="80"/>
      <c r="N40" s="80"/>
      <c r="O40" s="80"/>
      <c r="P40" s="80"/>
      <c r="Q40" s="80"/>
      <c r="R40" s="80"/>
    </row>
    <row r="41" spans="11:18" x14ac:dyDescent="0.25">
      <c r="K41" s="80"/>
      <c r="L41" s="80"/>
      <c r="M41" s="80"/>
      <c r="N41" s="80"/>
      <c r="O41" s="80"/>
      <c r="P41" s="80"/>
      <c r="Q41" s="80"/>
      <c r="R41" s="80"/>
    </row>
    <row r="42" spans="11:18" x14ac:dyDescent="0.25">
      <c r="K42" s="80"/>
      <c r="L42" s="80"/>
      <c r="M42" s="80"/>
      <c r="N42" s="80"/>
      <c r="O42" s="80"/>
      <c r="P42" s="80"/>
      <c r="Q42" s="80"/>
      <c r="R42" s="80"/>
    </row>
    <row r="43" spans="11:18" x14ac:dyDescent="0.25"/>
    <row r="44" spans="11:18" x14ac:dyDescent="0.25">
      <c r="K44" s="9" t="s">
        <v>332</v>
      </c>
    </row>
    <row r="45" spans="11:18" x14ac:dyDescent="0.25">
      <c r="K45" s="80"/>
      <c r="L45" s="80"/>
      <c r="M45" s="80"/>
      <c r="N45" s="80"/>
      <c r="O45" s="80"/>
      <c r="P45" s="80"/>
      <c r="Q45" s="80"/>
      <c r="R45" s="80"/>
    </row>
    <row r="46" spans="11:18" x14ac:dyDescent="0.25">
      <c r="K46" s="80"/>
      <c r="L46" s="80"/>
      <c r="M46" s="80"/>
      <c r="N46" s="80"/>
      <c r="O46" s="80"/>
      <c r="P46" s="80"/>
      <c r="Q46" s="80"/>
      <c r="R46" s="80"/>
    </row>
    <row r="47" spans="11:18" x14ac:dyDescent="0.25">
      <c r="K47" s="80"/>
      <c r="L47" s="80"/>
      <c r="M47" s="80"/>
      <c r="N47" s="80"/>
      <c r="O47" s="80"/>
      <c r="P47" s="80"/>
      <c r="Q47" s="80"/>
      <c r="R47" s="80"/>
    </row>
    <row r="48" spans="11:18" x14ac:dyDescent="0.25">
      <c r="K48" s="80"/>
      <c r="L48" s="80"/>
      <c r="M48" s="80"/>
      <c r="N48" s="80"/>
      <c r="O48" s="80"/>
      <c r="P48" s="80"/>
      <c r="Q48" s="80"/>
      <c r="R48" s="80"/>
    </row>
    <row r="49" spans="11:18" x14ac:dyDescent="0.25">
      <c r="K49" s="80"/>
      <c r="L49" s="80"/>
      <c r="M49" s="80"/>
      <c r="N49" s="80"/>
      <c r="O49" s="80"/>
      <c r="P49" s="80"/>
      <c r="Q49" s="80"/>
      <c r="R49" s="80"/>
    </row>
    <row r="50" spans="11:18" x14ac:dyDescent="0.25">
      <c r="K50" s="80"/>
      <c r="L50" s="80"/>
      <c r="M50" s="80"/>
      <c r="N50" s="80"/>
      <c r="O50" s="80"/>
      <c r="P50" s="80"/>
      <c r="Q50" s="80"/>
      <c r="R50" s="80"/>
    </row>
    <row r="51" spans="11:18" x14ac:dyDescent="0.25">
      <c r="K51" s="80"/>
      <c r="L51" s="80"/>
      <c r="M51" s="80"/>
      <c r="N51" s="80"/>
      <c r="O51" s="80"/>
      <c r="P51" s="80"/>
      <c r="Q51" s="80"/>
      <c r="R51" s="80"/>
    </row>
    <row r="52" spans="11:18" x14ac:dyDescent="0.25">
      <c r="K52" s="80"/>
      <c r="L52" s="80"/>
      <c r="M52" s="80"/>
      <c r="N52" s="80"/>
      <c r="O52" s="80"/>
      <c r="P52" s="80"/>
      <c r="Q52" s="80"/>
      <c r="R52" s="80"/>
    </row>
    <row r="53" spans="11:18" x14ac:dyDescent="0.25">
      <c r="K53" s="80"/>
      <c r="L53" s="80"/>
      <c r="M53" s="80"/>
      <c r="N53" s="80"/>
      <c r="O53" s="80"/>
      <c r="P53" s="80"/>
      <c r="Q53" s="80"/>
      <c r="R53" s="80"/>
    </row>
    <row r="54" spans="11:18" x14ac:dyDescent="0.25">
      <c r="K54" s="80"/>
      <c r="L54" s="80"/>
      <c r="M54" s="80"/>
      <c r="N54" s="80"/>
      <c r="O54" s="80"/>
      <c r="P54" s="80"/>
      <c r="Q54" s="80"/>
      <c r="R54" s="80"/>
    </row>
    <row r="55" spans="11:18" x14ac:dyDescent="0.25">
      <c r="K55" s="80"/>
      <c r="L55" s="80"/>
      <c r="M55" s="80"/>
      <c r="N55" s="80"/>
      <c r="O55" s="80"/>
      <c r="P55" s="80"/>
      <c r="Q55" s="80"/>
      <c r="R55" s="80"/>
    </row>
    <row r="56" spans="11:18" x14ac:dyDescent="0.25">
      <c r="K56" s="80"/>
      <c r="L56" s="80"/>
      <c r="M56" s="80"/>
      <c r="N56" s="80"/>
      <c r="O56" s="80"/>
      <c r="P56" s="80"/>
      <c r="Q56" s="80"/>
      <c r="R56" s="80"/>
    </row>
    <row r="57" spans="11:18" x14ac:dyDescent="0.25"/>
    <row r="58" spans="11:18" x14ac:dyDescent="0.25">
      <c r="K58" s="9" t="s">
        <v>311</v>
      </c>
    </row>
    <row r="59" spans="11:18" x14ac:dyDescent="0.25">
      <c r="K59" s="80"/>
      <c r="L59" s="80"/>
      <c r="M59" s="80"/>
      <c r="N59" s="80"/>
      <c r="O59" s="80"/>
      <c r="P59" s="80"/>
      <c r="Q59" s="80"/>
      <c r="R59" s="80"/>
    </row>
    <row r="60" spans="11:18" x14ac:dyDescent="0.25">
      <c r="K60" s="80"/>
      <c r="L60" s="80"/>
      <c r="M60" s="80"/>
      <c r="N60" s="80"/>
      <c r="O60" s="80"/>
      <c r="P60" s="80"/>
      <c r="Q60" s="80"/>
      <c r="R60" s="80"/>
    </row>
    <row r="61" spans="11:18" x14ac:dyDescent="0.25">
      <c r="K61" s="80"/>
      <c r="L61" s="80"/>
      <c r="M61" s="80"/>
      <c r="N61" s="80"/>
      <c r="O61" s="80"/>
      <c r="P61" s="80"/>
      <c r="Q61" s="80"/>
      <c r="R61" s="80"/>
    </row>
    <row r="62" spans="11:18" x14ac:dyDescent="0.25">
      <c r="K62" s="80"/>
      <c r="L62" s="80"/>
      <c r="M62" s="80"/>
      <c r="N62" s="80"/>
      <c r="O62" s="80"/>
      <c r="P62" s="80"/>
      <c r="Q62" s="80"/>
      <c r="R62" s="80"/>
    </row>
    <row r="63" spans="11:18" x14ac:dyDescent="0.25">
      <c r="K63" s="80"/>
      <c r="L63" s="80"/>
      <c r="M63" s="80"/>
      <c r="N63" s="80"/>
      <c r="O63" s="80"/>
      <c r="P63" s="80"/>
      <c r="Q63" s="80"/>
      <c r="R63" s="80"/>
    </row>
    <row r="64" spans="11:18" x14ac:dyDescent="0.25">
      <c r="K64" s="80"/>
      <c r="L64" s="80"/>
      <c r="M64" s="80"/>
      <c r="N64" s="80"/>
      <c r="O64" s="80"/>
      <c r="P64" s="80"/>
      <c r="Q64" s="80"/>
      <c r="R64" s="80"/>
    </row>
    <row r="65" spans="11:18" x14ac:dyDescent="0.25">
      <c r="K65" s="80"/>
      <c r="L65" s="80"/>
      <c r="M65" s="80"/>
      <c r="N65" s="80"/>
      <c r="O65" s="80"/>
      <c r="P65" s="80"/>
      <c r="Q65" s="80"/>
      <c r="R65" s="80"/>
    </row>
    <row r="66" spans="11:18" x14ac:dyDescent="0.25">
      <c r="K66" s="80"/>
      <c r="L66" s="80"/>
      <c r="M66" s="80"/>
      <c r="N66" s="80"/>
      <c r="O66" s="80"/>
      <c r="P66" s="80"/>
      <c r="Q66" s="80"/>
      <c r="R66" s="80"/>
    </row>
    <row r="67" spans="11:18" x14ac:dyDescent="0.25">
      <c r="K67" s="80"/>
      <c r="L67" s="80"/>
      <c r="M67" s="80"/>
      <c r="N67" s="80"/>
      <c r="O67" s="80"/>
      <c r="P67" s="80"/>
      <c r="Q67" s="80"/>
      <c r="R67" s="80"/>
    </row>
    <row r="68" spans="11:18" x14ac:dyDescent="0.25">
      <c r="K68" s="80"/>
      <c r="L68" s="80"/>
      <c r="M68" s="80"/>
      <c r="N68" s="80"/>
      <c r="O68" s="80"/>
      <c r="P68" s="80"/>
      <c r="Q68" s="80"/>
      <c r="R68" s="80"/>
    </row>
    <row r="69" spans="11:18" x14ac:dyDescent="0.25">
      <c r="K69" s="80"/>
      <c r="L69" s="80"/>
      <c r="M69" s="80"/>
      <c r="N69" s="80"/>
      <c r="O69" s="80"/>
      <c r="P69" s="80"/>
      <c r="Q69" s="80"/>
      <c r="R69" s="80"/>
    </row>
    <row r="70" spans="11:18" x14ac:dyDescent="0.25">
      <c r="K70" s="80"/>
      <c r="L70" s="80"/>
      <c r="M70" s="80"/>
      <c r="N70" s="80"/>
      <c r="O70" s="80"/>
      <c r="P70" s="80"/>
      <c r="Q70" s="80"/>
      <c r="R70" s="80"/>
    </row>
    <row r="71" spans="11:18" x14ac:dyDescent="0.25"/>
  </sheetData>
  <dataValidations count="1">
    <dataValidation type="list" allowBlank="1" showInputMessage="1" showErrorMessage="1" sqref="C3:C7" xr:uid="{992AE54B-ADF5-460A-AF1A-380511C83739}">
      <formula1>"Uniform,Triangular,Normal,Fixed"</formula1>
    </dataValidation>
  </dataValidation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6A202-3CD0-4C04-ACFC-D4410C99CE79}">
  <sheetPr codeName="Sheet21">
    <tabColor rgb="FFB3FF03"/>
  </sheetPr>
  <dimension ref="B3:AB162"/>
  <sheetViews>
    <sheetView showGridLines="0" showRowColHeaders="0" workbookViewId="0">
      <selection activeCell="I2" sqref="I2"/>
    </sheetView>
  </sheetViews>
  <sheetFormatPr defaultRowHeight="15" x14ac:dyDescent="0.25"/>
  <cols>
    <col min="1" max="1" width="6" customWidth="1"/>
    <col min="5" max="5" width="8" bestFit="1" customWidth="1"/>
    <col min="6" max="6" width="8.85546875" bestFit="1" customWidth="1"/>
    <col min="7" max="7" width="11.5703125" bestFit="1" customWidth="1"/>
    <col min="8" max="8" width="14.140625" bestFit="1" customWidth="1"/>
    <col min="9" max="9" width="13.85546875" bestFit="1" customWidth="1"/>
    <col min="10" max="10" width="15" bestFit="1" customWidth="1"/>
    <col min="11" max="11" width="16.140625" bestFit="1" customWidth="1"/>
    <col min="12" max="12" width="11.42578125" bestFit="1" customWidth="1"/>
    <col min="13" max="13" width="10.85546875" bestFit="1" customWidth="1"/>
    <col min="14" max="14" width="13.140625" bestFit="1" customWidth="1"/>
    <col min="15" max="15" width="17.85546875" bestFit="1" customWidth="1"/>
    <col min="16" max="16" width="19.140625" bestFit="1" customWidth="1"/>
    <col min="17" max="17" width="13.85546875" bestFit="1" customWidth="1"/>
    <col min="18" max="18" width="16.85546875" bestFit="1" customWidth="1"/>
    <col min="19" max="19" width="23.5703125" bestFit="1" customWidth="1"/>
    <col min="20" max="20" width="21.85546875" bestFit="1" customWidth="1"/>
    <col min="21" max="21" width="27.140625" bestFit="1" customWidth="1"/>
    <col min="22" max="22" width="11.85546875" bestFit="1" customWidth="1"/>
    <col min="23" max="23" width="10.5703125" bestFit="1" customWidth="1"/>
    <col min="24" max="24" width="15" bestFit="1" customWidth="1"/>
    <col min="25" max="25" width="11.42578125" customWidth="1"/>
    <col min="26" max="26" width="18.5703125" bestFit="1" customWidth="1"/>
    <col min="27" max="27" width="18.140625" bestFit="1" customWidth="1"/>
    <col min="28" max="28" width="15.5703125" bestFit="1" customWidth="1"/>
  </cols>
  <sheetData>
    <row r="3" spans="2:28" x14ac:dyDescent="0.25">
      <c r="B3" s="9" t="s">
        <v>314</v>
      </c>
    </row>
    <row r="4" spans="2:28" x14ac:dyDescent="0.25">
      <c r="B4" s="69" t="s">
        <v>0</v>
      </c>
      <c r="C4" s="69" t="s">
        <v>286</v>
      </c>
      <c r="D4" s="69" t="s">
        <v>287</v>
      </c>
      <c r="E4" s="69" t="s">
        <v>288</v>
      </c>
      <c r="F4" s="69" t="s">
        <v>318</v>
      </c>
      <c r="G4" s="69" t="s">
        <v>319</v>
      </c>
      <c r="H4" s="69" t="s">
        <v>320</v>
      </c>
      <c r="I4" s="69" t="s">
        <v>321</v>
      </c>
      <c r="J4" s="69" t="s">
        <v>305</v>
      </c>
      <c r="K4" s="69" t="s">
        <v>306</v>
      </c>
      <c r="L4" s="69" t="s">
        <v>290</v>
      </c>
      <c r="M4" s="69" t="s">
        <v>322</v>
      </c>
      <c r="N4" s="69" t="s">
        <v>323</v>
      </c>
      <c r="O4" s="69" t="s">
        <v>324</v>
      </c>
      <c r="P4" s="69" t="s">
        <v>325</v>
      </c>
      <c r="Q4" s="69" t="s">
        <v>232</v>
      </c>
      <c r="R4" s="69" t="s">
        <v>327</v>
      </c>
      <c r="S4" s="69" t="s">
        <v>326</v>
      </c>
      <c r="T4" s="69" t="s">
        <v>328</v>
      </c>
      <c r="U4" s="69" t="s">
        <v>329</v>
      </c>
      <c r="V4" s="69" t="s">
        <v>307</v>
      </c>
      <c r="W4" s="69" t="s">
        <v>308</v>
      </c>
      <c r="X4" s="69" t="s">
        <v>310</v>
      </c>
      <c r="Y4" s="69" t="s">
        <v>246</v>
      </c>
      <c r="Z4" s="69" t="s">
        <v>330</v>
      </c>
      <c r="AA4" s="69" t="s">
        <v>331</v>
      </c>
      <c r="AB4" s="69" t="s">
        <v>332</v>
      </c>
    </row>
    <row r="5" spans="2:28"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row>
    <row r="6" spans="2:28"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row>
    <row r="7" spans="2:28"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row>
    <row r="8" spans="2:28"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row>
    <row r="9" spans="2:28"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row>
    <row r="10" spans="2:28"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row>
    <row r="11" spans="2:28"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row>
    <row r="12" spans="2:28"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row>
    <row r="13" spans="2:28"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row>
    <row r="14" spans="2:28"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row>
    <row r="15" spans="2:28"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row>
    <row r="16" spans="2:28"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row>
    <row r="17" spans="2:28"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row>
    <row r="18" spans="2:28"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row>
    <row r="19" spans="2:28"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row>
    <row r="20" spans="2:28"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row>
    <row r="21" spans="2:28"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row>
    <row r="22" spans="2:28"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row>
    <row r="23" spans="2:28"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row>
    <row r="24" spans="2:28"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row>
    <row r="25" spans="2:28"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row>
    <row r="26" spans="2:28"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row>
    <row r="27" spans="2:28"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row>
    <row r="28" spans="2:28"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row>
    <row r="29" spans="2:28"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row>
    <row r="30" spans="2:28"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row>
    <row r="31" spans="2:28"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row>
    <row r="32" spans="2:28"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row>
    <row r="33" spans="2:28"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row>
    <row r="34" spans="2:28"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row>
    <row r="35" spans="2:28"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row>
    <row r="36" spans="2:28"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row>
    <row r="37" spans="2:28"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row>
    <row r="38" spans="2:28"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row>
    <row r="39" spans="2:28"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row>
    <row r="40" spans="2:28"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row>
    <row r="41" spans="2:28"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row>
    <row r="42" spans="2:28"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row>
    <row r="43" spans="2:28"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row>
    <row r="44" spans="2:28"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row>
    <row r="45" spans="2:28"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row>
    <row r="46" spans="2:28"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row>
    <row r="47" spans="2:28"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row>
    <row r="48" spans="2:28"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row>
    <row r="49" spans="2:28"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row>
    <row r="50" spans="2:28"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row>
    <row r="51" spans="2:28"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row>
    <row r="52" spans="2:28"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row>
    <row r="53" spans="2:28"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row>
    <row r="54" spans="2:28"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row>
    <row r="57" spans="2:28" x14ac:dyDescent="0.25">
      <c r="B57" s="9" t="s">
        <v>315</v>
      </c>
    </row>
    <row r="58" spans="2:28" x14ac:dyDescent="0.25">
      <c r="B58" s="70" t="s">
        <v>0</v>
      </c>
      <c r="C58" s="70" t="s">
        <v>286</v>
      </c>
      <c r="D58" s="70" t="s">
        <v>287</v>
      </c>
      <c r="E58" s="70" t="s">
        <v>288</v>
      </c>
      <c r="F58" s="70" t="s">
        <v>318</v>
      </c>
      <c r="G58" s="70" t="s">
        <v>319</v>
      </c>
      <c r="H58" s="70" t="s">
        <v>320</v>
      </c>
      <c r="I58" s="70" t="s">
        <v>321</v>
      </c>
      <c r="J58" s="70" t="s">
        <v>305</v>
      </c>
      <c r="K58" s="70" t="s">
        <v>306</v>
      </c>
      <c r="L58" s="70" t="s">
        <v>290</v>
      </c>
      <c r="M58" s="70" t="s">
        <v>322</v>
      </c>
      <c r="N58" s="70" t="s">
        <v>323</v>
      </c>
      <c r="O58" s="70" t="s">
        <v>324</v>
      </c>
      <c r="P58" s="70" t="s">
        <v>325</v>
      </c>
      <c r="Q58" s="70" t="s">
        <v>232</v>
      </c>
      <c r="R58" s="70" t="s">
        <v>316</v>
      </c>
      <c r="S58" s="70" t="s">
        <v>326</v>
      </c>
      <c r="T58" s="70" t="s">
        <v>328</v>
      </c>
      <c r="U58" s="70" t="s">
        <v>329</v>
      </c>
      <c r="V58" s="70" t="s">
        <v>307</v>
      </c>
      <c r="W58" s="70" t="s">
        <v>308</v>
      </c>
      <c r="X58" s="70" t="s">
        <v>310</v>
      </c>
      <c r="Y58" s="70" t="s">
        <v>246</v>
      </c>
      <c r="Z58" s="70" t="s">
        <v>330</v>
      </c>
      <c r="AA58" s="70" t="s">
        <v>331</v>
      </c>
      <c r="AB58" s="70" t="s">
        <v>332</v>
      </c>
    </row>
    <row r="59" spans="2:28"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row>
    <row r="60" spans="2:28"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row>
    <row r="61" spans="2:28"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row>
    <row r="62" spans="2:28"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row>
    <row r="63" spans="2:28"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row>
    <row r="64" spans="2:28"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row>
    <row r="65" spans="2:28"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row>
    <row r="66" spans="2:28"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row>
    <row r="67" spans="2:28"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row>
    <row r="68" spans="2:28"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row>
    <row r="69" spans="2:28"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row>
    <row r="70" spans="2:28"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row>
    <row r="71" spans="2:28"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row>
    <row r="72" spans="2:28"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row>
    <row r="73" spans="2:28"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row>
    <row r="74" spans="2:28"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row>
    <row r="75" spans="2:28"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row>
    <row r="76" spans="2:28"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row>
    <row r="77" spans="2:28"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row>
    <row r="78" spans="2:28"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row>
    <row r="79" spans="2:28"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row>
    <row r="80" spans="2:28"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row>
    <row r="81" spans="2:28"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row>
    <row r="82" spans="2:28"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row>
    <row r="83" spans="2:28"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row>
    <row r="84" spans="2:28"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row>
    <row r="85" spans="2:28"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row>
    <row r="86" spans="2:28"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row>
    <row r="87" spans="2:28"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row>
    <row r="88" spans="2:28"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row>
    <row r="89" spans="2:28"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row>
    <row r="90" spans="2:28"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row>
    <row r="91" spans="2:28"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row>
    <row r="92" spans="2:28"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row>
    <row r="93" spans="2:28"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row>
    <row r="94" spans="2:28"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row>
    <row r="95" spans="2:28"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row>
    <row r="96" spans="2:28"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row>
    <row r="97" spans="2:28"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row>
    <row r="98" spans="2:28"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row>
    <row r="99" spans="2:28"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row>
    <row r="100" spans="2:28"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row>
    <row r="101" spans="2:28"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row>
    <row r="102" spans="2:28"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row>
    <row r="103" spans="2:28"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row>
    <row r="104" spans="2:28"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row>
    <row r="105" spans="2:28"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row>
    <row r="106" spans="2:28"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row>
    <row r="107" spans="2:28"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row>
    <row r="108" spans="2:28"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row>
    <row r="111" spans="2:28" x14ac:dyDescent="0.25">
      <c r="B111" s="9" t="s">
        <v>317</v>
      </c>
    </row>
    <row r="112" spans="2:28" x14ac:dyDescent="0.25">
      <c r="B112" s="66" t="s">
        <v>0</v>
      </c>
      <c r="C112" s="66" t="s">
        <v>286</v>
      </c>
      <c r="D112" s="66" t="s">
        <v>287</v>
      </c>
      <c r="E112" s="66" t="s">
        <v>288</v>
      </c>
      <c r="F112" s="66" t="s">
        <v>318</v>
      </c>
      <c r="G112" s="66" t="s">
        <v>319</v>
      </c>
      <c r="H112" s="66" t="s">
        <v>320</v>
      </c>
      <c r="I112" s="66" t="s">
        <v>321</v>
      </c>
      <c r="J112" s="66" t="s">
        <v>305</v>
      </c>
      <c r="K112" s="66" t="s">
        <v>306</v>
      </c>
      <c r="L112" s="66" t="s">
        <v>290</v>
      </c>
      <c r="M112" s="66" t="s">
        <v>322</v>
      </c>
      <c r="N112" s="66" t="s">
        <v>323</v>
      </c>
      <c r="O112" s="66" t="s">
        <v>324</v>
      </c>
      <c r="P112" s="66" t="s">
        <v>325</v>
      </c>
      <c r="Q112" s="66" t="s">
        <v>232</v>
      </c>
      <c r="R112" s="66" t="s">
        <v>316</v>
      </c>
      <c r="S112" s="66" t="s">
        <v>326</v>
      </c>
      <c r="T112" s="66" t="s">
        <v>328</v>
      </c>
      <c r="U112" s="66" t="s">
        <v>329</v>
      </c>
      <c r="V112" s="66" t="s">
        <v>307</v>
      </c>
      <c r="W112" s="66" t="s">
        <v>308</v>
      </c>
      <c r="X112" s="66" t="s">
        <v>310</v>
      </c>
      <c r="Y112" s="66" t="s">
        <v>246</v>
      </c>
      <c r="Z112" s="66" t="s">
        <v>330</v>
      </c>
      <c r="AA112" s="66" t="s">
        <v>331</v>
      </c>
      <c r="AB112" s="66" t="s">
        <v>332</v>
      </c>
    </row>
    <row r="113" spans="2:28" x14ac:dyDescent="0.25">
      <c r="B113" s="20">
        <v>1</v>
      </c>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row>
    <row r="114" spans="2:28" x14ac:dyDescent="0.25">
      <c r="B114" s="20">
        <v>2</v>
      </c>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row>
    <row r="115" spans="2:28" x14ac:dyDescent="0.25">
      <c r="B115" s="20">
        <v>3</v>
      </c>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row>
    <row r="116" spans="2:28" x14ac:dyDescent="0.25">
      <c r="B116" s="20">
        <v>4</v>
      </c>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row>
    <row r="117" spans="2:28" x14ac:dyDescent="0.25">
      <c r="B117" s="20">
        <v>5</v>
      </c>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row>
    <row r="118" spans="2:28" x14ac:dyDescent="0.25">
      <c r="B118" s="20">
        <v>6</v>
      </c>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row>
    <row r="119" spans="2:28" x14ac:dyDescent="0.25">
      <c r="B119" s="20">
        <v>7</v>
      </c>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row>
    <row r="120" spans="2:28" x14ac:dyDescent="0.25">
      <c r="B120" s="20">
        <v>8</v>
      </c>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row>
    <row r="121" spans="2:28" x14ac:dyDescent="0.25">
      <c r="B121" s="20">
        <v>9</v>
      </c>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row>
    <row r="122" spans="2:28" x14ac:dyDescent="0.25">
      <c r="B122" s="20">
        <v>10</v>
      </c>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row>
    <row r="123" spans="2:28" x14ac:dyDescent="0.25">
      <c r="B123" s="20">
        <v>11</v>
      </c>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row>
    <row r="124" spans="2:28" x14ac:dyDescent="0.25">
      <c r="B124" s="20">
        <v>12</v>
      </c>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row>
    <row r="125" spans="2:28" x14ac:dyDescent="0.25">
      <c r="B125" s="20">
        <v>13</v>
      </c>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row>
    <row r="126" spans="2:28" x14ac:dyDescent="0.25">
      <c r="B126" s="20">
        <v>14</v>
      </c>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row>
    <row r="127" spans="2:28" x14ac:dyDescent="0.25">
      <c r="B127" s="20">
        <v>15</v>
      </c>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row>
    <row r="128" spans="2:28" x14ac:dyDescent="0.25">
      <c r="B128" s="20">
        <v>16</v>
      </c>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row>
    <row r="129" spans="2:28" x14ac:dyDescent="0.25">
      <c r="B129" s="20">
        <v>17</v>
      </c>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row>
    <row r="130" spans="2:28" x14ac:dyDescent="0.25">
      <c r="B130" s="20">
        <v>18</v>
      </c>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row>
    <row r="131" spans="2:28" x14ac:dyDescent="0.25">
      <c r="B131" s="20">
        <v>19</v>
      </c>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row>
    <row r="132" spans="2:28" x14ac:dyDescent="0.25">
      <c r="B132" s="20">
        <v>20</v>
      </c>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row>
    <row r="133" spans="2:28" x14ac:dyDescent="0.25">
      <c r="B133" s="20">
        <v>21</v>
      </c>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row>
    <row r="134" spans="2:28" x14ac:dyDescent="0.25">
      <c r="B134" s="20">
        <v>22</v>
      </c>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row>
    <row r="135" spans="2:28" x14ac:dyDescent="0.25">
      <c r="B135" s="20">
        <v>23</v>
      </c>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row>
    <row r="136" spans="2:28" x14ac:dyDescent="0.25">
      <c r="B136" s="20">
        <v>24</v>
      </c>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row>
    <row r="137" spans="2:28" x14ac:dyDescent="0.25">
      <c r="B137" s="20">
        <v>25</v>
      </c>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row>
    <row r="138" spans="2:28" x14ac:dyDescent="0.25">
      <c r="B138" s="20">
        <v>26</v>
      </c>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row>
    <row r="139" spans="2:28" x14ac:dyDescent="0.25">
      <c r="B139" s="20">
        <v>27</v>
      </c>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row>
    <row r="140" spans="2:28" x14ac:dyDescent="0.25">
      <c r="B140" s="20">
        <v>28</v>
      </c>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row>
    <row r="141" spans="2:28" x14ac:dyDescent="0.25">
      <c r="B141" s="20">
        <v>29</v>
      </c>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row>
    <row r="142" spans="2:28" x14ac:dyDescent="0.25">
      <c r="B142" s="20">
        <v>30</v>
      </c>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row>
    <row r="143" spans="2:28" x14ac:dyDescent="0.25">
      <c r="B143" s="20">
        <v>31</v>
      </c>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row>
    <row r="144" spans="2:28" x14ac:dyDescent="0.25">
      <c r="B144" s="20">
        <v>32</v>
      </c>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row>
    <row r="145" spans="2:28" x14ac:dyDescent="0.25">
      <c r="B145" s="20">
        <v>33</v>
      </c>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row>
    <row r="146" spans="2:28" x14ac:dyDescent="0.25">
      <c r="B146" s="20">
        <v>34</v>
      </c>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row>
    <row r="147" spans="2:28" x14ac:dyDescent="0.25">
      <c r="B147" s="20">
        <v>35</v>
      </c>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row>
    <row r="148" spans="2:28" x14ac:dyDescent="0.25">
      <c r="B148" s="20">
        <v>36</v>
      </c>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row>
    <row r="149" spans="2:28" x14ac:dyDescent="0.25">
      <c r="B149" s="20">
        <v>37</v>
      </c>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row>
    <row r="150" spans="2:28" x14ac:dyDescent="0.25">
      <c r="B150" s="20">
        <v>38</v>
      </c>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row>
    <row r="151" spans="2:28" x14ac:dyDescent="0.25">
      <c r="B151" s="20">
        <v>39</v>
      </c>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row>
    <row r="152" spans="2:28" x14ac:dyDescent="0.25">
      <c r="B152" s="20">
        <v>40</v>
      </c>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row>
    <row r="153" spans="2:28" x14ac:dyDescent="0.25">
      <c r="B153" s="20">
        <v>41</v>
      </c>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row>
    <row r="154" spans="2:28" x14ac:dyDescent="0.25">
      <c r="B154" s="20">
        <v>42</v>
      </c>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row>
    <row r="155" spans="2:28" x14ac:dyDescent="0.25">
      <c r="B155" s="20">
        <v>43</v>
      </c>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row>
    <row r="156" spans="2:28" x14ac:dyDescent="0.25">
      <c r="B156" s="20">
        <v>44</v>
      </c>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row>
    <row r="157" spans="2:28" x14ac:dyDescent="0.25">
      <c r="B157" s="20">
        <v>45</v>
      </c>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row>
    <row r="158" spans="2:28" x14ac:dyDescent="0.25">
      <c r="B158" s="20">
        <v>46</v>
      </c>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row>
    <row r="159" spans="2:28" x14ac:dyDescent="0.25">
      <c r="B159" s="20">
        <v>47</v>
      </c>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row>
    <row r="160" spans="2:28" x14ac:dyDescent="0.25">
      <c r="B160" s="20">
        <v>48</v>
      </c>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row>
    <row r="161" spans="2:28" x14ac:dyDescent="0.25">
      <c r="B161" s="20">
        <v>49</v>
      </c>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row>
    <row r="162" spans="2:28" x14ac:dyDescent="0.25">
      <c r="B162" s="20">
        <v>50</v>
      </c>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row>
  </sheetData>
  <pageMargins left="0.7" right="0.7" top="0.75" bottom="0.75" header="0.3" footer="0.3"/>
</worksheet>
</file>

<file path=customUI/_rels/customUI14.xml.rels><?xml version="1.0" encoding="UTF-8" standalone="yes"?>
<Relationships xmlns="http://schemas.openxmlformats.org/package/2006/relationships"><Relationship Id="tangibleIC" Type="http://schemas.openxmlformats.org/officeDocument/2006/relationships/image" Target="images/tangibleIC.png"/><Relationship Id="tableIC" Type="http://schemas.openxmlformats.org/officeDocument/2006/relationships/image" Target="images/tableIC.png"/><Relationship Id="python" Type="http://schemas.openxmlformats.org/officeDocument/2006/relationships/image" Target="images/python.png"/><Relationship Id="optIC" Type="http://schemas.openxmlformats.org/officeDocument/2006/relationships/image" Target="images/optIC.png"/><Relationship Id="generalconfigIC" Type="http://schemas.openxmlformats.org/officeDocument/2006/relationships/image" Target="images/generalconfigIC.png"/><Relationship Id="welcomeIC" Type="http://schemas.openxmlformats.org/officeDocument/2006/relationships/image" Target="images/welcomeIC.png"/><Relationship Id="runIC" Type="http://schemas.openxmlformats.org/officeDocument/2006/relationships/image" Target="images/runIC.png"/><Relationship Id="intangibleIC" Type="http://schemas.openxmlformats.org/officeDocument/2006/relationships/image" Target="images/intangibleIC.png"/><Relationship Id="summaryIC" Type="http://schemas.openxmlformats.org/officeDocument/2006/relationships/image" Target="images/summaryIC.png"/><Relationship Id="pythonIC" Type="http://schemas.openxmlformats.org/officeDocument/2006/relationships/image" Target="images/pythonIC.png"/><Relationship Id="monteIC" Type="http://schemas.openxmlformats.org/officeDocument/2006/relationships/image" Target="images/monteIC.png"/><Relationship Id="sensIC" Type="http://schemas.openxmlformats.org/officeDocument/2006/relationships/image" Target="images/sensIC.png"/><Relationship Id="fiscalIC" Type="http://schemas.openxmlformats.org/officeDocument/2006/relationships/image" Target="images/fiscalIC.png"/><Relationship Id="opexIC" Type="http://schemas.openxmlformats.org/officeDocument/2006/relationships/image" Target="images/opexIC.png"/><Relationship Id="userguideIC" Type="http://schemas.openxmlformats.org/officeDocument/2006/relationships/image" Target="images/userguideIC.png"/><Relationship Id="CondaIC" Type="http://schemas.openxmlformats.org/officeDocument/2006/relationships/image" Target="images/CondaIC.png"/><Relationship Id="EMDIC" Type="http://schemas.openxmlformats.org/officeDocument/2006/relationships/image" Target="images/EMDIC.png"/><Relationship Id="ASRIC" Type="http://schemas.openxmlformats.org/officeDocument/2006/relationships/image" Target="images/ASRIC.png"/><Relationship Id="prodIC" Type="http://schemas.openxmlformats.org/officeDocument/2006/relationships/image" Target="images/prodIC.png"/></Relationships>
</file>

<file path=customUI/customUI14.xml><?xml version="1.0" encoding="utf-8"?>
<customUI xmlns="http://schemas.microsoft.com/office/2009/07/customui" onLoad="rbx_onLoad">
  <ribbon startFromScratch="false">
    <!--Hide all default tabs-->
    <tabs>
      <tab id="tab1" label="pySCnomics" insertBeforeMso="TabHelp">
        <!--Buttons-->
        <group id="grp_btnsPY" label="Buttons">
          <!--Large Buttons-->
          <button id="btns_btnPY1" label="Pyton" size="normal" onAction="Python_Installation" image="python" supertip="python installation"/>
          <button id="btns_btnPY2" label="Conda" size="normal" onAction="Conda_Installation" image="CondaIC" supertip="Conda Installation"/>
          <button id="btns_btnPY3" label="Embeddable Package" size="normal" onAction="EmbeddablePackage_Installation" image="EMDIC" supertip="Embeddable Package Installation"/>
        </group>
        <group id="grp_btns" label="General">
          <!--Large Buttons-->
          <button id="btns_btn1" label="Welcome" size="large" onAction="goto_Cover" image="welcomeIC" supertip="Welcome to pyscnomics"/>
          <button id="btns_btn2" label="User Guide" size="large" onAction="goto_UserGuide" image="userguideIC" supertip="User Guide of pyscnomics"/>
        </group>
        <!--Buttons 2 (Custom Icons)-->
        <!--Split Button-->
        <group id="grp_splitBtn" label="Input - Configuration">
          <splitButton id="splitBtn" size="large">
            <menu id="splitBtn_menu" itemSize="large" label="Input - Configuration">
              <button id="splitBtn_GeneralConfig" image="generalconfigIC" label="General Configuration" onAction="splitBtn_GeneralConfig"/>
              <button id="splitBtn_FiscalConfig" image="fiscalIC" label="Fiscal Configuration" onAction="splitBtn_FiscalConfig"/>
            </menu>
          </splitButton>
        </group>
        <group id="grp_splitBtn2" label="Input - Costs">
          <splitButton id="splitBtn2" size="large">
            <menu id="splitBtn2_menu" itemSize="large" label="ddd">
              <button id="splitBtn2_Tangible" image="tangibleIC" label="Tangible" onAction="splitBtn2_Tangible"/>
              <button id="splitBtn2_Intangible" image="intangibleIC" label="Intangible" onAction="splitBtn2_Intangible"/>
              <button id="splitBtn2_Opex" image="opexIC" label="Opex" onAction="splitBtn2_Opex"/>
              <button id="splitBtn2_ASR" image="ASRIC" label="ASR" onAction="splitBtn2_ASR"/>
            </menu>
          </splitButton>
        </group>
        <group id="grp_btnsXY" label="Productions">
          <!--Large Buttons-->
          <button id="btnsXY_btn1" label="Production - Price" size="large" onAction="goto_ProdPrice" image="prodIC" supertip="Welcome to pyscnomics"/>
        </group>
        <group id="grp_btnsRes" label="Results">
          <!--Large Buttons-->
          <button id="btns_btnR1" label="Cashflow Table" size="large" onAction="goto_Table" image="tableIC" supertip="Cashflow Table"/>
          <button id="btns_btnR2" label="Economic Summary" size="large" onAction="goto_Summary" image="summaryIC" supertip="Economic SUmmary"/>
        </group>
        <group id="grp_btnsS" label="Economic Analysis">
          <button id="btns_btnS1" label="Sensitivity" size="large" onAction="goto_Sens" image="sensIC" supertip="Sensitivity Analysis"/>
          <button id="btns_btnS2" label="MonteCarlo" size="large" onAction="goto_Monte" image="monteIC" supertip="Monte-Carlo Simulation"/>
          <button id="btns_btnS3" label="Optimization" size="large" onAction="goto_Optim" image="optIC" supertip="Optimization"/>
        </group>
        <group id="grp_btnX" label="Calculate">
          <button id="btns_btnX" label="RUN" size="large" onAction="goto_Execute" image="runIC" supertip="Calcute Economic Performance"/>
        </group>
      </tab>
      <!--Add group of buttons to Home tab-->
      <!--Hide Default Tabs-->
      <!--	    
            <tab idMso="TabHome" visible="false" />
            <tab idMso="TabInsert" visible="false" />
            <tab idMso="TabFormulas" visible="false" />
            <tab idMso="TabData" visible="false" />    
            <tab idMso="TabReview" visible="false" />
            <tab idMso="TabView" visible="false" />
            <tab idMso="TabDeveloper" visible="false" />
            <tab idMso="TabPageLayoutExcel" visible="false" />
            -->
    </tabs>
    <!--Contextual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8</vt:i4>
      </vt:variant>
    </vt:vector>
  </HeadingPairs>
  <TitlesOfParts>
    <vt:vector size="34" baseType="lpstr">
      <vt:lpstr>Cover</vt:lpstr>
      <vt:lpstr>UserGuide</vt:lpstr>
      <vt:lpstr>Summary</vt:lpstr>
      <vt:lpstr>General Config</vt:lpstr>
      <vt:lpstr>Result Table CR</vt:lpstr>
      <vt:lpstr>Prod Oil (2)</vt:lpstr>
      <vt:lpstr>Fiscal Config</vt:lpstr>
      <vt:lpstr>Prod Oil</vt:lpstr>
      <vt:lpstr>Prod Gas</vt:lpstr>
      <vt:lpstr>Prod LPG Propane</vt:lpstr>
      <vt:lpstr>Prod LPG Butane</vt:lpstr>
      <vt:lpstr>Prod CO2</vt:lpstr>
      <vt:lpstr>Prod Sulfur</vt:lpstr>
      <vt:lpstr>Prod Electricity</vt:lpstr>
      <vt:lpstr>Gross Split Config (2)</vt:lpstr>
      <vt:lpstr>Cost Recovery Config</vt:lpstr>
      <vt:lpstr>Gross Split Config</vt:lpstr>
      <vt:lpstr>Cost Recovery Config (2)</vt:lpstr>
      <vt:lpstr>Cost Tangible</vt:lpstr>
      <vt:lpstr>Cost Intangible</vt:lpstr>
      <vt:lpstr>Cost OPEX</vt:lpstr>
      <vt:lpstr>Cost ASR</vt:lpstr>
      <vt:lpstr>Sensitivity</vt:lpstr>
      <vt:lpstr>Optimization</vt:lpstr>
      <vt:lpstr>Monte Carlo</vt:lpstr>
      <vt:lpstr>Result Table GS</vt:lpstr>
      <vt:lpstr>_fiscalType</vt:lpstr>
      <vt:lpstr>_nButane</vt:lpstr>
      <vt:lpstr>_nCO2</vt:lpstr>
      <vt:lpstr>_nElectricity</vt:lpstr>
      <vt:lpstr>_nGas</vt:lpstr>
      <vt:lpstr>_nOil</vt:lpstr>
      <vt:lpstr>_nPropane</vt:lpstr>
      <vt:lpstr>_nSulfur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Adhim Mulia</dc:creator>
  <cp:lastModifiedBy>Aditya Hartono</cp:lastModifiedBy>
  <dcterms:created xsi:type="dcterms:W3CDTF">2023-08-30T07:03:21Z</dcterms:created>
  <dcterms:modified xsi:type="dcterms:W3CDTF">2023-11-21T07:35:25Z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8b525e5-f3da-4501-8f1e-526b6769fc56_Enabled">
    <vt:lpwstr>true</vt:lpwstr>
  </property>
  <property fmtid="{D5CDD505-2E9C-101B-9397-08002B2CF9AE}" pid="3" name="MSIP_Label_38b525e5-f3da-4501-8f1e-526b6769fc56_SetDate">
    <vt:lpwstr>2023-11-20T09:49:22Z</vt:lpwstr>
  </property>
  <property fmtid="{D5CDD505-2E9C-101B-9397-08002B2CF9AE}" pid="4" name="MSIP_Label_38b525e5-f3da-4501-8f1e-526b6769fc56_Method">
    <vt:lpwstr>Standard</vt:lpwstr>
  </property>
  <property fmtid="{D5CDD505-2E9C-101B-9397-08002B2CF9AE}" pid="5" name="MSIP_Label_38b525e5-f3da-4501-8f1e-526b6769fc56_Name">
    <vt:lpwstr>defa4170-0d19-0005-0004-bc88714345d2</vt:lpwstr>
  </property>
  <property fmtid="{D5CDD505-2E9C-101B-9397-08002B2CF9AE}" pid="6" name="MSIP_Label_38b525e5-f3da-4501-8f1e-526b6769fc56_SiteId">
    <vt:lpwstr>db6e1183-4c65-405c-82ce-7cd53fa6e9dc</vt:lpwstr>
  </property>
  <property fmtid="{D5CDD505-2E9C-101B-9397-08002B2CF9AE}" pid="7" name="MSIP_Label_38b525e5-f3da-4501-8f1e-526b6769fc56_ActionId">
    <vt:lpwstr>a519c005-33cc-4fe6-87f2-723dd18d4d83</vt:lpwstr>
  </property>
  <property fmtid="{D5CDD505-2E9C-101B-9397-08002B2CF9AE}" pid="8" name="MSIP_Label_38b525e5-f3da-4501-8f1e-526b6769fc56_ContentBits">
    <vt:lpwstr>0</vt:lpwstr>
  </property>
</Properties>
</file>