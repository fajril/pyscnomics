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50045C69-A212-4C49-9D0F-9A53A2636057}" xr6:coauthVersionLast="47" xr6:coauthVersionMax="47" xr10:uidLastSave="{00000000-0000-0000-0000-000000000000}"/>
  <bookViews>
    <workbookView xWindow="28695" yWindow="0" windowWidth="19410" windowHeight="15585" tabRatio="857" firstSheet="5" activeTab="5"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Oil (2)" sheetId="376" r:id="rId7"/>
    <sheet name="Prod Gas" sheetId="5" r:id="rId8"/>
    <sheet name="Prod LPG Propane" sheetId="6" state="hidden" r:id="rId9"/>
    <sheet name="Prod LPG Butane" sheetId="7" state="hidden" r:id="rId10"/>
    <sheet name="Prod CO2" sheetId="10" state="hidden" r:id="rId11"/>
    <sheet name="Prod Sulfur" sheetId="9" state="hidden" r:id="rId12"/>
    <sheet name="Gross Split Config (2)" sheetId="103" state="hidden" r:id="rId13"/>
    <sheet name="Prod Gas (2)" sheetId="377" r:id="rId14"/>
    <sheet name="Prod Gas (3)" sheetId="378" r:id="rId15"/>
    <sheet name="Cost Recovery Config" sheetId="16" r:id="rId16"/>
    <sheet name="Gross Split Config" sheetId="15" state="hidden" r:id="rId17"/>
    <sheet name="Cost Recovery Config (2)" sheetId="343" state="hidden" r:id="rId18"/>
    <sheet name="Cost Tangible" sheetId="72" r:id="rId19"/>
    <sheet name="Cost Intangible" sheetId="73" r:id="rId20"/>
    <sheet name="Cost OPEX" sheetId="74" r:id="rId21"/>
    <sheet name="Cost ASR" sheetId="75" r:id="rId22"/>
    <sheet name="Result Table CR" sheetId="346" r:id="rId23"/>
    <sheet name="Result Table GS" sheetId="347" r:id="rId24"/>
  </sheets>
  <functionGroups builtInGroupCount="19"/>
  <externalReferences>
    <externalReference r:id="rId25"/>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<sst xmlns="http://schemas.openxmlformats.org/spreadsheetml/2006/main" count="931" uniqueCount="340">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</sst>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6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val="2"/>
</file>

<file path=xl/ctrlProps/ctrlProp8.xml><?xml version="1.0" encoding="utf-8"?>
<formControlPr xmlns="http://schemas.microsoft.com/office/spreadsheetml/2009/9/main" objectType="Spin" dx="26" fmlaLink="$D$11" max="20" min="1" page="10" val="3"/>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C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0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265" dataDxfId="264">
  <tableColumns count="5">
    <tableColumn id="1" xr3:uid="{F5C1188B-5A01-4D20-9CDA-43938053BE14}" name="Year" dataDxfId="263"/>
    <tableColumn id="2" xr3:uid="{488F6F74-60C4-41C0-8968-CFABEEC8C577}" name="Oil Sales (MMBOPY)" dataDxfId="262"/>
    <tableColumn id="3" xr3:uid="{FA019DEC-C16E-43AA-B922-7626C07066D2}" name="Oil Price (USD/BBL)" dataDxfId="261"/>
    <tableColumn id="4" xr3:uid="{E46E713A-179D-444E-88B6-019AD68876B5}" name="Condensate Sales (MMBOPY)" dataDxfId="260"/>
    <tableColumn id="5" xr3:uid="{04F0C769-33F5-487D-B7D5-F46799049A69}" name="Condensate Price (USD/BBL)" dataDxfId="259"/>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58B7B1C-830A-4CE6-9E53-C48CC9DD2332}" name="tbl_prod_oil22" displayName="tbl_prod_oil22" ref="A1:E50" totalsRowShown="0" headerRowDxfId="134" dataDxfId="133">
  <tableColumns count="5">
    <tableColumn id="1" xr3:uid="{C15A722C-1DF7-40B9-B285-C29BA5EDC6CF}" name="Year" dataDxfId="132"/>
    <tableColumn id="2" xr3:uid="{A7BF513A-B9A6-4289-85BE-69640E2B7FFD}" name="Oil Sales (MMBOPY)" dataDxfId="131"/>
    <tableColumn id="3" xr3:uid="{8516E285-9702-449B-AE68-F91BE2826C2F}" name="Oil Price (USD/BBL)" dataDxfId="130"/>
    <tableColumn id="4" xr3:uid="{C3D1B691-DD56-4196-BE81-3067EC0B0794}" name="Condensate Sales (MMBOPY)" dataDxfId="129"/>
    <tableColumn id="5" xr3:uid="{C3AD494A-AB18-481C-9A55-D12E4A82DA94}" name="Condensate Price (USD/BBL)" dataDxfId="12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258" dataDxfId="257">
  <autoFilter ref="A1:BJ50" xr:uid="{F3B5FD60-3EF6-4239-90D9-138C2E5C0533}"/>
  <tableColumns count="62">
    <tableColumn id="1" xr3:uid="{77AB1563-534C-4000-8990-E78C5E489BD7}" name="Year" dataDxfId="256"/>
    <tableColumn id="2" xr3:uid="{D229AC35-73B4-42FD-BBA3-AD438E380811}" name="Gas Production (BSCF)" dataDxfId="255"/>
    <tableColumn id="3" xr3:uid="{FCC8C31C-5036-4AF9-B6CE-1EEA31C5FAE9}" name="GSA 1 Volume (BSCF)" dataDxfId="254"/>
    <tableColumn id="4" xr3:uid="{C43DEA5B-2B33-4E7F-A57F-5476C60E7DCB}" name="GSA 1 GHV (BTU/SCF)" dataDxfId="253"/>
    <tableColumn id="5" xr3:uid="{41CF3913-D317-4E9F-B718-27DD21583BF7}" name="GSA 1 Price (USD/MMBTU)" dataDxfId="252"/>
    <tableColumn id="6" xr3:uid="{D3447C8E-599C-4059-A25A-5992EAF3CA98}" name="GSA 2 Volume (BSCF)" dataDxfId="251"/>
    <tableColumn id="7" xr3:uid="{08251CDD-AB2B-44EA-BB2B-B83A1024372A}" name="GSA 2 GHV (BTU/SCF)" dataDxfId="250"/>
    <tableColumn id="8" xr3:uid="{2AAA0FEE-F453-4CDC-BB43-9260633E2A77}" name="GSA 2 Price (USD/MMBTU)" dataDxfId="249"/>
    <tableColumn id="9" xr3:uid="{11DE7FD8-4E88-43BA-9FC1-5BFC6B7A4152}" name="GSA 3 Volume (BSCF)" dataDxfId="248"/>
    <tableColumn id="10" xr3:uid="{62D5C9C4-267A-4911-9B26-395CA0A13963}" name="GSA 3 GHV (BTU/SCF)" dataDxfId="247"/>
    <tableColumn id="11" xr3:uid="{8E831C1F-1E47-4011-B7F2-3315ADF97880}" name="GSA 3 Price (USD/MMBTU)" dataDxfId="246"/>
    <tableColumn id="12" xr3:uid="{7495CB1E-FAD1-4D28-AFB9-5721BE9D6A62}" name="GSA 4 Volume (BSCF)" dataDxfId="245"/>
    <tableColumn id="13" xr3:uid="{CCEEC0D9-E00C-4AE0-A6FB-2A21358BEFD2}" name="GSA 4 GHV (BTU/SCF)" dataDxfId="244"/>
    <tableColumn id="14" xr3:uid="{02D4E6A1-2B65-421C-8510-61E7E14C93AF}" name="GSA 4 Price (USD/MMBTU)" dataDxfId="243"/>
    <tableColumn id="15" xr3:uid="{81A66C00-B18B-44A8-B655-2F196AEDE152}" name="GSA 5 Volume (BSCF)" dataDxfId="242"/>
    <tableColumn id="16" xr3:uid="{E3C45877-F389-429D-8AA5-C760BD17A529}" name="GSA 5 GHV (BTU/SCF)" dataDxfId="241"/>
    <tableColumn id="17" xr3:uid="{29EC26AB-1FD3-4B90-8A35-51DD0A51A022}" name="GSA 5 Price (USD/MMBTU)" dataDxfId="240"/>
    <tableColumn id="18" xr3:uid="{13A537C0-0178-4CB4-B395-6E350791AFD2}" name="GSA 6 Volume (BSCF)5" dataDxfId="239"/>
    <tableColumn id="19" xr3:uid="{200121C4-4603-4606-9C7C-E8E2BEB00D03}" name="GSA 6 GHV (BTU/SCF)" dataDxfId="238"/>
    <tableColumn id="20" xr3:uid="{8C225936-78F4-424A-A66E-AC5E32060AAF}" name="GSA 6 Price (USD/MMBTU)" dataDxfId="237"/>
    <tableColumn id="21" xr3:uid="{44CE13E9-EEEF-4BEC-8518-6B116C1AD26B}" name="GSA 7 Volume (BSCF)" dataDxfId="236"/>
    <tableColumn id="22" xr3:uid="{ECD91665-11BC-45C6-9498-68BDC2D7C660}" name="GSA 7 GHV (BTU/SCF)" dataDxfId="235"/>
    <tableColumn id="23" xr3:uid="{BBCF0D25-A5E6-4644-964E-087F828A3214}" name="GSA 7 Price (USD/MMBTU)" dataDxfId="234"/>
    <tableColumn id="24" xr3:uid="{8DBCA4FF-FABE-4194-B3F6-1DBCEF167B28}" name="GSA 8 Volume (BSCF)" dataDxfId="233"/>
    <tableColumn id="25" xr3:uid="{C036027E-6E33-43E1-BE27-B060EB711E54}" name="GSA 8 GHV (BTU/SCF)" dataDxfId="232"/>
    <tableColumn id="26" xr3:uid="{F97DC2DB-AC07-4EF5-8063-0BE58357542D}" name="GSA 8 Price (USD/MMBTU)" dataDxfId="231"/>
    <tableColumn id="27" xr3:uid="{DA65A24F-CADB-4DE1-8A15-3A7FBA499C71}" name="GSA 9 Volume (BSCF)" dataDxfId="230"/>
    <tableColumn id="28" xr3:uid="{965B634C-0E56-49A6-8114-ACEABD08501E}" name="GSA 9 GHV (BTU/SCF)" dataDxfId="229"/>
    <tableColumn id="29" xr3:uid="{EBB76C16-8154-4DF6-ACC0-632DF52511A6}" name="GSA 9 Price (USD/MMBTU)" dataDxfId="228"/>
    <tableColumn id="30" xr3:uid="{2EE56E13-7901-46A4-B827-82F154323535}" name="GSA 10 Volume (BSCF)" dataDxfId="227"/>
    <tableColumn id="31" xr3:uid="{B059A543-383C-48AF-974C-15AEF15B1E83}" name="GSA 10 GHV (BTU/SCF)" dataDxfId="226"/>
    <tableColumn id="32" xr3:uid="{EB5FE66C-4F13-4C5A-9295-9CA6B5EBE0DB}" name="GSA 10 Price (USD/MMBTU)" dataDxfId="225"/>
    <tableColumn id="33" xr3:uid="{48C2A0C4-CDE1-43D4-80DA-9A04CFD50DF3}" name="GSA 11 Volume (BSCF)" dataDxfId="224"/>
    <tableColumn id="34" xr3:uid="{D58B2C50-D5D3-4FA0-BF0F-B249498FE2E5}" name="GSA 11 GHV (BTU/SCF)" dataDxfId="223"/>
    <tableColumn id="35" xr3:uid="{086395B3-EDF7-4416-824F-DADC5A41C808}" name="GSA 11 Price (USD/MMBTU)" dataDxfId="222"/>
    <tableColumn id="36" xr3:uid="{50F0227B-E5CB-4438-A313-A1630B0C4478}" name="GSA 12 Volume (BSCF)" dataDxfId="221"/>
    <tableColumn id="37" xr3:uid="{2E59E514-274A-4FF3-97F1-4C10C438F92C}" name="GSA 12 GHV (BTU/SCF)" dataDxfId="220"/>
    <tableColumn id="38" xr3:uid="{DC78227B-224D-4D70-AAA8-998E0854A236}" name="GSA 12 Price (USD/MMBTU)" dataDxfId="219"/>
    <tableColumn id="39" xr3:uid="{380FF60C-4086-4E19-B225-F579C632C9DF}" name="GSA 13 Volume (BSCF)5" dataDxfId="218"/>
    <tableColumn id="40" xr3:uid="{EA265128-A0AF-496A-8215-D7EA67E172D9}" name="GSA 13 GHV (BTU/SCF)" dataDxfId="217"/>
    <tableColumn id="41" xr3:uid="{6B34D3A2-F4F8-4588-9485-1E1F4AB9929F}" name="GSA 13 Price (USD/MMBTU)" dataDxfId="216"/>
    <tableColumn id="42" xr3:uid="{13937CA0-4E6B-49CB-82C8-CD285DE9A0AD}" name="GSA 14 Volume (BSCF)" dataDxfId="215"/>
    <tableColumn id="43" xr3:uid="{F104848B-FC0E-4CBC-8952-456A40422817}" name="GSA 14 GHV (BTU/SCF)" dataDxfId="214"/>
    <tableColumn id="44" xr3:uid="{A52502E1-9A56-45E0-B86B-4ADC54D7C46F}" name="GSA 14 Price (USD/MMBTU)" dataDxfId="213"/>
    <tableColumn id="45" xr3:uid="{D0E6F40C-E9D8-476C-974F-CD8BD0CC9E3E}" name="GSA 15 Volume (BSCF)" dataDxfId="212"/>
    <tableColumn id="46" xr3:uid="{D56CBA84-14DB-427F-BA7E-8A9A8CD3EF99}" name="GSA 15 GHV (BTU/SCF)" dataDxfId="211"/>
    <tableColumn id="47" xr3:uid="{79C8FA99-16A2-404A-8433-D73D4D3115E8}" name="GSA 15 Price (USD/MMBTU)" dataDxfId="210"/>
    <tableColumn id="48" xr3:uid="{7000071C-AB3D-4E5E-BAFD-6D0FF7DC3959}" name="GSA 16 Volume (BSCF)" dataDxfId="209"/>
    <tableColumn id="49" xr3:uid="{666AD423-FDD2-4B36-B9F4-1190CD03FDA3}" name="GSA 16 GHV (BTU/SCF)" dataDxfId="208"/>
    <tableColumn id="50" xr3:uid="{AE6DCD42-F2A8-4EA9-8085-856DCD64C3F8}" name="GSA 16 Price (USD/MMBTU)" dataDxfId="207"/>
    <tableColumn id="51" xr3:uid="{0691CFC8-568E-4AD2-920C-23CAEB458DAD}" name="GSA 17 Volume (BSCF)" dataDxfId="206"/>
    <tableColumn id="52" xr3:uid="{16C1EC1E-B5AC-4161-A0BF-CBB9D4021BC8}" name="GSA 17 GHV (BTU/SCF)" dataDxfId="205"/>
    <tableColumn id="53" xr3:uid="{1508BBC4-8EA3-47F1-8A28-5F141C9A3043}" name="GSA 17 Price (USD/MMBTU)" dataDxfId="204"/>
    <tableColumn id="62" xr3:uid="{969F6049-83E6-4535-A53A-482126AA77D7}" name="GSA 18 Volume (BSCF)" dataDxfId="203"/>
    <tableColumn id="61" xr3:uid="{03793DC0-561A-4F93-A29A-C63F176A5815}" name="GSA 18 GHV (BTU/SCF)" dataDxfId="202"/>
    <tableColumn id="60" xr3:uid="{FEAD4B29-4CB5-4083-BBB7-B1DBD002BE7E}" name="GSA 18 Price (USD/MMBTU)" dataDxfId="201"/>
    <tableColumn id="54" xr3:uid="{FDC4A9DF-4688-4830-B992-39D1F5107766}" name="GSA 19 Volume (BSCF)" dataDxfId="200"/>
    <tableColumn id="55" xr3:uid="{B0D7E298-E213-45EC-81C3-3AEA0B511A75}" name="GSA 19 GHV (BTU/SCF)" dataDxfId="199"/>
    <tableColumn id="56" xr3:uid="{65BE7B38-E137-4116-BE99-9732D0D27601}" name="GSA 19 Price (USD/MMBTU)" dataDxfId="198"/>
    <tableColumn id="57" xr3:uid="{66A45D79-4EFD-4A60-B7FC-2AAF364EBD1D}" name="GSA 20 Volume (BSCF)5" dataDxfId="197"/>
    <tableColumn id="58" xr3:uid="{F6354756-CE1B-4E3C-993B-28993F1AAAD2}" name="GSA 20 GHV (BTU/SCF)" dataDxfId="196"/>
    <tableColumn id="59" xr3:uid="{DCC94FD8-C643-4565-AB15-65A7E5B1F9AA}" name="GSA 20 Price (USD/MMBTU)" dataDxfId="19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94" dataDxfId="193">
  <autoFilter ref="A1:C50" xr:uid="{4F6CF9AB-FA3D-4BB4-ADAA-CA685555616C}"/>
  <tableColumns count="3">
    <tableColumn id="1" xr3:uid="{0DB2853D-2883-477A-BEC2-C3A8EC6BE1B6}" name="Year" dataDxfId="192"/>
    <tableColumn id="2" xr3:uid="{01418EAC-C4F4-48E8-9287-8988948DB9F1}" name="LPG Propane Sales (MT)" dataDxfId="191"/>
    <tableColumn id="3" xr3:uid="{4374CFEA-F40D-4DFA-9E1A-50C068F77BB6}" name="LPG Propane Price (USD/T)" dataDxfId="19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89" dataDxfId="188" tableBorderDxfId="187">
  <autoFilter ref="A1:C50" xr:uid="{A8B16AAF-E66E-4CE6-9E4E-EF4357083D9F}"/>
  <tableColumns count="3">
    <tableColumn id="1" xr3:uid="{6D5873CF-438A-4FB6-916E-EE4D8EA16C1B}" name="Year" dataDxfId="186"/>
    <tableColumn id="2" xr3:uid="{43FF55CD-251A-41D3-8DF3-39F98EEBC7E1}" name="LPG Butane Sales (MT)" dataDxfId="185"/>
    <tableColumn id="3" xr3:uid="{2AAABAE2-6AC9-4B24-A446-5622714DF15D}" name="LPG Butane Price(USD/T)" dataDxfId="184"/>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83" dataDxfId="182" tableBorderDxfId="181">
  <autoFilter ref="A1:C50" xr:uid="{AFC9D790-2204-4F4A-AEE5-A13F7CE6AF28}"/>
  <tableColumns count="3">
    <tableColumn id="1" xr3:uid="{B94BBB40-0B72-4B57-B720-38EEC1B95A78}" name="Year" dataDxfId="180"/>
    <tableColumn id="2" xr3:uid="{F53E2F6F-AB58-41DA-895C-419E73EC60A8}" name="CO2 Sales (Ton)" dataDxfId="179"/>
    <tableColumn id="3" xr3:uid="{6782EC61-C652-4E3C-B9F2-11DB4EFF1616}" name="Price (MMUSD/Unit)" dataDxfId="178"/>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177" dataDxfId="176">
  <autoFilter ref="A1:C50" xr:uid="{DEE72A9B-4BBC-4F3F-80BF-BC7085A5EA38}"/>
  <tableColumns count="3">
    <tableColumn id="1" xr3:uid="{36797F45-B4D8-4AAF-9EF9-72A94931E9BD}" name="Year" dataDxfId="175"/>
    <tableColumn id="2" xr3:uid="{F565D607-058E-4CC9-A868-ABC946C30F0A}" name="Sulfur Sales (Ton)" dataDxfId="174"/>
    <tableColumn id="3" xr3:uid="{FE95A159-27F7-4729-98BD-3BC24A13F318}" name="Price (MMUSD/Unit)" dataDxfId="17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421FA77-32A6-478F-9384-53B9DF32F174}" name="tbl_prod_gas23" displayName="tbl_prod_gas23" ref="A1:BJ50" totalsRowShown="0" headerRowDxfId="127" dataDxfId="126">
  <autoFilter ref="A1:BJ50" xr:uid="{F3B5FD60-3EF6-4239-90D9-138C2E5C0533}"/>
  <tableColumns count="62">
    <tableColumn id="1" xr3:uid="{91F76BF1-540A-4C13-AB04-84FE29FD0E17}" name="Year" dataDxfId="125"/>
    <tableColumn id="2" xr3:uid="{D9F6EE71-7437-4E7C-9DEC-99124E67D4D9}" name="Gas Production (BSCF)" dataDxfId="124"/>
    <tableColumn id="3" xr3:uid="{62DBACD7-E19F-42B5-936D-7122764553B9}" name="GSA 1 Volume (BSCF)" dataDxfId="123"/>
    <tableColumn id="4" xr3:uid="{7D180E40-B2FB-4BEC-9324-AD3F061FCC13}" name="GSA 1 GHV (BTU/SCF)" dataDxfId="122"/>
    <tableColumn id="5" xr3:uid="{5BE97B23-F7C0-4853-9ACB-DEFA30E56B63}" name="GSA 1 Price (USD/MMBTU)" dataDxfId="121"/>
    <tableColumn id="6" xr3:uid="{C55C6E45-5EB9-4E33-B269-2098E3A0D671}" name="GSA 2 Volume (BSCF)" dataDxfId="120"/>
    <tableColumn id="7" xr3:uid="{9D0B7F45-C15B-4E5E-B9CD-4507F64A4007}" name="GSA 2 GHV (BTU/SCF)" dataDxfId="119"/>
    <tableColumn id="8" xr3:uid="{ECBF929C-D822-4628-8995-7667FD1A626B}" name="GSA 2 Price (USD/MMBTU)" dataDxfId="118"/>
    <tableColumn id="9" xr3:uid="{BE58CFF7-E9B8-4A46-B14E-5242DBEBB5C1}" name="GSA 3 Volume (BSCF)" dataDxfId="117"/>
    <tableColumn id="10" xr3:uid="{73764A57-5C37-4126-B3A5-83B007E91C3E}" name="GSA 3 GHV (BTU/SCF)" dataDxfId="116"/>
    <tableColumn id="11" xr3:uid="{736E4507-8DE7-4C62-ABA9-CF1BA6A1EE9D}" name="GSA 3 Price (USD/MMBTU)" dataDxfId="115"/>
    <tableColumn id="12" xr3:uid="{41F6D6A3-EA7E-4681-AD83-D827B0026893}" name="GSA 4 Volume (BSCF)" dataDxfId="114"/>
    <tableColumn id="13" xr3:uid="{DBB62FED-025D-4B8F-84E8-88439DB28E1E}" name="GSA 4 GHV (BTU/SCF)" dataDxfId="113"/>
    <tableColumn id="14" xr3:uid="{0C8B29EE-CB2C-42EE-A17E-36339AA4B65C}" name="GSA 4 Price (USD/MMBTU)" dataDxfId="112"/>
    <tableColumn id="15" xr3:uid="{5E9EB48F-C5A1-4197-84C9-0ED78587684B}" name="GSA 5 Volume (BSCF)" dataDxfId="111"/>
    <tableColumn id="16" xr3:uid="{F92992B4-595B-4F28-9A3D-95AAF3CA1FEA}" name="GSA 5 GHV (BTU/SCF)" dataDxfId="110"/>
    <tableColumn id="17" xr3:uid="{03E3E17E-E69E-4DE4-8442-EF74B3774FC1}" name="GSA 5 Price (USD/MMBTU)" dataDxfId="109"/>
    <tableColumn id="18" xr3:uid="{6B4CD7BB-E1FC-42EE-91A7-06F54EBC5AAB}" name="GSA 6 Volume (BSCF)5" dataDxfId="108"/>
    <tableColumn id="19" xr3:uid="{36C41D11-7A6F-4D82-9AC1-A9740375D2C3}" name="GSA 6 GHV (BTU/SCF)" dataDxfId="107"/>
    <tableColumn id="20" xr3:uid="{62116388-B732-44C4-88A1-83647AE7DA33}" name="GSA 6 Price (USD/MMBTU)" dataDxfId="106"/>
    <tableColumn id="21" xr3:uid="{06EBE43F-0F55-4A41-9290-364802346E90}" name="GSA 7 Volume (BSCF)" dataDxfId="105"/>
    <tableColumn id="22" xr3:uid="{98B4591A-8D02-4327-870E-CB601BE70C7C}" name="GSA 7 GHV (BTU/SCF)" dataDxfId="104"/>
    <tableColumn id="23" xr3:uid="{C8A5C0C8-3786-4BDE-AB9A-BA20B44E97C1}" name="GSA 7 Price (USD/MMBTU)" dataDxfId="103"/>
    <tableColumn id="24" xr3:uid="{46A207CD-E315-4FA7-95A7-CDE948141491}" name="GSA 8 Volume (BSCF)" dataDxfId="102"/>
    <tableColumn id="25" xr3:uid="{247867C1-360B-4A38-9EF9-5DC342192162}" name="GSA 8 GHV (BTU/SCF)" dataDxfId="101"/>
    <tableColumn id="26" xr3:uid="{BF8D9D3D-A8ED-4682-83F2-333B3E1609AD}" name="GSA 8 Price (USD/MMBTU)" dataDxfId="100"/>
    <tableColumn id="27" xr3:uid="{F9123672-B8D1-47E5-828B-239D7AE806EE}" name="GSA 9 Volume (BSCF)" dataDxfId="99"/>
    <tableColumn id="28" xr3:uid="{15C6B549-FECB-4352-B72D-3262D07F5F7D}" name="GSA 9 GHV (BTU/SCF)" dataDxfId="98"/>
    <tableColumn id="29" xr3:uid="{5D35E705-9AFB-4839-80A2-11B4DAC4F575}" name="GSA 9 Price (USD/MMBTU)" dataDxfId="97"/>
    <tableColumn id="30" xr3:uid="{ADFB4ED2-5E8C-4D47-ACA8-9E01D922BAB3}" name="GSA 10 Volume (BSCF)" dataDxfId="96"/>
    <tableColumn id="31" xr3:uid="{6DA9C2B8-FC4E-4CDD-8844-7069929DECFD}" name="GSA 10 GHV (BTU/SCF)" dataDxfId="95"/>
    <tableColumn id="32" xr3:uid="{4B89082A-8DB1-47BF-8B0E-2AC0CBE2C237}" name="GSA 10 Price (USD/MMBTU)" dataDxfId="94"/>
    <tableColumn id="33" xr3:uid="{B53F75E6-FD78-4370-9EBC-31EA967F872E}" name="GSA 11 Volume (BSCF)" dataDxfId="93"/>
    <tableColumn id="34" xr3:uid="{4EAE6FF1-792B-4717-BC13-6D46F0D55F9C}" name="GSA 11 GHV (BTU/SCF)" dataDxfId="92"/>
    <tableColumn id="35" xr3:uid="{7786C3B9-44E0-48C5-AABD-87BFE07D3A03}" name="GSA 11 Price (USD/MMBTU)" dataDxfId="91"/>
    <tableColumn id="36" xr3:uid="{E9E8A0BD-F06E-40DF-B1A6-4AB26722C9C9}" name="GSA 12 Volume (BSCF)" dataDxfId="90"/>
    <tableColumn id="37" xr3:uid="{3B52F3AB-B8D1-4054-A767-1528129B9A60}" name="GSA 12 GHV (BTU/SCF)" dataDxfId="89"/>
    <tableColumn id="38" xr3:uid="{463DC85F-BEAB-4087-B0E9-C1013DA96D86}" name="GSA 12 Price (USD/MMBTU)" dataDxfId="88"/>
    <tableColumn id="39" xr3:uid="{8590DAB6-BF75-4C0C-B121-7E0319E63BBF}" name="GSA 13 Volume (BSCF)5" dataDxfId="87"/>
    <tableColumn id="40" xr3:uid="{EBFE1596-9929-46BD-BA8F-0A4D13314050}" name="GSA 13 GHV (BTU/SCF)" dataDxfId="86"/>
    <tableColumn id="41" xr3:uid="{D7139616-1AF0-4870-951E-FE50F5AA8A88}" name="GSA 13 Price (USD/MMBTU)" dataDxfId="85"/>
    <tableColumn id="42" xr3:uid="{C8B2EA23-F332-40B7-A181-90C5A0504146}" name="GSA 14 Volume (BSCF)" dataDxfId="84"/>
    <tableColumn id="43" xr3:uid="{A7C24C52-C638-4B84-A9A3-38CE236D186D}" name="GSA 14 GHV (BTU/SCF)" dataDxfId="83"/>
    <tableColumn id="44" xr3:uid="{C3D509ED-A8C7-4F14-9F4B-28DA0B5699A1}" name="GSA 14 Price (USD/MMBTU)" dataDxfId="82"/>
    <tableColumn id="45" xr3:uid="{7FC5362D-D4FE-4085-89ED-813EE0636297}" name="GSA 15 Volume (BSCF)" dataDxfId="81"/>
    <tableColumn id="46" xr3:uid="{CFE730D7-8186-4F98-ACCA-BF294E80D993}" name="GSA 15 GHV (BTU/SCF)" dataDxfId="80"/>
    <tableColumn id="47" xr3:uid="{CDC16C37-28AF-4314-84EC-AE40762C7974}" name="GSA 15 Price (USD/MMBTU)" dataDxfId="79"/>
    <tableColumn id="48" xr3:uid="{6349F45C-2A97-4FB9-8F10-C88E14656AC8}" name="GSA 16 Volume (BSCF)" dataDxfId="78"/>
    <tableColumn id="49" xr3:uid="{6FF8BFD3-954A-407D-BE59-9F0E509C67BA}" name="GSA 16 GHV (BTU/SCF)" dataDxfId="77"/>
    <tableColumn id="50" xr3:uid="{406FDB94-8F9B-4FED-8DCC-CEAB05ED85EE}" name="GSA 16 Price (USD/MMBTU)" dataDxfId="76"/>
    <tableColumn id="51" xr3:uid="{41C83CD1-40B9-4FEA-82BF-C346ABAB1B10}" name="GSA 17 Volume (BSCF)" dataDxfId="75"/>
    <tableColumn id="52" xr3:uid="{CE20447E-E992-4F48-BADC-61252CCE07B6}" name="GSA 17 GHV (BTU/SCF)" dataDxfId="74"/>
    <tableColumn id="53" xr3:uid="{744D0192-2D1F-4163-9A5B-C460B0779BD9}" name="GSA 17 Price (USD/MMBTU)" dataDxfId="73"/>
    <tableColumn id="62" xr3:uid="{3769D2A8-C354-4CA1-9FEF-28E382254DBC}" name="GSA 18 Volume (BSCF)" dataDxfId="72"/>
    <tableColumn id="61" xr3:uid="{11A3B7BC-E756-402F-BA96-D15BD6483C80}" name="GSA 18 GHV (BTU/SCF)" dataDxfId="71"/>
    <tableColumn id="60" xr3:uid="{A7A6E3B9-DDCE-41F1-9114-9AF728E8F38E}" name="GSA 18 Price (USD/MMBTU)" dataDxfId="70"/>
    <tableColumn id="54" xr3:uid="{AC492F04-AE62-4C7C-A722-71BAFB0B48B3}" name="GSA 19 Volume (BSCF)" dataDxfId="69"/>
    <tableColumn id="55" xr3:uid="{B548627A-CE81-4181-8EE2-7E10257DAF25}" name="GSA 19 GHV (BTU/SCF)" dataDxfId="68"/>
    <tableColumn id="56" xr3:uid="{F9C11EF8-2F02-4C89-ABBA-4B0B9F675D0E}" name="GSA 19 Price (USD/MMBTU)" dataDxfId="67"/>
    <tableColumn id="57" xr3:uid="{8AA23B23-B147-4089-A690-75C2DEEE160A}" name="GSA 20 Volume (BSCF)5" dataDxfId="66"/>
    <tableColumn id="58" xr3:uid="{1DEF3369-6F98-44C1-BFFF-B3CBF40230BE}" name="GSA 20 GHV (BTU/SCF)" dataDxfId="65"/>
    <tableColumn id="59" xr3:uid="{90A1BFD1-BA24-424B-8A0D-D82717237911}" name="GSA 20 Price (USD/MMBTU)" dataDxfId="64"/>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5391C43-7C20-44A1-ADAC-E62C1B14CF06}" name="tbl_prod_gas24" displayName="tbl_prod_gas24" ref="A1:BJ50" totalsRowShown="0" headerRowDxfId="63" dataDxfId="62">
  <autoFilter ref="A1:BJ50" xr:uid="{F3B5FD60-3EF6-4239-90D9-138C2E5C0533}"/>
  <tableColumns count="62">
    <tableColumn id="1" xr3:uid="{27B4789F-935E-4743-BE03-8444F8B4097A}" name="Year" dataDxfId="61"/>
    <tableColumn id="2" xr3:uid="{C154FC7B-4DE6-4EFF-9531-9CC7EC41340B}" name="Gas Production (BSCF)" dataDxfId="60"/>
    <tableColumn id="3" xr3:uid="{E7059A61-8991-45FA-8330-AD42C9DC9F2D}" name="GSA 1 Volume (BSCF)" dataDxfId="59"/>
    <tableColumn id="4" xr3:uid="{1D287C6F-D7DC-4A2D-8DA0-724E82C65323}" name="GSA 1 GHV (BTU/SCF)" dataDxfId="58"/>
    <tableColumn id="5" xr3:uid="{201B36A7-54D4-4FF0-AB7D-8EA8CBA7879B}" name="GSA 1 Price (USD/MMBTU)" dataDxfId="57"/>
    <tableColumn id="6" xr3:uid="{318E8264-F4F0-4EE8-AA90-28EDDE94465A}" name="GSA 2 Volume (BSCF)" dataDxfId="56"/>
    <tableColumn id="7" xr3:uid="{57F6AFD9-0886-4155-A5C7-CC539DECAB53}" name="GSA 2 GHV (BTU/SCF)" dataDxfId="55"/>
    <tableColumn id="8" xr3:uid="{EEDCF571-122A-4D48-8F32-EFB1EC8525DE}" name="GSA 2 Price (USD/MMBTU)" dataDxfId="54"/>
    <tableColumn id="9" xr3:uid="{63AA9E3B-5D3D-43F8-9398-F3F0E59FD0E3}" name="GSA 3 Volume (BSCF)" dataDxfId="53"/>
    <tableColumn id="10" xr3:uid="{5D417337-4F81-4213-9AD4-9BF38FB74EBE}" name="GSA 3 GHV (BTU/SCF)" dataDxfId="52"/>
    <tableColumn id="11" xr3:uid="{CF8DDA77-2BCD-472C-B037-231AC5516F54}" name="GSA 3 Price (USD/MMBTU)" dataDxfId="51"/>
    <tableColumn id="12" xr3:uid="{923E37E4-7D77-4E55-ADEA-33FA6B346C18}" name="GSA 4 Volume (BSCF)" dataDxfId="50"/>
    <tableColumn id="13" xr3:uid="{B50CC61F-DFFA-4A96-A360-6FA3146F0ED4}" name="GSA 4 GHV (BTU/SCF)" dataDxfId="49"/>
    <tableColumn id="14" xr3:uid="{D86C45A5-8741-4E66-96FB-FB8AE42DCBC0}" name="GSA 4 Price (USD/MMBTU)" dataDxfId="48"/>
    <tableColumn id="15" xr3:uid="{207CA12A-BF77-40B5-B119-A53D23930E8B}" name="GSA 5 Volume (BSCF)" dataDxfId="47"/>
    <tableColumn id="16" xr3:uid="{EC1AAF38-C147-4E07-A3B0-7228A3898244}" name="GSA 5 GHV (BTU/SCF)" dataDxfId="46"/>
    <tableColumn id="17" xr3:uid="{46525282-24B1-4F16-9405-1B201350FF58}" name="GSA 5 Price (USD/MMBTU)" dataDxfId="45"/>
    <tableColumn id="18" xr3:uid="{F82D3E28-2916-4E79-AEA2-6966D0714237}" name="GSA 6 Volume (BSCF)5" dataDxfId="44"/>
    <tableColumn id="19" xr3:uid="{66DEC98A-1817-4B5C-A1F4-3B104E76AADF}" name="GSA 6 GHV (BTU/SCF)" dataDxfId="43"/>
    <tableColumn id="20" xr3:uid="{C8C37E08-9CF8-4AEA-9F70-E94912612BD8}" name="GSA 6 Price (USD/MMBTU)" dataDxfId="42"/>
    <tableColumn id="21" xr3:uid="{BF6DC4ED-0C53-4991-96AB-6AFBB479715D}" name="GSA 7 Volume (BSCF)" dataDxfId="41"/>
    <tableColumn id="22" xr3:uid="{725E0278-EDE9-4183-A1CF-5944CEE26B90}" name="GSA 7 GHV (BTU/SCF)" dataDxfId="40"/>
    <tableColumn id="23" xr3:uid="{C67C8051-897B-49F1-987C-F8FB7A66AE8E}" name="GSA 7 Price (USD/MMBTU)" dataDxfId="39"/>
    <tableColumn id="24" xr3:uid="{51CF17FA-3FCE-45D2-B628-C72E94612BE7}" name="GSA 8 Volume (BSCF)" dataDxfId="38"/>
    <tableColumn id="25" xr3:uid="{1949439C-10ED-4EB3-9EE7-5C01BBD147CF}" name="GSA 8 GHV (BTU/SCF)" dataDxfId="37"/>
    <tableColumn id="26" xr3:uid="{13953314-9FE4-4FA7-BD28-2BE4B1C06897}" name="GSA 8 Price (USD/MMBTU)" dataDxfId="36"/>
    <tableColumn id="27" xr3:uid="{DDE2BD12-020D-4CEF-9264-3BB85E081E5D}" name="GSA 9 Volume (BSCF)" dataDxfId="35"/>
    <tableColumn id="28" xr3:uid="{14E49CAC-FEEA-4997-8EC5-A31889AEF8A3}" name="GSA 9 GHV (BTU/SCF)" dataDxfId="34"/>
    <tableColumn id="29" xr3:uid="{1C367784-0150-42BD-AD91-EC651411C2CD}" name="GSA 9 Price (USD/MMBTU)" dataDxfId="33"/>
    <tableColumn id="30" xr3:uid="{E1DE65FF-3E99-43C4-A250-AE6BA75CF68B}" name="GSA 10 Volume (BSCF)" dataDxfId="32"/>
    <tableColumn id="31" xr3:uid="{B9B62566-9503-4D3B-9BED-44759AB053BB}" name="GSA 10 GHV (BTU/SCF)" dataDxfId="31"/>
    <tableColumn id="32" xr3:uid="{F0DAE87D-A1F2-4D8B-87E2-A951BB87C022}" name="GSA 10 Price (USD/MMBTU)" dataDxfId="30"/>
    <tableColumn id="33" xr3:uid="{067EED94-8ED9-4FFB-806A-F5D9F7DB0EA2}" name="GSA 11 Volume (BSCF)" dataDxfId="29"/>
    <tableColumn id="34" xr3:uid="{A185ABC3-30FB-4A64-BF2A-B7279D03470E}" name="GSA 11 GHV (BTU/SCF)" dataDxfId="28"/>
    <tableColumn id="35" xr3:uid="{56530998-7401-4A64-997D-9D5544583DBE}" name="GSA 11 Price (USD/MMBTU)" dataDxfId="27"/>
    <tableColumn id="36" xr3:uid="{CD21BCEF-6DAE-442A-AF4E-2150063CB918}" name="GSA 12 Volume (BSCF)" dataDxfId="26"/>
    <tableColumn id="37" xr3:uid="{69596467-5A0A-4CEE-9170-D88801583CF6}" name="GSA 12 GHV (BTU/SCF)" dataDxfId="25"/>
    <tableColumn id="38" xr3:uid="{6A335574-AA9B-4BB1-B76B-900720C00FAC}" name="GSA 12 Price (USD/MMBTU)" dataDxfId="24"/>
    <tableColumn id="39" xr3:uid="{116BC520-B96F-47B1-BEF9-86F43BC5F7E7}" name="GSA 13 Volume (BSCF)5" dataDxfId="23"/>
    <tableColumn id="40" xr3:uid="{2E2C0D8F-D60D-48D0-88B6-B11FE77FAF88}" name="GSA 13 GHV (BTU/SCF)" dataDxfId="22"/>
    <tableColumn id="41" xr3:uid="{7622F402-9019-44AA-AA9B-FD83535F1C63}" name="GSA 13 Price (USD/MMBTU)" dataDxfId="21"/>
    <tableColumn id="42" xr3:uid="{6D96B7B6-D582-4A54-BC47-F65CCEFEC0B5}" name="GSA 14 Volume (BSCF)" dataDxfId="20"/>
    <tableColumn id="43" xr3:uid="{5FD5ED31-7BA4-4B22-A58B-8D381BB12E1F}" name="GSA 14 GHV (BTU/SCF)" dataDxfId="19"/>
    <tableColumn id="44" xr3:uid="{F72056A6-FE25-4D69-99F3-25E940C33164}" name="GSA 14 Price (USD/MMBTU)" dataDxfId="18"/>
    <tableColumn id="45" xr3:uid="{7B54F35E-00E7-4222-B8AF-346AB58AC689}" name="GSA 15 Volume (BSCF)" dataDxfId="17"/>
    <tableColumn id="46" xr3:uid="{543FB211-6B17-4C0A-9F23-0959A7BB3570}" name="GSA 15 GHV (BTU/SCF)" dataDxfId="16"/>
    <tableColumn id="47" xr3:uid="{833998E0-125A-4B63-85B3-F7051BC0A785}" name="GSA 15 Price (USD/MMBTU)" dataDxfId="15"/>
    <tableColumn id="48" xr3:uid="{441F02F8-C1BC-4760-A699-2C966C63601A}" name="GSA 16 Volume (BSCF)" dataDxfId="14"/>
    <tableColumn id="49" xr3:uid="{AC0BF2DF-968D-49A7-835C-926FBEF7187C}" name="GSA 16 GHV (BTU/SCF)" dataDxfId="13"/>
    <tableColumn id="50" xr3:uid="{07473AD7-F4D3-43E4-A7E7-8414901E1152}" name="GSA 16 Price (USD/MMBTU)" dataDxfId="12"/>
    <tableColumn id="51" xr3:uid="{1EAD8468-6914-4C59-9CE4-7D51BD0CE43F}" name="GSA 17 Volume (BSCF)" dataDxfId="11"/>
    <tableColumn id="52" xr3:uid="{AD0989BF-B10A-41A8-B694-A6C284C520E7}" name="GSA 17 GHV (BTU/SCF)" dataDxfId="10"/>
    <tableColumn id="53" xr3:uid="{64EF8DB3-8DD4-4EA8-ABFD-6C8ACABFA7B5}" name="GSA 17 Price (USD/MMBTU)" dataDxfId="9"/>
    <tableColumn id="62" xr3:uid="{E6C31CF2-22C8-4DEA-A65F-937ADFD77BFB}" name="GSA 18 Volume (BSCF)" dataDxfId="8"/>
    <tableColumn id="61" xr3:uid="{D50684D3-65F7-47A4-A2E7-9BF177CA0F36}" name="GSA 18 GHV (BTU/SCF)" dataDxfId="7"/>
    <tableColumn id="60" xr3:uid="{9D8E5B54-6D5B-47F1-A0DC-4D98449610C5}" name="GSA 18 Price (USD/MMBTU)" dataDxfId="6"/>
    <tableColumn id="54" xr3:uid="{A6350C5E-702E-44A6-9578-AEDE785BBB83}" name="GSA 19 Volume (BSCF)" dataDxfId="5"/>
    <tableColumn id="55" xr3:uid="{75979C38-8DA9-4356-8286-604B349A4427}" name="GSA 19 GHV (BTU/SCF)" dataDxfId="4"/>
    <tableColumn id="56" xr3:uid="{EE925256-5390-4B07-9E14-F596E1CC798F}" name="GSA 19 Price (USD/MMBTU)" dataDxfId="3"/>
    <tableColumn id="57" xr3:uid="{EC644AB3-46CF-4693-B4F4-33D8DC6846F3}" name="GSA 20 Volume (BSCF)5" dataDxfId="2"/>
    <tableColumn id="58" xr3:uid="{7355F31A-A319-4426-AD88-336ECAC760F9}" name="GSA 20 GHV (BTU/SCF)" dataDxfId="1"/>
    <tableColumn id="59" xr3:uid="{78964CA2-02CD-4FA9-A1E3-775360C6AA07}" name="GSA 20 Price (USD/MMBTU)" dataDxfId="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172" dataDxfId="171">
  <autoFilter ref="A1:K200" xr:uid="{7C91890B-09E6-4AFA-B40C-6F75BB3A42FE}"/>
  <tableColumns count="11">
    <tableColumn id="1" xr3:uid="{C5E29AD2-AE25-44BD-901B-58F05DE5E702}" name="Year" dataDxfId="170"/>
    <tableColumn id="3" xr3:uid="{34B633CC-B7D2-4E02-B4C0-6546AED90ECD}" name="Associated With" dataDxfId="169"/>
    <tableColumn id="4" xr3:uid="{15363438-3001-44B3-BFFB-44F0E337DA0F}" name="Cost (MUSD)" dataDxfId="168"/>
    <tableColumn id="5" xr3:uid="{26A9C678-E732-4913-AC99-C95C83093FA8}" name="PIS Year" dataDxfId="167"/>
    <tableColumn id="8" xr3:uid="{7364EFAD-EAA4-45EB-8863-C84BB6B52FCF}" name="Useful Life (Years)" dataDxfId="166"/>
    <tableColumn id="9" xr3:uid="{7894BF9B-F0BD-4BFE-BFA3-3BE9D613C40A}" name="Depreciation Factor" dataDxfId="165"/>
    <tableColumn id="11" xr3:uid="{3328797F-722A-43DE-B743-779488C03E40}" name="Salvage Value" dataDxfId="164"/>
    <tableColumn id="10" xr3:uid="{88614DD2-0187-4679-A89D-61C72EA94D65}" name="Applied By IC" dataDxfId="163"/>
    <tableColumn id="6" xr3:uid="{A9867297-A677-4A93-9B0F-A32163B58107}" name="VAT Portion" dataDxfId="162"/>
    <tableColumn id="12" xr3:uid="{E4597EDC-E479-4B07-9316-B7D3C15AAE4C}" name="LBT Portion" dataDxfId="161"/>
    <tableColumn id="7" xr3:uid="{E6363697-EFAA-4A7E-A486-8D9583D38261}" name="Description" dataDxfId="160"/>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59" dataDxfId="158">
  <autoFilter ref="A1:F200" xr:uid="{7C91890B-09E6-4AFA-B40C-6F75BB3A42FE}"/>
  <tableColumns count="6">
    <tableColumn id="1" xr3:uid="{EA9912A2-FB4D-4FF7-8E68-51936E856411}" name="Year" dataDxfId="157"/>
    <tableColumn id="3" xr3:uid="{1CE8F2C7-DD5F-4DEA-9086-BF2335D1081C}" name="Associated With" dataDxfId="156"/>
    <tableColumn id="4" xr3:uid="{7E00D1F9-CE30-44EC-8013-F359F8BB7526}" name="Cost (MUSD)" dataDxfId="155"/>
    <tableColumn id="6" xr3:uid="{6AA0DA30-A6A0-4F5A-8A9D-599F23F31F9A}" name="VAT Portion" dataDxfId="154"/>
    <tableColumn id="2" xr3:uid="{20C207BB-9D25-48F4-A557-2DE98DC86DE2}" name="LBT Portion" dataDxfId="153"/>
    <tableColumn id="7" xr3:uid="{88C69571-67EC-47E5-9D42-08FE1421FD7B}" name="Description" dataDxfId="152"/>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51" dataDxfId="150">
  <autoFilter ref="A1:H200" xr:uid="{7C91890B-09E6-4AFA-B40C-6F75BB3A42FE}"/>
  <tableColumns count="8">
    <tableColumn id="1" xr3:uid="{AC895082-1EAA-441F-8FD0-34C18A1CB089}" name="Year" dataDxfId="149"/>
    <tableColumn id="3" xr3:uid="{FE660166-2BA0-42A0-937E-5DBF97CED42C}" name="Associated With" dataDxfId="148"/>
    <tableColumn id="4" xr3:uid="{C739732C-69FF-4102-B6A2-101C10C34836}" name="Fixed Cost (MUSD)" dataDxfId="147"/>
    <tableColumn id="5" xr3:uid="{67A869D6-1E1C-47FA-9CB2-B9EBAB8A9115}" name="Production Rate" dataDxfId="146"/>
    <tableColumn id="8" xr3:uid="{45C3823F-84A4-4F62-A0A4-DA263536063F}" name="Cost Per Production Volume" dataDxfId="145"/>
    <tableColumn id="6" xr3:uid="{1A0F968A-3852-413A-94F7-58572EA4EED6}" name="VAT Portion" dataDxfId="144"/>
    <tableColumn id="2" xr3:uid="{3BE87D45-FDD7-4B44-8923-9B29FC792264}" name="LBT Portion" dataDxfId="143"/>
    <tableColumn id="7" xr3:uid="{4719FAF0-B894-4DE5-830E-BDF8B52BACBC}" name="Description" dataDxfId="142"/>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141" dataDxfId="140">
  <autoFilter ref="A1:E200" xr:uid="{7C91890B-09E6-4AFA-B40C-6F75BB3A42FE}"/>
  <tableColumns count="5">
    <tableColumn id="1" xr3:uid="{D90C6F3C-116C-43AA-9F64-E2131D95E5C5}" name="Year" dataDxfId="139"/>
    <tableColumn id="3" xr3:uid="{9372B980-5592-43DD-ACB0-807DB4570841}" name="Associated With" dataDxfId="138"/>
    <tableColumn id="4" xr3:uid="{206A9B04-1A88-477A-8F64-4C0F0E3C5733}" name="Cost (MUSD)" dataDxfId="137"/>
    <tableColumn id="6" xr3:uid="{6949DE12-A1F2-402E-AD64-B2E62B7B03B0}" name="PPN Portion" dataDxfId="136"/>
    <tableColumn id="7" xr3:uid="{409BC20B-C4FF-4632-A019-CE1FBF972D05}" name="Description" dataDxfId="135"/>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5:B17"/>
    <mergeCell ref="B18:B19"/>
    <mergeCell ref="B20:B21"/>
    <mergeCell ref="B22:B30"/>
    <mergeCell ref="B31:B37"/>
    <mergeCell ref="B12:B14"/>
    <mergeCell ref="B2:B4"/>
    <mergeCell ref="C2:C4"/>
    <mergeCell ref="D2:D4"/>
    <mergeCell ref="E2:E4"/>
    <mergeCell ref="B8:B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zoomScale="120" zoomScaleNormal="120" workbookViewId="0">
      <selection activeCell="G16" sqref="G1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x14ac:dyDescent="0.25">
      <c r="B9" t="s">
        <v>102</v>
      </c>
      <c r="C9" s="81"/>
      <c r="D9" s="82"/>
      <c r="E9" s="83"/>
    </row>
    <row r="10" spans="1:9" x14ac:dyDescent="0.25">
      <c r="B10" s="44" t="s">
        <v>103</v>
      </c>
      <c r="C10" s="45"/>
      <c r="D10" s="47">
        <v>2</v>
      </c>
      <c r="E10" s="46"/>
    </row>
    <row r="11" spans="1:9" x14ac:dyDescent="0.25">
      <c r="B11" s="44"/>
      <c r="C11" s="45"/>
      <c r="D11" s="47">
        <v>3</v>
      </c>
      <c r="E11" s="46"/>
      <c r="G11" s="64" t="s">
        <v>260</v>
      </c>
      <c r="H11" s="63">
        <v>4</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104">
        <v>0.26</v>
      </c>
      <c r="D17" s="105"/>
      <c r="E17" s="106"/>
    </row>
    <row r="18" spans="2:5" x14ac:dyDescent="0.25">
      <c r="B18" t="s">
        <v>276</v>
      </c>
      <c r="C18" s="104">
        <v>0</v>
      </c>
      <c r="D18" s="105"/>
      <c r="E18" s="10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23" sqref="C2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tabSelected="1" workbookViewId="0">
      <pane xSplit="1" topLeftCell="B1" activePane="topRight" state="frozen"/>
      <selection activeCell="D21" sqref="D21"/>
      <selection pane="topRight" activeCell="D17" sqref="D17"/>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2">
    <dataValidation type="decimal" operator="greaterThan" allowBlank="1" showInputMessage="1" showErrorMessage="1" errorTitle="Data Type Error" error="Should be Number not Text." sqref="B2: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34DE1-C5DB-425D-9978-6B687AA2CD4C}">
  <sheetPr codeName="Sheet22">
    <tabColor theme="7" tint="0.39997558519241921"/>
  </sheetPr>
  <dimension ref="A1:E50"/>
  <sheetViews>
    <sheetView workbookViewId="0">
      <pane xSplit="1" topLeftCell="B1" activePane="topRight" state="frozen"/>
      <selection activeCell="D21" sqref="D21"/>
      <selection pane="topRight"/>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2">
    <dataValidation type="whole" operator="greaterThan" allowBlank="1" showInputMessage="1" showErrorMessage="1" errorTitle="Data Type Error" error="Should be Number not Text." sqref="A2:A1048576" xr:uid="{E96D53A9-55AB-40FF-9F9D-27925222FB4D}">
      <formula1>0</formula1>
    </dataValidation>
    <dataValidation type="decimal" operator="greaterThan" allowBlank="1" showInputMessage="1" showErrorMessage="1" errorTitle="Data Type Error" error="Should be Number not Text." sqref="B2:E1048576" xr:uid="{494B86C8-ECC6-47CE-8009-05066C53C03F}">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topLeftCell="A7" workbookViewId="0">
      <selection activeCell="C14" sqref="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x14ac:dyDescent="0.25">
      <c r="A23" s="9" t="s">
        <v>107</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row r="33" spans="2:8" ht="15" hidden="1" x14ac:dyDescent="0.25">
      <c r="B33" s="92" t="s">
        <v>91</v>
      </c>
      <c r="C33" s="92"/>
      <c r="D33" s="92"/>
      <c r="F33" s="92" t="s">
        <v>98</v>
      </c>
      <c r="G33" s="92"/>
      <c r="H33" s="92"/>
    </row>
    <row r="34" spans="2:8" ht="15" hidden="1" x14ac:dyDescent="0.25">
      <c r="B34" s="15" t="s">
        <v>50</v>
      </c>
      <c r="C34" s="15" t="s">
        <v>51</v>
      </c>
      <c r="D34" s="19" t="s">
        <v>77</v>
      </c>
      <c r="F34" s="15" t="s">
        <v>50</v>
      </c>
      <c r="G34" s="15" t="s">
        <v>51</v>
      </c>
      <c r="H34" s="19" t="s">
        <v>77</v>
      </c>
    </row>
    <row r="35" spans="2:8" ht="15" hidden="1" x14ac:dyDescent="0.25">
      <c r="B35" s="87" t="s">
        <v>37</v>
      </c>
      <c r="C35" s="16" t="s">
        <v>52</v>
      </c>
      <c r="D35" s="21">
        <v>5</v>
      </c>
      <c r="F35" s="87" t="s">
        <v>37</v>
      </c>
      <c r="G35" s="16" t="s">
        <v>52</v>
      </c>
      <c r="H35" s="21">
        <v>5</v>
      </c>
    </row>
    <row r="36" spans="2:8" ht="15" hidden="1" x14ac:dyDescent="0.25">
      <c r="B36" s="93"/>
      <c r="C36" s="16" t="s">
        <v>53</v>
      </c>
      <c r="D36" s="21">
        <v>0</v>
      </c>
      <c r="F36" s="93"/>
      <c r="G36" s="16" t="s">
        <v>53</v>
      </c>
      <c r="H36" s="21">
        <v>3</v>
      </c>
    </row>
    <row r="37" spans="2:8" ht="15" hidden="1" x14ac:dyDescent="0.25">
      <c r="B37" s="93"/>
      <c r="C37" s="17" t="s">
        <v>76</v>
      </c>
      <c r="D37" s="21">
        <v>0</v>
      </c>
      <c r="F37" s="93"/>
      <c r="G37" s="17" t="s">
        <v>29</v>
      </c>
      <c r="H37" s="21">
        <v>0</v>
      </c>
    </row>
    <row r="38" spans="2:8" ht="15" hidden="1" x14ac:dyDescent="0.25">
      <c r="B38" s="88"/>
      <c r="C38" s="20" t="s">
        <v>29</v>
      </c>
      <c r="D38" s="21">
        <v>-5</v>
      </c>
      <c r="F38" s="88"/>
      <c r="G38" s="19" t="s">
        <v>97</v>
      </c>
      <c r="H38" s="21" t="s">
        <v>97</v>
      </c>
    </row>
    <row r="39" spans="2:8" ht="14.45" hidden="1" customHeight="1" x14ac:dyDescent="0.25">
      <c r="B39" s="87" t="s">
        <v>61</v>
      </c>
      <c r="C39" s="17" t="s">
        <v>30</v>
      </c>
      <c r="D39" s="21">
        <v>0</v>
      </c>
      <c r="F39" s="87" t="s">
        <v>61</v>
      </c>
      <c r="G39" s="17" t="s">
        <v>30</v>
      </c>
      <c r="H39" s="21">
        <v>0</v>
      </c>
    </row>
    <row r="40" spans="2:8" ht="15" hidden="1" x14ac:dyDescent="0.25">
      <c r="B40" s="93"/>
      <c r="C40" s="17" t="s">
        <v>70</v>
      </c>
      <c r="D40" s="21">
        <v>8</v>
      </c>
      <c r="F40" s="93"/>
      <c r="G40" s="17" t="s">
        <v>70</v>
      </c>
      <c r="H40" s="21">
        <v>8</v>
      </c>
    </row>
    <row r="41" spans="2:8" ht="15" hidden="1" x14ac:dyDescent="0.25">
      <c r="B41" s="93"/>
      <c r="C41" s="17" t="s">
        <v>71</v>
      </c>
      <c r="D41" s="21">
        <v>10</v>
      </c>
      <c r="F41" s="93"/>
      <c r="G41" s="17" t="s">
        <v>71</v>
      </c>
      <c r="H41" s="21">
        <v>10</v>
      </c>
    </row>
    <row r="42" spans="2:8" ht="15" hidden="1" x14ac:dyDescent="0.25">
      <c r="B42" s="93"/>
      <c r="C42" s="17" t="s">
        <v>72</v>
      </c>
      <c r="D42" s="21">
        <v>12</v>
      </c>
      <c r="F42" s="93"/>
      <c r="G42" s="17" t="s">
        <v>72</v>
      </c>
      <c r="H42" s="21">
        <v>12</v>
      </c>
    </row>
    <row r="43" spans="2:8" ht="30" hidden="1" x14ac:dyDescent="0.25">
      <c r="B43" s="93"/>
      <c r="C43" s="17" t="s">
        <v>73</v>
      </c>
      <c r="D43" s="21">
        <v>14</v>
      </c>
      <c r="F43" s="93"/>
      <c r="G43" s="17" t="s">
        <v>73</v>
      </c>
      <c r="H43" s="21">
        <v>14</v>
      </c>
    </row>
    <row r="44" spans="2:8" ht="15" hidden="1" x14ac:dyDescent="0.25">
      <c r="B44" s="88"/>
      <c r="C44" s="17" t="s">
        <v>54</v>
      </c>
      <c r="D44" s="21">
        <v>16</v>
      </c>
      <c r="F44" s="88"/>
      <c r="G44" s="17" t="s">
        <v>54</v>
      </c>
      <c r="H44" s="21">
        <v>16</v>
      </c>
    </row>
    <row r="45" spans="2:8" ht="15" hidden="1" x14ac:dyDescent="0.25">
      <c r="B45" s="87" t="s">
        <v>39</v>
      </c>
      <c r="C45" s="17" t="s">
        <v>47</v>
      </c>
      <c r="D45" s="21">
        <v>0</v>
      </c>
      <c r="F45" s="87" t="s">
        <v>39</v>
      </c>
      <c r="G45" s="17" t="s">
        <v>47</v>
      </c>
      <c r="H45" s="21">
        <v>0</v>
      </c>
    </row>
    <row r="46" spans="2:8" ht="15" hidden="1" x14ac:dyDescent="0.25">
      <c r="B46" s="88"/>
      <c r="C46" s="18" t="s">
        <v>55</v>
      </c>
      <c r="D46" s="21">
        <v>1</v>
      </c>
      <c r="F46" s="88"/>
      <c r="G46" s="18" t="s">
        <v>55</v>
      </c>
      <c r="H46" s="21">
        <v>1</v>
      </c>
    </row>
    <row r="47" spans="2:8" ht="15" hidden="1" x14ac:dyDescent="0.25">
      <c r="B47" s="89" t="s">
        <v>40</v>
      </c>
      <c r="C47" s="18" t="s">
        <v>31</v>
      </c>
      <c r="D47" s="21">
        <v>0</v>
      </c>
      <c r="F47" s="84" t="s">
        <v>40</v>
      </c>
      <c r="G47" s="18" t="s">
        <v>31</v>
      </c>
      <c r="H47" s="21">
        <v>0</v>
      </c>
    </row>
    <row r="48" spans="2:8" ht="15" hidden="1" x14ac:dyDescent="0.25">
      <c r="B48" s="90"/>
      <c r="C48" s="18" t="s">
        <v>78</v>
      </c>
      <c r="D48" s="21">
        <v>2</v>
      </c>
      <c r="F48" s="85"/>
      <c r="G48" s="18" t="s">
        <v>56</v>
      </c>
      <c r="H48" s="21">
        <v>2</v>
      </c>
    </row>
    <row r="49" spans="2:8" ht="15" hidden="1" x14ac:dyDescent="0.25">
      <c r="B49" s="91"/>
      <c r="C49" s="19" t="s">
        <v>97</v>
      </c>
      <c r="D49" s="19" t="s">
        <v>97</v>
      </c>
      <c r="F49" s="86"/>
      <c r="G49" s="18" t="s">
        <v>57</v>
      </c>
      <c r="H49" s="21">
        <v>4</v>
      </c>
    </row>
    <row r="50" spans="2:8" ht="15" hidden="1" x14ac:dyDescent="0.25">
      <c r="B50" s="84" t="s">
        <v>41</v>
      </c>
      <c r="C50" s="18" t="s">
        <v>36</v>
      </c>
      <c r="D50" s="21">
        <v>0</v>
      </c>
      <c r="F50" s="84" t="s">
        <v>41</v>
      </c>
      <c r="G50" s="18" t="s">
        <v>36</v>
      </c>
      <c r="H50" s="21">
        <v>0</v>
      </c>
    </row>
    <row r="51" spans="2:8" ht="15" hidden="1" x14ac:dyDescent="0.25">
      <c r="B51" s="86"/>
      <c r="C51" s="18" t="s">
        <v>74</v>
      </c>
      <c r="D51" s="21">
        <v>16</v>
      </c>
      <c r="F51" s="86"/>
      <c r="G51" s="18" t="s">
        <v>74</v>
      </c>
      <c r="H51" s="21">
        <v>16</v>
      </c>
    </row>
    <row r="52" spans="2:8" ht="15" hidden="1" x14ac:dyDescent="0.25">
      <c r="B52" s="84" t="s">
        <v>44</v>
      </c>
      <c r="C52" s="18" t="s">
        <v>32</v>
      </c>
      <c r="D52" s="21">
        <v>1</v>
      </c>
      <c r="F52" s="84" t="s">
        <v>44</v>
      </c>
      <c r="G52" s="18" t="s">
        <v>32</v>
      </c>
      <c r="H52" s="21">
        <v>1</v>
      </c>
    </row>
    <row r="53" spans="2:8" ht="15" hidden="1" x14ac:dyDescent="0.25">
      <c r="B53" s="86"/>
      <c r="C53" s="18" t="s">
        <v>75</v>
      </c>
      <c r="D53" s="21">
        <v>0</v>
      </c>
      <c r="F53" s="86"/>
      <c r="G53" s="18" t="s">
        <v>75</v>
      </c>
      <c r="H53" s="21">
        <v>0</v>
      </c>
    </row>
    <row r="54" spans="2:8" ht="15" hidden="1" x14ac:dyDescent="0.25">
      <c r="B54" s="84" t="s">
        <v>62</v>
      </c>
      <c r="C54" s="18" t="s">
        <v>58</v>
      </c>
      <c r="D54" s="21">
        <v>0</v>
      </c>
      <c r="F54" s="84" t="s">
        <v>62</v>
      </c>
      <c r="G54" s="18" t="s">
        <v>58</v>
      </c>
      <c r="H54" s="21">
        <v>0</v>
      </c>
    </row>
    <row r="55" spans="2:8" ht="15" hidden="1" x14ac:dyDescent="0.25">
      <c r="B55" s="85"/>
      <c r="C55" s="18" t="s">
        <v>79</v>
      </c>
      <c r="D55" s="21">
        <v>2</v>
      </c>
      <c r="F55" s="85"/>
      <c r="G55" s="18" t="s">
        <v>79</v>
      </c>
      <c r="H55" s="21">
        <v>2</v>
      </c>
    </row>
    <row r="56" spans="2:8" ht="15" hidden="1" x14ac:dyDescent="0.25">
      <c r="B56" s="85"/>
      <c r="C56" s="18" t="s">
        <v>48</v>
      </c>
      <c r="D56" s="21">
        <v>3</v>
      </c>
      <c r="F56" s="85"/>
      <c r="G56" s="18" t="s">
        <v>48</v>
      </c>
      <c r="H56" s="21">
        <v>3</v>
      </c>
    </row>
    <row r="57" spans="2:8" ht="15" hidden="1" x14ac:dyDescent="0.25">
      <c r="B57" s="86"/>
      <c r="C57" s="18" t="s">
        <v>80</v>
      </c>
      <c r="D57" s="21">
        <v>4</v>
      </c>
      <c r="F57" s="86"/>
      <c r="G57" s="18" t="s">
        <v>80</v>
      </c>
      <c r="H57" s="21">
        <v>4</v>
      </c>
    </row>
    <row r="58" spans="2:8" ht="15" hidden="1" x14ac:dyDescent="0.25">
      <c r="B58" s="84" t="s">
        <v>28</v>
      </c>
      <c r="C58" s="18" t="s">
        <v>81</v>
      </c>
      <c r="D58" s="21">
        <v>0</v>
      </c>
      <c r="F58" s="84" t="s">
        <v>28</v>
      </c>
      <c r="G58" s="18" t="s">
        <v>59</v>
      </c>
      <c r="H58" s="21">
        <v>0</v>
      </c>
    </row>
    <row r="59" spans="2:8" ht="15" hidden="1" x14ac:dyDescent="0.25">
      <c r="B59" s="85"/>
      <c r="C59" s="18" t="s">
        <v>49</v>
      </c>
      <c r="D59" s="21">
        <v>3</v>
      </c>
      <c r="F59" s="85"/>
      <c r="G59" s="18" t="s">
        <v>33</v>
      </c>
      <c r="H59" s="21">
        <v>6</v>
      </c>
    </row>
    <row r="60" spans="2:8" ht="15" hidden="1" x14ac:dyDescent="0.25">
      <c r="B60" s="86"/>
      <c r="C60" s="18" t="s">
        <v>82</v>
      </c>
      <c r="D60" s="21">
        <v>5</v>
      </c>
      <c r="F60" s="86"/>
      <c r="G60" s="18" t="s">
        <v>60</v>
      </c>
      <c r="H60" s="21">
        <v>10</v>
      </c>
    </row>
    <row r="61" spans="2:8" ht="15" hidden="1" x14ac:dyDescent="0.25">
      <c r="B61" s="84" t="s">
        <v>63</v>
      </c>
      <c r="C61" s="18" t="s">
        <v>34</v>
      </c>
      <c r="D61" s="21">
        <v>0</v>
      </c>
      <c r="F61" s="84" t="s">
        <v>63</v>
      </c>
      <c r="G61" s="18" t="s">
        <v>34</v>
      </c>
      <c r="H61" s="21">
        <v>0</v>
      </c>
    </row>
    <row r="62" spans="2:8" ht="15" hidden="1" x14ac:dyDescent="0.25">
      <c r="B62" s="85"/>
      <c r="C62" s="18" t="s">
        <v>83</v>
      </c>
      <c r="D62" s="21">
        <v>0.5</v>
      </c>
      <c r="F62" s="85"/>
      <c r="G62" s="18" t="s">
        <v>83</v>
      </c>
      <c r="H62" s="21">
        <v>0.5</v>
      </c>
    </row>
    <row r="63" spans="2:8" ht="15" hidden="1" x14ac:dyDescent="0.25">
      <c r="B63" s="85"/>
      <c r="C63" s="18" t="s">
        <v>84</v>
      </c>
      <c r="D63" s="21">
        <v>1</v>
      </c>
      <c r="F63" s="85"/>
      <c r="G63" s="18" t="s">
        <v>84</v>
      </c>
      <c r="H63" s="21">
        <v>1</v>
      </c>
    </row>
    <row r="64" spans="2:8" ht="15" hidden="1" x14ac:dyDescent="0.25">
      <c r="B64" s="85"/>
      <c r="C64" s="18" t="s">
        <v>85</v>
      </c>
      <c r="D64" s="21">
        <v>1.5</v>
      </c>
      <c r="F64" s="85"/>
      <c r="G64" s="18" t="s">
        <v>85</v>
      </c>
      <c r="H64" s="21">
        <v>1.5</v>
      </c>
    </row>
    <row r="65" spans="2:8" ht="15" hidden="1" x14ac:dyDescent="0.25">
      <c r="B65" s="85"/>
      <c r="C65" s="18" t="s">
        <v>86</v>
      </c>
      <c r="D65" s="21">
        <v>2</v>
      </c>
      <c r="F65" s="85"/>
      <c r="G65" s="18" t="s">
        <v>86</v>
      </c>
      <c r="H65" s="21">
        <v>2</v>
      </c>
    </row>
    <row r="66" spans="2:8" ht="15" hidden="1" x14ac:dyDescent="0.25">
      <c r="B66" s="86"/>
      <c r="C66" s="18" t="s">
        <v>93</v>
      </c>
      <c r="D66" s="21">
        <v>4</v>
      </c>
      <c r="F66" s="86"/>
      <c r="G66" s="18" t="s">
        <v>93</v>
      </c>
      <c r="H66" s="21">
        <v>4</v>
      </c>
    </row>
    <row r="67" spans="2:8" ht="15" hidden="1" x14ac:dyDescent="0.25">
      <c r="B67" s="84" t="s">
        <v>64</v>
      </c>
      <c r="C67" s="18" t="s">
        <v>35</v>
      </c>
      <c r="D67" s="21">
        <v>0</v>
      </c>
      <c r="F67" s="84" t="s">
        <v>64</v>
      </c>
      <c r="G67" s="18" t="s">
        <v>35</v>
      </c>
      <c r="H67" s="21">
        <v>0</v>
      </c>
    </row>
    <row r="68" spans="2:8" ht="15" hidden="1" x14ac:dyDescent="0.25">
      <c r="B68" s="85"/>
      <c r="C68" s="18" t="s">
        <v>89</v>
      </c>
      <c r="D68" s="21">
        <v>0.5</v>
      </c>
      <c r="F68" s="85"/>
      <c r="G68" s="18" t="s">
        <v>94</v>
      </c>
      <c r="H68" s="21">
        <v>1</v>
      </c>
    </row>
    <row r="69" spans="2:8" ht="15" hidden="1" x14ac:dyDescent="0.25">
      <c r="B69" s="85"/>
      <c r="C69" s="18" t="s">
        <v>90</v>
      </c>
      <c r="D69" s="21">
        <v>0.75</v>
      </c>
      <c r="F69" s="85"/>
      <c r="G69" s="18" t="s">
        <v>95</v>
      </c>
      <c r="H69" s="21">
        <v>2</v>
      </c>
    </row>
    <row r="70" spans="2:8" ht="15" hidden="1" x14ac:dyDescent="0.25">
      <c r="B70" s="86"/>
      <c r="C70" s="18" t="s">
        <v>92</v>
      </c>
      <c r="D70" s="21">
        <v>1</v>
      </c>
      <c r="F70" s="85"/>
      <c r="G70" s="18" t="s">
        <v>87</v>
      </c>
      <c r="H70" s="21">
        <v>3</v>
      </c>
    </row>
    <row r="71" spans="2:8" ht="15" hidden="1" x14ac:dyDescent="0.25">
      <c r="F71" s="85"/>
      <c r="G71" s="18" t="s">
        <v>88</v>
      </c>
      <c r="H71" s="21">
        <v>4</v>
      </c>
    </row>
    <row r="72" spans="2:8" ht="15" hidden="1" x14ac:dyDescent="0.25">
      <c r="F72" s="86"/>
      <c r="G72" s="18" t="s">
        <v>96</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4FC6B-C340-423B-97FE-370DF5E89A94}">
  <sheetPr codeName="Sheet23">
    <tabColor theme="7" tint="0.39997558519241921"/>
  </sheetPr>
  <dimension ref="A1:BW50"/>
  <sheetViews>
    <sheetView zoomScale="98" zoomScaleNormal="98" workbookViewId="0">
      <pane xSplit="1" topLeftCell="B1" activePane="topRight" state="frozen"/>
      <selection pane="topRight"/>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decimal" operator="greaterThan" allowBlank="1" showInputMessage="1" showErrorMessage="1" errorTitle="Data Type Error" error="Should be Number not Text" sqref="B2:E1048576" xr:uid="{23318A06-B4F1-465C-B34C-64EFF9A907A8}">
      <formula1>0</formula1>
    </dataValidation>
    <dataValidation type="whole" operator="greaterThan" allowBlank="1" showInputMessage="1" showErrorMessage="1" errorTitle="Data Type Error" error="Should be Number not Text." sqref="A2:A1048576" xr:uid="{5D4695A9-6596-4936-8E4D-D7F43FDAA2AD}">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B1C37-2F2E-4115-9D9F-941544AC38FD}">
  <sheetPr codeName="Sheet24">
    <tabColor theme="7" tint="0.39997558519241921"/>
  </sheetPr>
  <dimension ref="A1:BW50"/>
  <sheetViews>
    <sheetView zoomScale="98" zoomScaleNormal="98" workbookViewId="0">
      <pane xSplit="1" topLeftCell="B1" activePane="topRight" state="frozen"/>
      <selection pane="topRight"/>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decimal" operator="greaterThan" allowBlank="1" showInputMessage="1" showErrorMessage="1" errorTitle="Data Type Error" error="Should be Number not Text" sqref="B2:E1048576" xr:uid="{3A64A6AD-CF1F-4172-BDDC-3D60B2B25271}">
      <formula1>0</formula1>
    </dataValidation>
    <dataValidation type="whole" operator="greaterThan" allowBlank="1" showInputMessage="1" showErrorMessage="1" errorTitle="Data Type Error" error="Should be Number not Text." sqref="A2:A1048576" xr:uid="{FAAF4DBA-071F-4AAE-AA19-33819C35E432}">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x14ac:dyDescent="0.25">
      <c r="A30" s="9" t="s">
        <v>107</v>
      </c>
      <c r="C30" s="24"/>
    </row>
    <row r="31" spans="1:3" x14ac:dyDescent="0.25">
      <c r="B31" t="s">
        <v>65</v>
      </c>
      <c r="C31" s="22" t="s">
        <v>27</v>
      </c>
    </row>
    <row r="32" spans="1:3" x14ac:dyDescent="0.25">
      <c r="B32" t="s">
        <v>66</v>
      </c>
      <c r="C32" s="22">
        <v>60</v>
      </c>
    </row>
    <row r="33" spans="1:6" x14ac:dyDescent="0.25">
      <c r="B33" t="s">
        <v>67</v>
      </c>
      <c r="C33" s="23">
        <v>39448</v>
      </c>
    </row>
    <row r="34" spans="1:6" x14ac:dyDescent="0.25">
      <c r="B34" t="s">
        <v>68</v>
      </c>
      <c r="C34" s="29">
        <v>0.25</v>
      </c>
    </row>
    <row r="35" spans="1:6" x14ac:dyDescent="0.25">
      <c r="B35" t="s">
        <v>69</v>
      </c>
      <c r="C35" s="29">
        <v>1</v>
      </c>
    </row>
    <row r="36" spans="1:6" x14ac:dyDescent="0.25"/>
    <row r="37" spans="1:6" hidden="1" x14ac:dyDescent="0.25">
      <c r="A37" s="9" t="s">
        <v>252</v>
      </c>
    </row>
    <row r="38" spans="1:6" ht="14.45" hidden="1" customHeight="1" x14ac:dyDescent="0.25">
      <c r="B38" s="100" t="s">
        <v>253</v>
      </c>
      <c r="C38" s="102" t="s">
        <v>254</v>
      </c>
      <c r="D38" s="96" t="s">
        <v>258</v>
      </c>
      <c r="E38" s="94" t="s">
        <v>259</v>
      </c>
      <c r="F38" s="49"/>
    </row>
    <row r="39" spans="1:6" hidden="1" x14ac:dyDescent="0.25">
      <c r="B39" s="101"/>
      <c r="C39" s="103"/>
      <c r="D39" s="97"/>
      <c r="E39" s="95"/>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0" t="s">
        <v>256</v>
      </c>
      <c r="C49" s="102" t="s">
        <v>257</v>
      </c>
      <c r="D49" s="96" t="s">
        <v>258</v>
      </c>
      <c r="E49" s="98" t="s">
        <v>259</v>
      </c>
    </row>
    <row r="50" spans="1:5" hidden="1" x14ac:dyDescent="0.25">
      <c r="B50" s="101"/>
      <c r="C50" s="103"/>
      <c r="D50" s="97"/>
      <c r="E50" s="99"/>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x14ac:dyDescent="0.25">
      <c r="A23" s="9" t="s">
        <v>107</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row r="33" spans="2:8" hidden="1" x14ac:dyDescent="0.25">
      <c r="B33" s="92" t="s">
        <v>91</v>
      </c>
      <c r="C33" s="92"/>
      <c r="D33" s="92"/>
      <c r="F33" s="92" t="s">
        <v>98</v>
      </c>
      <c r="G33" s="92"/>
      <c r="H33" s="92"/>
    </row>
    <row r="34" spans="2:8" hidden="1" x14ac:dyDescent="0.25">
      <c r="B34" s="15" t="s">
        <v>50</v>
      </c>
      <c r="C34" s="15" t="s">
        <v>51</v>
      </c>
      <c r="D34" s="19" t="s">
        <v>77</v>
      </c>
      <c r="F34" s="15" t="s">
        <v>50</v>
      </c>
      <c r="G34" s="15" t="s">
        <v>51</v>
      </c>
      <c r="H34" s="19" t="s">
        <v>77</v>
      </c>
    </row>
    <row r="35" spans="2:8" hidden="1" x14ac:dyDescent="0.25">
      <c r="B35" s="87" t="s">
        <v>37</v>
      </c>
      <c r="C35" s="16" t="s">
        <v>52</v>
      </c>
      <c r="D35" s="21">
        <v>5</v>
      </c>
      <c r="F35" s="87" t="s">
        <v>37</v>
      </c>
      <c r="G35" s="16" t="s">
        <v>52</v>
      </c>
      <c r="H35" s="21">
        <v>5</v>
      </c>
    </row>
    <row r="36" spans="2:8" hidden="1" x14ac:dyDescent="0.25">
      <c r="B36" s="93"/>
      <c r="C36" s="16" t="s">
        <v>53</v>
      </c>
      <c r="D36" s="21">
        <v>0</v>
      </c>
      <c r="F36" s="93"/>
      <c r="G36" s="16" t="s">
        <v>53</v>
      </c>
      <c r="H36" s="21">
        <v>3</v>
      </c>
    </row>
    <row r="37" spans="2:8" hidden="1" x14ac:dyDescent="0.25">
      <c r="B37" s="93"/>
      <c r="C37" s="17" t="s">
        <v>76</v>
      </c>
      <c r="D37" s="21">
        <v>0</v>
      </c>
      <c r="F37" s="93"/>
      <c r="G37" s="17" t="s">
        <v>29</v>
      </c>
      <c r="H37" s="21">
        <v>0</v>
      </c>
    </row>
    <row r="38" spans="2:8" hidden="1" x14ac:dyDescent="0.25">
      <c r="B38" s="88"/>
      <c r="C38" s="20" t="s">
        <v>29</v>
      </c>
      <c r="D38" s="21">
        <v>-5</v>
      </c>
      <c r="F38" s="88"/>
      <c r="G38" s="19" t="s">
        <v>97</v>
      </c>
      <c r="H38" s="21" t="s">
        <v>97</v>
      </c>
    </row>
    <row r="39" spans="2:8" ht="14.45" hidden="1" customHeight="1" x14ac:dyDescent="0.25">
      <c r="B39" s="87" t="s">
        <v>61</v>
      </c>
      <c r="C39" s="17" t="s">
        <v>30</v>
      </c>
      <c r="D39" s="21">
        <v>0</v>
      </c>
      <c r="F39" s="87" t="s">
        <v>61</v>
      </c>
      <c r="G39" s="17" t="s">
        <v>30</v>
      </c>
      <c r="H39" s="21">
        <v>0</v>
      </c>
    </row>
    <row r="40" spans="2:8" hidden="1" x14ac:dyDescent="0.25">
      <c r="B40" s="93"/>
      <c r="C40" s="17" t="s">
        <v>70</v>
      </c>
      <c r="D40" s="21">
        <v>8</v>
      </c>
      <c r="F40" s="93"/>
      <c r="G40" s="17" t="s">
        <v>70</v>
      </c>
      <c r="H40" s="21">
        <v>8</v>
      </c>
    </row>
    <row r="41" spans="2:8" hidden="1" x14ac:dyDescent="0.25">
      <c r="B41" s="93"/>
      <c r="C41" s="17" t="s">
        <v>71</v>
      </c>
      <c r="D41" s="21">
        <v>10</v>
      </c>
      <c r="F41" s="93"/>
      <c r="G41" s="17" t="s">
        <v>71</v>
      </c>
      <c r="H41" s="21">
        <v>10</v>
      </c>
    </row>
    <row r="42" spans="2:8" hidden="1" x14ac:dyDescent="0.25">
      <c r="B42" s="93"/>
      <c r="C42" s="17" t="s">
        <v>72</v>
      </c>
      <c r="D42" s="21">
        <v>12</v>
      </c>
      <c r="F42" s="93"/>
      <c r="G42" s="17" t="s">
        <v>72</v>
      </c>
      <c r="H42" s="21">
        <v>12</v>
      </c>
    </row>
    <row r="43" spans="2:8" ht="30" hidden="1" x14ac:dyDescent="0.25">
      <c r="B43" s="93"/>
      <c r="C43" s="17" t="s">
        <v>73</v>
      </c>
      <c r="D43" s="21">
        <v>14</v>
      </c>
      <c r="F43" s="93"/>
      <c r="G43" s="17" t="s">
        <v>73</v>
      </c>
      <c r="H43" s="21">
        <v>14</v>
      </c>
    </row>
    <row r="44" spans="2:8" hidden="1" x14ac:dyDescent="0.25">
      <c r="B44" s="88"/>
      <c r="C44" s="17" t="s">
        <v>54</v>
      </c>
      <c r="D44" s="21">
        <v>16</v>
      </c>
      <c r="F44" s="88"/>
      <c r="G44" s="17" t="s">
        <v>54</v>
      </c>
      <c r="H44" s="21">
        <v>16</v>
      </c>
    </row>
    <row r="45" spans="2:8" hidden="1" x14ac:dyDescent="0.25">
      <c r="B45" s="87" t="s">
        <v>39</v>
      </c>
      <c r="C45" s="17" t="s">
        <v>47</v>
      </c>
      <c r="D45" s="21">
        <v>0</v>
      </c>
      <c r="F45" s="87" t="s">
        <v>39</v>
      </c>
      <c r="G45" s="17" t="s">
        <v>47</v>
      </c>
      <c r="H45" s="21">
        <v>0</v>
      </c>
    </row>
    <row r="46" spans="2:8" hidden="1" x14ac:dyDescent="0.25">
      <c r="B46" s="88"/>
      <c r="C46" s="18" t="s">
        <v>55</v>
      </c>
      <c r="D46" s="21">
        <v>1</v>
      </c>
      <c r="F46" s="88"/>
      <c r="G46" s="18" t="s">
        <v>55</v>
      </c>
      <c r="H46" s="21">
        <v>1</v>
      </c>
    </row>
    <row r="47" spans="2:8" hidden="1" x14ac:dyDescent="0.25">
      <c r="B47" s="89" t="s">
        <v>40</v>
      </c>
      <c r="C47" s="18" t="s">
        <v>31</v>
      </c>
      <c r="D47" s="21">
        <v>0</v>
      </c>
      <c r="F47" s="84" t="s">
        <v>40</v>
      </c>
      <c r="G47" s="18" t="s">
        <v>31</v>
      </c>
      <c r="H47" s="21">
        <v>0</v>
      </c>
    </row>
    <row r="48" spans="2:8" hidden="1" x14ac:dyDescent="0.25">
      <c r="B48" s="90"/>
      <c r="C48" s="18" t="s">
        <v>78</v>
      </c>
      <c r="D48" s="21">
        <v>2</v>
      </c>
      <c r="F48" s="85"/>
      <c r="G48" s="18" t="s">
        <v>56</v>
      </c>
      <c r="H48" s="21">
        <v>2</v>
      </c>
    </row>
    <row r="49" spans="2:8" hidden="1" x14ac:dyDescent="0.25">
      <c r="B49" s="91"/>
      <c r="C49" s="19" t="s">
        <v>97</v>
      </c>
      <c r="D49" s="19" t="s">
        <v>97</v>
      </c>
      <c r="F49" s="86"/>
      <c r="G49" s="18" t="s">
        <v>57</v>
      </c>
      <c r="H49" s="21">
        <v>4</v>
      </c>
    </row>
    <row r="50" spans="2:8" hidden="1" x14ac:dyDescent="0.25">
      <c r="B50" s="84" t="s">
        <v>41</v>
      </c>
      <c r="C50" s="18" t="s">
        <v>36</v>
      </c>
      <c r="D50" s="21">
        <v>0</v>
      </c>
      <c r="F50" s="84" t="s">
        <v>41</v>
      </c>
      <c r="G50" s="18" t="s">
        <v>36</v>
      </c>
      <c r="H50" s="21">
        <v>0</v>
      </c>
    </row>
    <row r="51" spans="2:8" hidden="1" x14ac:dyDescent="0.25">
      <c r="B51" s="86"/>
      <c r="C51" s="18" t="s">
        <v>74</v>
      </c>
      <c r="D51" s="21">
        <v>16</v>
      </c>
      <c r="F51" s="86"/>
      <c r="G51" s="18" t="s">
        <v>74</v>
      </c>
      <c r="H51" s="21">
        <v>16</v>
      </c>
    </row>
    <row r="52" spans="2:8" hidden="1" x14ac:dyDescent="0.25">
      <c r="B52" s="84" t="s">
        <v>44</v>
      </c>
      <c r="C52" s="18" t="s">
        <v>32</v>
      </c>
      <c r="D52" s="21">
        <v>1</v>
      </c>
      <c r="F52" s="84" t="s">
        <v>44</v>
      </c>
      <c r="G52" s="18" t="s">
        <v>32</v>
      </c>
      <c r="H52" s="21">
        <v>1</v>
      </c>
    </row>
    <row r="53" spans="2:8" hidden="1" x14ac:dyDescent="0.25">
      <c r="B53" s="86"/>
      <c r="C53" s="18" t="s">
        <v>75</v>
      </c>
      <c r="D53" s="21">
        <v>0</v>
      </c>
      <c r="F53" s="86"/>
      <c r="G53" s="18" t="s">
        <v>75</v>
      </c>
      <c r="H53" s="21">
        <v>0</v>
      </c>
    </row>
    <row r="54" spans="2:8" hidden="1" x14ac:dyDescent="0.25">
      <c r="B54" s="84" t="s">
        <v>62</v>
      </c>
      <c r="C54" s="18" t="s">
        <v>58</v>
      </c>
      <c r="D54" s="21">
        <v>0</v>
      </c>
      <c r="F54" s="84" t="s">
        <v>62</v>
      </c>
      <c r="G54" s="18" t="s">
        <v>58</v>
      </c>
      <c r="H54" s="21">
        <v>0</v>
      </c>
    </row>
    <row r="55" spans="2:8" hidden="1" x14ac:dyDescent="0.25">
      <c r="B55" s="85"/>
      <c r="C55" s="18" t="s">
        <v>79</v>
      </c>
      <c r="D55" s="21">
        <v>2</v>
      </c>
      <c r="F55" s="85"/>
      <c r="G55" s="18" t="s">
        <v>79</v>
      </c>
      <c r="H55" s="21">
        <v>2</v>
      </c>
    </row>
    <row r="56" spans="2:8" hidden="1" x14ac:dyDescent="0.25">
      <c r="B56" s="85"/>
      <c r="C56" s="18" t="s">
        <v>48</v>
      </c>
      <c r="D56" s="21">
        <v>3</v>
      </c>
      <c r="F56" s="85"/>
      <c r="G56" s="18" t="s">
        <v>48</v>
      </c>
      <c r="H56" s="21">
        <v>3</v>
      </c>
    </row>
    <row r="57" spans="2:8" hidden="1" x14ac:dyDescent="0.25">
      <c r="B57" s="86"/>
      <c r="C57" s="18" t="s">
        <v>80</v>
      </c>
      <c r="D57" s="21">
        <v>4</v>
      </c>
      <c r="F57" s="86"/>
      <c r="G57" s="18" t="s">
        <v>80</v>
      </c>
      <c r="H57" s="21">
        <v>4</v>
      </c>
    </row>
    <row r="58" spans="2:8" hidden="1" x14ac:dyDescent="0.25">
      <c r="B58" s="84" t="s">
        <v>28</v>
      </c>
      <c r="C58" s="18" t="s">
        <v>81</v>
      </c>
      <c r="D58" s="21">
        <v>0</v>
      </c>
      <c r="F58" s="84" t="s">
        <v>28</v>
      </c>
      <c r="G58" s="18" t="s">
        <v>59</v>
      </c>
      <c r="H58" s="21">
        <v>0</v>
      </c>
    </row>
    <row r="59" spans="2:8" hidden="1" x14ac:dyDescent="0.25">
      <c r="B59" s="85"/>
      <c r="C59" s="18" t="s">
        <v>49</v>
      </c>
      <c r="D59" s="21">
        <v>3</v>
      </c>
      <c r="F59" s="85"/>
      <c r="G59" s="18" t="s">
        <v>33</v>
      </c>
      <c r="H59" s="21">
        <v>6</v>
      </c>
    </row>
    <row r="60" spans="2:8" hidden="1" x14ac:dyDescent="0.25">
      <c r="B60" s="86"/>
      <c r="C60" s="18" t="s">
        <v>82</v>
      </c>
      <c r="D60" s="21">
        <v>5</v>
      </c>
      <c r="F60" s="86"/>
      <c r="G60" s="18" t="s">
        <v>60</v>
      </c>
      <c r="H60" s="21">
        <v>10</v>
      </c>
    </row>
    <row r="61" spans="2:8" hidden="1" x14ac:dyDescent="0.25">
      <c r="B61" s="84" t="s">
        <v>63</v>
      </c>
      <c r="C61" s="18" t="s">
        <v>34</v>
      </c>
      <c r="D61" s="21">
        <v>0</v>
      </c>
      <c r="F61" s="84" t="s">
        <v>63</v>
      </c>
      <c r="G61" s="18" t="s">
        <v>34</v>
      </c>
      <c r="H61" s="21">
        <v>0</v>
      </c>
    </row>
    <row r="62" spans="2:8" hidden="1" x14ac:dyDescent="0.25">
      <c r="B62" s="85"/>
      <c r="C62" s="18" t="s">
        <v>83</v>
      </c>
      <c r="D62" s="21">
        <v>0.5</v>
      </c>
      <c r="F62" s="85"/>
      <c r="G62" s="18" t="s">
        <v>83</v>
      </c>
      <c r="H62" s="21">
        <v>0.5</v>
      </c>
    </row>
    <row r="63" spans="2:8" hidden="1" x14ac:dyDescent="0.25">
      <c r="B63" s="85"/>
      <c r="C63" s="18" t="s">
        <v>84</v>
      </c>
      <c r="D63" s="21">
        <v>1</v>
      </c>
      <c r="F63" s="85"/>
      <c r="G63" s="18" t="s">
        <v>84</v>
      </c>
      <c r="H63" s="21">
        <v>1</v>
      </c>
    </row>
    <row r="64" spans="2:8" hidden="1" x14ac:dyDescent="0.25">
      <c r="B64" s="85"/>
      <c r="C64" s="18" t="s">
        <v>85</v>
      </c>
      <c r="D64" s="21">
        <v>1.5</v>
      </c>
      <c r="F64" s="85"/>
      <c r="G64" s="18" t="s">
        <v>85</v>
      </c>
      <c r="H64" s="21">
        <v>1.5</v>
      </c>
    </row>
    <row r="65" spans="2:8" hidden="1" x14ac:dyDescent="0.25">
      <c r="B65" s="85"/>
      <c r="C65" s="18" t="s">
        <v>86</v>
      </c>
      <c r="D65" s="21">
        <v>2</v>
      </c>
      <c r="F65" s="85"/>
      <c r="G65" s="18" t="s">
        <v>86</v>
      </c>
      <c r="H65" s="21">
        <v>2</v>
      </c>
    </row>
    <row r="66" spans="2:8" hidden="1" x14ac:dyDescent="0.25">
      <c r="B66" s="86"/>
      <c r="C66" s="18" t="s">
        <v>93</v>
      </c>
      <c r="D66" s="21">
        <v>4</v>
      </c>
      <c r="F66" s="86"/>
      <c r="G66" s="18" t="s">
        <v>93</v>
      </c>
      <c r="H66" s="21">
        <v>4</v>
      </c>
    </row>
    <row r="67" spans="2:8" hidden="1" x14ac:dyDescent="0.25">
      <c r="B67" s="84" t="s">
        <v>64</v>
      </c>
      <c r="C67" s="18" t="s">
        <v>35</v>
      </c>
      <c r="D67" s="21">
        <v>0</v>
      </c>
      <c r="F67" s="84" t="s">
        <v>64</v>
      </c>
      <c r="G67" s="18" t="s">
        <v>35</v>
      </c>
      <c r="H67" s="21">
        <v>0</v>
      </c>
    </row>
    <row r="68" spans="2:8" hidden="1" x14ac:dyDescent="0.25">
      <c r="B68" s="85"/>
      <c r="C68" s="18" t="s">
        <v>89</v>
      </c>
      <c r="D68" s="21">
        <v>0.5</v>
      </c>
      <c r="F68" s="85"/>
      <c r="G68" s="18" t="s">
        <v>94</v>
      </c>
      <c r="H68" s="21">
        <v>1</v>
      </c>
    </row>
    <row r="69" spans="2:8" hidden="1" x14ac:dyDescent="0.25">
      <c r="B69" s="85"/>
      <c r="C69" s="18" t="s">
        <v>90</v>
      </c>
      <c r="D69" s="21">
        <v>0.75</v>
      </c>
      <c r="F69" s="85"/>
      <c r="G69" s="18" t="s">
        <v>95</v>
      </c>
      <c r="H69" s="21">
        <v>2</v>
      </c>
    </row>
    <row r="70" spans="2:8" hidden="1" x14ac:dyDescent="0.25">
      <c r="B70" s="86"/>
      <c r="C70" s="18" t="s">
        <v>92</v>
      </c>
      <c r="D70" s="21">
        <v>1</v>
      </c>
      <c r="F70" s="85"/>
      <c r="G70" s="18" t="s">
        <v>87</v>
      </c>
      <c r="H70" s="21">
        <v>3</v>
      </c>
    </row>
    <row r="71" spans="2:8" hidden="1" x14ac:dyDescent="0.25">
      <c r="F71" s="85"/>
      <c r="G71" s="18" t="s">
        <v>88</v>
      </c>
      <c r="H71" s="21">
        <v>4</v>
      </c>
    </row>
    <row r="72" spans="2:8" hidden="1" x14ac:dyDescent="0.25">
      <c r="F72" s="86"/>
      <c r="G72" s="18" t="s">
        <v>96</v>
      </c>
      <c r="H72" s="21">
        <v>5</v>
      </c>
    </row>
  </sheetData>
  <mergeCells count="22">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 ref="F33:H33"/>
    <mergeCell ref="B47:B49"/>
    <mergeCell ref="B50:B51"/>
    <mergeCell ref="B52:B53"/>
    <mergeCell ref="B54:B57"/>
    <mergeCell ref="B33:D33"/>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x14ac:dyDescent="0.25">
      <c r="A30" s="9" t="s">
        <v>107</v>
      </c>
      <c r="C30" s="24"/>
    </row>
    <row r="31" spans="1:3" ht="15" x14ac:dyDescent="0.25">
      <c r="B31" t="s">
        <v>65</v>
      </c>
      <c r="C31" s="22" t="s">
        <v>27</v>
      </c>
    </row>
    <row r="32" spans="1:3" ht="15" x14ac:dyDescent="0.25">
      <c r="B32" t="s">
        <v>66</v>
      </c>
      <c r="C32" s="22">
        <v>60</v>
      </c>
    </row>
    <row r="33" spans="1:6" ht="15" x14ac:dyDescent="0.25">
      <c r="B33" t="s">
        <v>67</v>
      </c>
      <c r="C33" s="23">
        <v>39448</v>
      </c>
    </row>
    <row r="34" spans="1:6" ht="15" x14ac:dyDescent="0.25">
      <c r="B34" t="s">
        <v>68</v>
      </c>
      <c r="C34" s="29">
        <v>0.25</v>
      </c>
    </row>
    <row r="35" spans="1:6" ht="15" x14ac:dyDescent="0.25">
      <c r="B35" t="s">
        <v>69</v>
      </c>
      <c r="C35" s="29">
        <v>1</v>
      </c>
    </row>
    <row r="36" spans="1:6" ht="15" x14ac:dyDescent="0.25"/>
    <row r="37" spans="1:6" ht="15" hidden="1" x14ac:dyDescent="0.25">
      <c r="A37" s="9" t="s">
        <v>252</v>
      </c>
    </row>
    <row r="38" spans="1:6" ht="14.45" hidden="1" customHeight="1" x14ac:dyDescent="0.25">
      <c r="B38" s="100" t="s">
        <v>253</v>
      </c>
      <c r="C38" s="102" t="s">
        <v>254</v>
      </c>
      <c r="D38" s="96" t="s">
        <v>258</v>
      </c>
      <c r="E38" s="94" t="s">
        <v>259</v>
      </c>
      <c r="F38" s="49"/>
    </row>
    <row r="39" spans="1:6" ht="15" hidden="1" x14ac:dyDescent="0.25">
      <c r="B39" s="101"/>
      <c r="C39" s="103"/>
      <c r="D39" s="97"/>
      <c r="E39" s="95"/>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0" t="s">
        <v>256</v>
      </c>
      <c r="C49" s="102" t="s">
        <v>257</v>
      </c>
      <c r="D49" s="96" t="s">
        <v>258</v>
      </c>
      <c r="E49" s="98" t="s">
        <v>259</v>
      </c>
    </row>
    <row r="50" spans="1:5" ht="15" hidden="1" x14ac:dyDescent="0.25">
      <c r="B50" s="101"/>
      <c r="C50" s="103"/>
      <c r="D50" s="97"/>
      <c r="E50" s="99"/>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F7" sqref="F7"/>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Cover</vt:lpstr>
      <vt:lpstr>UserGuide</vt:lpstr>
      <vt:lpstr>Result</vt:lpstr>
      <vt:lpstr>General Config</vt:lpstr>
      <vt:lpstr>Fiscal Config</vt:lpstr>
      <vt:lpstr>Prod Oil</vt:lpstr>
      <vt:lpstr>Prod Oil (2)</vt:lpstr>
      <vt:lpstr>Prod Gas</vt:lpstr>
      <vt:lpstr>Prod LPG Propane</vt:lpstr>
      <vt:lpstr>Prod LPG Butane</vt:lpstr>
      <vt:lpstr>Prod CO2</vt:lpstr>
      <vt:lpstr>Prod Sulfur</vt:lpstr>
      <vt:lpstr>Gross Split Config (2)</vt:lpstr>
      <vt:lpstr>Prod Gas (2)</vt:lpstr>
      <vt:lpstr>Prod Gas (3)</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2023-11-13T10:21:54Z</dcterms:modified>
</cp:coreProperties>
</file>