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3.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drawings/drawing4.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omments2.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drawings/drawing5.xml" ContentType="application/vnd.openxmlformats-officedocument.drawing+xml"/>
  <Override PartName="/xl/ctrlProps/ctrlProp36.xml" ContentType="application/vnd.ms-excel.controlproperties+xml"/>
  <Override PartName="/xl/drawings/drawing6.xml" ContentType="application/vnd.openxmlformats-officedocument.drawing+xml"/>
  <Override PartName="/xl/ctrlProps/ctrlProp37.xml" ContentType="application/vnd.ms-excel.controlproperties+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tangibleIC.png" ContentType="image/.PNG"/>
  <Override PartName="/customUI/images/tableIC.png" ContentType="image/.PNG"/>
  <Override PartName="/customUI/images/python.png" ContentType="image/.PNG"/>
  <Override PartName="/customUI/images/optIC.png" ContentType="image/.PNG"/>
  <Override PartName="/customUI/images/generalconfigIC.png" ContentType="image/.PNG"/>
  <Override PartName="/customUI/images/welcomeIC.png" ContentType="image/.PNG"/>
  <Override PartName="/customUI/images/runIC.png" ContentType="image/.PNG"/>
  <Override PartName="/customUI/images/intangibleIC.png" ContentType="image/.PNG"/>
  <Override PartName="/customUI/images/summaryIC.png" ContentType="image/.PNG"/>
  <Override PartName="/customUI/images/pythonIC.png" ContentType="image/.PNG"/>
  <Override PartName="/customUI/images/monteIC.png" ContentType="image/.PNG"/>
  <Override PartName="/customUI/images/sensIC.png" ContentType="image/.PNG"/>
  <Override PartName="/customUI/images/fiscalIC.png" ContentType="image/.PNG"/>
  <Override PartName="/customUI/images/opexIC.png" ContentType="image/.PNG"/>
  <Override PartName="/customUI/images/userguideIC.png" ContentType="image/.PNG"/>
  <Override PartName="/customUI/images/CondaIC.png" ContentType="image/.PNG"/>
  <Override PartName="/customUI/images/EMDIC.png" ContentType="image/.PNG"/>
  <Override PartName="/customUI/images/ASRIC.png" ContentType="image/.PNG"/>
  <Override PartName="/customUI/images/prodIC.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82da2dada15245f0"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66925"/>
  <mc:AlternateContent xmlns:mc="http://schemas.openxmlformats.org/markup-compatibility/2006">
    <mc:Choice Requires="x15">
      <x15ac:absPath xmlns:x15ac="http://schemas.microsoft.com/office/spreadsheetml/2010/11/ac" url="E:\1009_My Journal_PSC Migas\26_20230707_PSCEconomic\pyscnomics\pyscnomics\"/>
    </mc:Choice>
  </mc:AlternateContent>
  <xr:revisionPtr revIDLastSave="0" documentId="13_ncr:1_{4AD1CEA2-2A37-40D7-B6A4-C04FF6232C55}" xr6:coauthVersionLast="47" xr6:coauthVersionMax="47" xr10:uidLastSave="{00000000-0000-0000-0000-000000000000}"/>
  <bookViews>
    <workbookView xWindow="28695" yWindow="0" windowWidth="14610" windowHeight="15585" tabRatio="912" firstSheet="3" activeTab="32" xr2:uid="{F41B6BF2-4712-40A6-B007-CDDECCED21AA}"/>
  </bookViews>
  <sheets>
    <sheet name="Cover" sheetId="19" state="hidden" r:id="rId1"/>
    <sheet name="UserGuide" sheetId="8" state="hidden" r:id="rId2"/>
    <sheet name="Summary" sheetId="18" state="hidden" r:id="rId3"/>
    <sheet name="General Config" sheetId="4" r:id="rId4"/>
    <sheet name="Optimization" sheetId="375" state="hidden" r:id="rId5"/>
    <sheet name="Monte Carlo" sheetId="378" state="hidden" r:id="rId6"/>
    <sheet name="Uncertainty" sheetId="377" state="hidden" r:id="rId7"/>
    <sheet name="Result Table GS" sheetId="347" state="hidden" r:id="rId8"/>
    <sheet name="Result Table GS (2)" sheetId="379" state="hidden" r:id="rId9"/>
    <sheet name="Result Table CR" sheetId="346" state="hidden" r:id="rId10"/>
    <sheet name="Result Table CR (2)" sheetId="380" state="hidden" r:id="rId11"/>
    <sheet name="Fiscal Config" sheetId="345" state="hidden" r:id="rId12"/>
    <sheet name="Prod Oil" sheetId="54" state="hidden" r:id="rId13"/>
    <sheet name="Prod LPG Propane" sheetId="6" state="hidden" r:id="rId14"/>
    <sheet name="Gross Split Config (2)" sheetId="381" state="hidden" r:id="rId15"/>
    <sheet name="Prod Oil (2)" sheetId="382" state="hidden" r:id="rId16"/>
    <sheet name="Prod Electricity" sheetId="353" state="hidden" r:id="rId17"/>
    <sheet name="Prod Electricity (2)" sheetId="388" state="hidden" r:id="rId18"/>
    <sheet name="Prod Gas" sheetId="5" state="hidden" r:id="rId19"/>
    <sheet name="Prod Gas (2)" sheetId="383" state="hidden" r:id="rId20"/>
    <sheet name="Prod LPG Propane (2)" sheetId="384" state="hidden" r:id="rId21"/>
    <sheet name="Prod Sulfur" sheetId="9" state="hidden" r:id="rId22"/>
    <sheet name="Cost Intangible" sheetId="73" state="hidden" r:id="rId23"/>
    <sheet name="Cost ASR" sheetId="75" state="hidden" r:id="rId24"/>
    <sheet name="Prod Sulfur (2)" sheetId="387" state="hidden" r:id="rId25"/>
    <sheet name="Prod CO2" sheetId="10" state="hidden" r:id="rId26"/>
    <sheet name="Sensitivity" sheetId="376" state="hidden" r:id="rId27"/>
    <sheet name="Cost Tangible" sheetId="72" state="hidden" r:id="rId28"/>
    <sheet name="Cost OPEX" sheetId="74" state="hidden" r:id="rId29"/>
    <sheet name="Cost Recovery Config" sheetId="16" state="hidden" r:id="rId30"/>
    <sheet name="Cost Recovery Config (2)" sheetId="343" state="hidden" r:id="rId31"/>
    <sheet name="Prod LPG Butane" sheetId="7" state="hidden" r:id="rId32"/>
    <sheet name="Gross Split Config" sheetId="15" r:id="rId33"/>
    <sheet name="Prod LPG Butane (2)" sheetId="385" state="hidden" r:id="rId34"/>
    <sheet name="Prod CO2 (2)" sheetId="386" state="hidden" r:id="rId35"/>
  </sheets>
  <functionGroups builtInGroupCount="19"/>
  <definedNames>
    <definedName name="_fiscalType">'General Config'!$C$2</definedName>
    <definedName name="_nButane">'General Config'!$D$15</definedName>
    <definedName name="_nCO2">'General Config'!$D$16</definedName>
    <definedName name="_nElectricity">'General Config'!$D$18</definedName>
    <definedName name="_nGas">'General Config'!$D$13</definedName>
    <definedName name="_nOil">'General Config'!$D$12</definedName>
    <definedName name="_nPropane">'General Config'!$D$14</definedName>
    <definedName name="_nSulfur">'General Config'!$D$17</definedName>
    <definedName name="_pyexe">Cover!$A$19</definedName>
    <definedName name="_pymain">Cover!$A$20</definedName>
    <definedName name="averageInflation">#REF!</definedName>
    <definedName name="Beta_overBrent">#REF!</definedName>
    <definedName name="bon_Prod_Amt_Gas_T1">#REF!</definedName>
    <definedName name="bon_Prod_Amt_Gas_T2">#REF!</definedName>
    <definedName name="bon_Prod_Amt_Gas_T3">#REF!</definedName>
    <definedName name="bon_Prod_Amt_Oil_T1">#REF!</definedName>
    <definedName name="bon_Prod_Amt_Oil_T2">#REF!</definedName>
    <definedName name="bon_Prod_Amt_Oil_T3">#REF!</definedName>
    <definedName name="bon_Prod_Amt_Oil_T4">#REF!</definedName>
    <definedName name="bon_Prod_CumProd_Gas_T1">#REF!</definedName>
    <definedName name="bon_Prod_CumProd_Gas_T2">#REF!</definedName>
    <definedName name="bon_Prod_CumProd_Gas_T3">#REF!</definedName>
    <definedName name="bon_Prod_CumProd_Oil_T1">#REF!</definedName>
    <definedName name="bon_Prod_CumProd_Oil_T2">#REF!</definedName>
    <definedName name="bon_Prod_CumProd_Oil_T3">#REF!</definedName>
    <definedName name="bon_Prod_CumProd_Oil_T4">#REF!</definedName>
    <definedName name="breakevenToggle">#REF!</definedName>
    <definedName name="CA_AvgPriceGas">#REF!</definedName>
    <definedName name="CA_AvgPriceLiquids">#REF!</definedName>
    <definedName name="CA_CapexDecom">#REF!</definedName>
    <definedName name="CA_CapexDevexTotal">#REF!</definedName>
    <definedName name="CA_CapexDrillexIntan">#REF!</definedName>
    <definedName name="CA_CapexDrillexTan">#REF!</definedName>
    <definedName name="CA_CapexEAIntan">#REF!</definedName>
    <definedName name="CA_CapexEATan">#REF!</definedName>
    <definedName name="CA_CapexEATotal">#REF!</definedName>
    <definedName name="CA_CapexFacilFloaters">#REF!</definedName>
    <definedName name="CA_CapexFacilInfra">#REF!</definedName>
    <definedName name="CA_CapexFacilLNG">#REF!</definedName>
    <definedName name="CA_CapexFacilOther">#REF!</definedName>
    <definedName name="CA_CapexFacilProduction">#REF!</definedName>
    <definedName name="CA_CapexFacilStructures">#REF!</definedName>
    <definedName name="CA_CapexFacilSubsea">#REF!</definedName>
    <definedName name="CA_CapexFacilTerminals">#REF!</definedName>
    <definedName name="CA_CapexFacilTopsides">#REF!</definedName>
    <definedName name="CA_CapexFacilWPG">#REF!</definedName>
    <definedName name="CA_CapexGG">#REF!</definedName>
    <definedName name="CA_CapexLeasehold">#REF!</definedName>
    <definedName name="CA_CapexOther">#REF!</definedName>
    <definedName name="CA_CapexPipelines">#REF!</definedName>
    <definedName name="CA_CarbonCosts">#REF!</definedName>
    <definedName name="CA_CarriedCosts">#REF!</definedName>
    <definedName name="CA_CarryRepayment">#REF!</definedName>
    <definedName name="CA_Days">#REF!</definedName>
    <definedName name="CA_IndexEscCapex">#REF!</definedName>
    <definedName name="CA_IndexEscOpex">#REF!</definedName>
    <definedName name="CA_IndexInflation">#REF!</definedName>
    <definedName name="CA_IndexInflationFixed">#REF!</definedName>
    <definedName name="CA_OpexFixed">#REF!</definedName>
    <definedName name="CA_OpexLNG">#REF!</definedName>
    <definedName name="CA_OpexTotal">#REF!</definedName>
    <definedName name="CA_OpexVarTotal">#REF!</definedName>
    <definedName name="CA_OpTrig">#REF!</definedName>
    <definedName name="CA_PctGasRevenue">#REF!</definedName>
    <definedName name="CA_PctGasVolumeTotal">#REF!</definedName>
    <definedName name="CA_PctLiquidsRevenue">#REF!</definedName>
    <definedName name="CA_Periods">#REF!</definedName>
    <definedName name="CA_PriceCO2e">#REF!</definedName>
    <definedName name="CA_PriceFinalCondDom">#REF!</definedName>
    <definedName name="CA_PriceFinalCondExport">#REF!</definedName>
    <definedName name="CA_PriceFinalGasDom">#REF!</definedName>
    <definedName name="CA_PriceFinalGasExport">#REF!</definedName>
    <definedName name="CA_PriceFinalLNGFeedstockDom">#REF!</definedName>
    <definedName name="CA_PriceFinalLNGFeedstockExport">#REF!</definedName>
    <definedName name="CA_PriceFinalLNGSalesDom">#REF!</definedName>
    <definedName name="CA_PriceFinalLNGSalesExport">#REF!</definedName>
    <definedName name="CA_PriceFinalNGLDom">#REF!</definedName>
    <definedName name="CA_PriceFinalNGLExport">#REF!</definedName>
    <definedName name="CA_PriceFinalOilDom">#REF!</definedName>
    <definedName name="CA_PriceFinalOilExport">#REF!</definedName>
    <definedName name="CA_PriceFinalOtherDom10">#REF!</definedName>
    <definedName name="CA_PriceFinalOtherDom5">#REF!</definedName>
    <definedName name="CA_PriceFinalOtherDom6">#REF!</definedName>
    <definedName name="CA_PriceFinalOtherDom7">#REF!</definedName>
    <definedName name="CA_PriceFinalOtherDom8">#REF!</definedName>
    <definedName name="CA_PriceFinalOtherDom9">#REF!</definedName>
    <definedName name="CA_PriceFinalOtherExport10">#REF!</definedName>
    <definedName name="CA_PriceFinalOtherExport5">#REF!</definedName>
    <definedName name="CA_PriceFinalOtherExport6">#REF!</definedName>
    <definedName name="CA_PriceFinalOtherExport7">#REF!</definedName>
    <definedName name="CA_PriceFinalOtherExport8">#REF!</definedName>
    <definedName name="CA_PriceFinalOtherExport9">#REF!</definedName>
    <definedName name="CA_PriceFinalTotalDom">#REF!</definedName>
    <definedName name="CA_PriceFinalTotalExport">#REF!</definedName>
    <definedName name="CA_ProdCO2e">#REF!</definedName>
    <definedName name="CA_ProdRateLNGFeedstock">#REF!</definedName>
    <definedName name="CA_ProductionGas">#REF!</definedName>
    <definedName name="CA_ProductionGasCum">#REF!</definedName>
    <definedName name="CA_ProductionLiquids">#REF!</definedName>
    <definedName name="CA_ProductionLiquidsCum">#REF!</definedName>
    <definedName name="CA_ProductionTotal">#REF!</definedName>
    <definedName name="CA_ProductionTotalCum">#REF!</definedName>
    <definedName name="CA_QualAdjust">#REF!</definedName>
    <definedName name="CA_QualAdjustCond_Domestic">#REF!</definedName>
    <definedName name="CA_QualAdjustCond_Export">#REF!</definedName>
    <definedName name="CA_RevenueDomesticGas">#REF!</definedName>
    <definedName name="CA_RevenueExportGas">#REF!</definedName>
    <definedName name="CA_RevenueGrossGas">#REF!</definedName>
    <definedName name="CA_RevenueGrossLiquids">#REF!</definedName>
    <definedName name="CA_RevenueGrossOil">#REF!</definedName>
    <definedName name="CA_RevenueGrossTotal">#REF!</definedName>
    <definedName name="CA_RevenueLNGFeedstock">#REF!</definedName>
    <definedName name="CA_RevenueLNGSales">#REF!</definedName>
    <definedName name="CA_RevenueNGL">#REF!</definedName>
    <definedName name="CA_SalesCondDom">#REF!</definedName>
    <definedName name="CA_SalesCondExport">#REF!</definedName>
    <definedName name="CA_SalesGasDom">#REF!</definedName>
    <definedName name="CA_SalesGasExport">#REF!</definedName>
    <definedName name="CA_SalesLNGFeedstock">#REF!</definedName>
    <definedName name="CA_SalesLNGFeedstockDom">#REF!</definedName>
    <definedName name="CA_SalesLNGSales">#REF!</definedName>
    <definedName name="CA_SalesLNGSalesDom">#REF!</definedName>
    <definedName name="CA_SalesNGL">#REF!</definedName>
    <definedName name="CA_SalesNGLDom">#REF!</definedName>
    <definedName name="CA_SalesOilDom">#REF!</definedName>
    <definedName name="CA_SalesOilExport">#REF!</definedName>
    <definedName name="CA_SalesOtherDom10">#REF!</definedName>
    <definedName name="CA_SalesOtherDom5">#REF!</definedName>
    <definedName name="CA_SalesOtherDom6">#REF!</definedName>
    <definedName name="CA_SalesOtherDom7">#REF!</definedName>
    <definedName name="CA_SalesOtherDom8">#REF!</definedName>
    <definedName name="CA_SalesOtherDom9">#REF!</definedName>
    <definedName name="CA_SalesOtherExport10">#REF!</definedName>
    <definedName name="CA_SalesOtherExport5">#REF!</definedName>
    <definedName name="CA_SalesOtherExport6">#REF!</definedName>
    <definedName name="CA_SalesOtherExport7">#REF!</definedName>
    <definedName name="CA_SalesOtherExport8">#REF!</definedName>
    <definedName name="CA_SalesOtherExport9">#REF!</definedName>
    <definedName name="CA_WI_IOC">#REF!</definedName>
    <definedName name="CA_WI_NOC">#REF!</definedName>
    <definedName name="CA_Years">#REF!</definedName>
    <definedName name="calc_pctGasRevTotal">#REF!</definedName>
    <definedName name="calc_pctOilRevTotal">#REF!</definedName>
    <definedName name="CarbonTaxToggle">#REF!</definedName>
    <definedName name="CarbonToggle">#REF!</definedName>
    <definedName name="carryRateDevex">#REF!</definedName>
    <definedName name="carryRateEA">#REF!</definedName>
    <definedName name="carryRateFees">#REF!</definedName>
    <definedName name="carryRateOpex">#REF!</definedName>
    <definedName name="carryRateSigBonus">#REF!</definedName>
    <definedName name="carryRpmtDevex">#REF!</definedName>
    <definedName name="carryRpmtEA">#REF!</definedName>
    <definedName name="carryRpmtFees">#REF!</definedName>
    <definedName name="carryRpmtOpex">#REF!</definedName>
    <definedName name="carryRpmtSigBonus">#REF!</definedName>
    <definedName name="CondDiscountToCrude_Domestic">#REF!</definedName>
    <definedName name="CondDiscountToCrude_Export">#REF!</definedName>
    <definedName name="conv_Bbls_Mcf">#REF!</definedName>
    <definedName name="conv_MMbtu_Mcf">#REF!</definedName>
    <definedName name="conv_MMbtu_Mcf_LNG">#REF!</definedName>
    <definedName name="conv_USD_IDR">#REF!</definedName>
    <definedName name="costprem_Capex">#REF!</definedName>
    <definedName name="costprem_Opex">#REF!</definedName>
    <definedName name="cr_Limit">#REF!</definedName>
    <definedName name="CT_Rate">#REF!</definedName>
    <definedName name="CT_Year">#REF!</definedName>
    <definedName name="dcr_Capitalization">#REF!</definedName>
    <definedName name="dcr_FacilPctTan">#REF!</definedName>
    <definedName name="DCRA__Yr1OR">#REF!</definedName>
    <definedName name="DCRA_Capital">#REF!</definedName>
    <definedName name="DCRA_CapitalizedAssets">#REF!</definedName>
    <definedName name="DCRA_DB_Switch">#REF!</definedName>
    <definedName name="DCRA_Factor">#REF!</definedName>
    <definedName name="DCRA_Final">#REF!</definedName>
    <definedName name="DCRA_Life">#REF!</definedName>
    <definedName name="DCRA_Method">#REF!</definedName>
    <definedName name="DCRA_MethodFinal">#REF!</definedName>
    <definedName name="DCRA_Rates">#REF!</definedName>
    <definedName name="DCRA_RatesRev">#REF!</definedName>
    <definedName name="DCRA_TaxDepreciation">#REF!</definedName>
    <definedName name="dit_Capitalization">#REF!</definedName>
    <definedName name="dit_FacilPctTan">#REF!</definedName>
    <definedName name="DITA_Capital">#REF!</definedName>
    <definedName name="DITA_CapitalizedAssets">#REF!</definedName>
    <definedName name="DITA_DB_Switch">#REF!</definedName>
    <definedName name="DITA_Factor">#REF!</definedName>
    <definedName name="DITA_Final">#REF!</definedName>
    <definedName name="DITA_Life">#REF!</definedName>
    <definedName name="DITA_Method">#REF!</definedName>
    <definedName name="DITA_MethodFinal">#REF!</definedName>
    <definedName name="DITA_Rates">#REF!</definedName>
    <definedName name="DITA_RatesRev">#REF!</definedName>
    <definedName name="DITA_TaxDepreciation">#REF!</definedName>
    <definedName name="DITA_UOPRates">#REF!</definedName>
    <definedName name="DITA_Yr1OR">#REF!</definedName>
    <definedName name="dmo_Max_Multip">#REF!</definedName>
    <definedName name="dmo_Price_Until1987">#REF!</definedName>
    <definedName name="dmo_Prod_Period">#REF!</definedName>
    <definedName name="econLimitToggle">#REF!</definedName>
    <definedName name="econLimitTrig">#REF!</definedName>
    <definedName name="FA_Aceh_CommFund">#REF!</definedName>
    <definedName name="FA_Carbon_Tax">#REF!</definedName>
    <definedName name="FA_CIT">#REF!</definedName>
    <definedName name="FA_CITRate">#REF!</definedName>
    <definedName name="FA_Contr_FTP_Gas">#REF!</definedName>
    <definedName name="FA_Contr_FTP_Oil">#REF!</definedName>
    <definedName name="FA_CostRecoveryTotal_Gas">#REF!</definedName>
    <definedName name="FA_CostRecoveryTotal_Liquids">#REF!</definedName>
    <definedName name="FA_DMO_Discount">#REF!</definedName>
    <definedName name="FA_DMO_Volume">#REF!</definedName>
    <definedName name="FA_Fees">#REF!</definedName>
    <definedName name="FA_Gas_Transfer_Price_Est">#REF!</definedName>
    <definedName name="FA_GovProfitShare_Gas">#REF!</definedName>
    <definedName name="FA_GovProfitShare_Liquids">#REF!</definedName>
    <definedName name="FA_GSATerms">#REF!</definedName>
    <definedName name="FA_InvestCredit_Gas">#REF!</definedName>
    <definedName name="FA_InvestCredit_Oil">#REF!</definedName>
    <definedName name="FA_ProdBonus">#REF!</definedName>
    <definedName name="FA_ProdBonus_Gas">#REF!</definedName>
    <definedName name="FA_ProdBonus_Oil">#REF!</definedName>
    <definedName name="FA_ProfitShare_Gas">#REF!</definedName>
    <definedName name="FA_ProfitShare_Liquids">#REF!</definedName>
    <definedName name="FA_RecCostsCapexDevex">#REF!</definedName>
    <definedName name="FA_RecCostsCapexDevex_Gas">#REF!</definedName>
    <definedName name="FA_RecCostsCapexDevex_Liquids">#REF!</definedName>
    <definedName name="FA_RecCostsDecom">#REF!</definedName>
    <definedName name="FA_RecCostsDecom_Gas">#REF!</definedName>
    <definedName name="FA_RecCostsDecom_Liquids">#REF!</definedName>
    <definedName name="FA_RecCostsEA">#REF!</definedName>
    <definedName name="FA_RecCostsEA_Gas">#REF!</definedName>
    <definedName name="FA_RecCostsEA_Liquids">#REF!</definedName>
    <definedName name="FA_RecCostsFees">#REF!</definedName>
    <definedName name="FA_RecCostsFees_Gas">#REF!</definedName>
    <definedName name="FA_RecCostsFees_Liquids">#REF!</definedName>
    <definedName name="FA_RecCostsIC">#REF!</definedName>
    <definedName name="FA_RecCostsIC_Gas">#REF!</definedName>
    <definedName name="FA_RecCostsIC_Liquids">#REF!</definedName>
    <definedName name="FA_RecCostsOpex">#REF!</definedName>
    <definedName name="FA_RecCostsOpex_Gas">#REF!</definedName>
    <definedName name="FA_RecCostsOpex_Liquids">#REF!</definedName>
    <definedName name="FA_RoyaltyGas">#REF!</definedName>
    <definedName name="FA_RoyaltyLiquids">#REF!</definedName>
    <definedName name="FA_RoyaltyTotal">#REF!</definedName>
    <definedName name="fee_Admin">#REF!</definedName>
    <definedName name="fee_Communities">#REF!</definedName>
    <definedName name="gen_api">#REF!</definedName>
    <definedName name="gen_contractDuration">#REF!</definedName>
    <definedName name="gen_depthWater">#REF!</definedName>
    <definedName name="gen_discountRate">#REF!</definedName>
    <definedName name="gen_primaryProduct">#REF!</definedName>
    <definedName name="gen_ProjectName">#REF!</definedName>
    <definedName name="gen_stub">#REF!</definedName>
    <definedName name="gen_timingCosts">#REF!</definedName>
    <definedName name="gen_timingPrices">#REF!</definedName>
    <definedName name="IA_CapexDecom">#REF!</definedName>
    <definedName name="IA_CapexDrillexIntan">#REF!</definedName>
    <definedName name="IA_CapexDrillexTan">#REF!</definedName>
    <definedName name="IA_CapexEAIntan">#REF!</definedName>
    <definedName name="IA_CapexEATan">#REF!</definedName>
    <definedName name="IA_CapexFacilFloaters">#REF!</definedName>
    <definedName name="IA_CapexFacilInfra">#REF!</definedName>
    <definedName name="IA_CapexFacilLNG">#REF!</definedName>
    <definedName name="IA_CapexFacilOther">#REF!</definedName>
    <definedName name="IA_CapexFacilProd">#REF!</definedName>
    <definedName name="IA_CapexFacilStructures">#REF!</definedName>
    <definedName name="IA_CapexFacilSubsea">#REF!</definedName>
    <definedName name="IA_CapexFacilTerminals">#REF!</definedName>
    <definedName name="IA_CapexFacilTopsides">#REF!</definedName>
    <definedName name="IA_CapexFacilWPG">#REF!</definedName>
    <definedName name="IA_CapexGG">#REF!</definedName>
    <definedName name="IA_CapexLeasehold">#REF!</definedName>
    <definedName name="IA_CapexOther">#REF!</definedName>
    <definedName name="IA_CapexPipelines">#REF!</definedName>
    <definedName name="IA_carry_WD">#REF!</definedName>
    <definedName name="IA_CarryMax">#REF!</definedName>
    <definedName name="IA_carryRpmtLimit">#REF!</definedName>
    <definedName name="IA_CIT_Rate">#REF!</definedName>
    <definedName name="IA_CIT_Yr">#REF!</definedName>
    <definedName name="IA_Contract_Inputs">#REF!</definedName>
    <definedName name="IA_ContractName1">#REF!</definedName>
    <definedName name="IA_DMO_Discount">#REF!</definedName>
    <definedName name="IA_DMO_Yr">#REF!</definedName>
    <definedName name="IA_DomCond">#REF!</definedName>
    <definedName name="IA_DomGas">#REF!</definedName>
    <definedName name="IA_DomLNGFeedstock">#REF!</definedName>
    <definedName name="IA_DomLNGSales">#REF!</definedName>
    <definedName name="IA_DomNGL">#REF!</definedName>
    <definedName name="IA_DomOil">#REF!</definedName>
    <definedName name="IA_DomOther10">#REF!</definedName>
    <definedName name="IA_DomOther5">#REF!</definedName>
    <definedName name="IA_DomOther6">#REF!</definedName>
    <definedName name="IA_DomOther7">#REF!</definedName>
    <definedName name="IA_DomOther8">#REF!</definedName>
    <definedName name="IA_DomOther9">#REF!</definedName>
    <definedName name="IA_EscCapex">#REF!</definedName>
    <definedName name="IA_EscOpex">#REF!</definedName>
    <definedName name="IA_GasLossFactor">#REF!</definedName>
    <definedName name="IA_IC_Gas_WD2001">#REF!</definedName>
    <definedName name="IA_IC_Gas_Yr2001">#REF!</definedName>
    <definedName name="IA_IC_Gas2001">#REF!</definedName>
    <definedName name="IA_IC_Oil_WD2001">#REF!</definedName>
    <definedName name="IA_IC_Oil_Yr2001">#REF!</definedName>
    <definedName name="IA_IC_Oil2001">#REF!</definedName>
    <definedName name="IA_IC_Rate_Gas">#REF!</definedName>
    <definedName name="IA_IC_Rate_Oil">#REF!</definedName>
    <definedName name="IA_IC_Yr_Gas">#REF!</definedName>
    <definedName name="IA_IC_Yr_Oil">#REF!</definedName>
    <definedName name="IA_ICP">#REF!</definedName>
    <definedName name="IA_ICP_Yr">#REF!</definedName>
    <definedName name="IA_Inflation">#REF!</definedName>
    <definedName name="IA_IOCParticipation">#REF!</definedName>
    <definedName name="IA_IsNOC">#REF!</definedName>
    <definedName name="IA_License_Table">#REF!</definedName>
    <definedName name="IA_NOLMax">#REF!</definedName>
    <definedName name="IA_OpexFixedTotal">#REF!</definedName>
    <definedName name="IA_OpexLNG">#REF!</definedName>
    <definedName name="IA_OpexVarCompr">#REF!</definedName>
    <definedName name="IA_OpexVarGT">#REF!</definedName>
    <definedName name="IA_OpexVarOps">#REF!</definedName>
    <definedName name="IA_OpexVarOther">#REF!</definedName>
    <definedName name="IA_OpexVarProc">#REF!</definedName>
    <definedName name="IA_OpexVarTariffs">#REF!</definedName>
    <definedName name="IA_OpexVarTotal">#REF!</definedName>
    <definedName name="IA_OtherProd10">#REF!</definedName>
    <definedName name="IA_OtherProd5">#REF!</definedName>
    <definedName name="IA_OtherProd6">#REF!</definedName>
    <definedName name="IA_OtherProd7">#REF!</definedName>
    <definedName name="IA_OtherProd8">#REF!</definedName>
    <definedName name="IA_OtherProd9">#REF!</definedName>
    <definedName name="IA_PartnerList">#REF!</definedName>
    <definedName name="IA_PriceCO2e">#REF!</definedName>
    <definedName name="IA_PriceDomesticCond_Disc">#REF!</definedName>
    <definedName name="IA_PriceDomesticDiffCond_Calc">#REF!</definedName>
    <definedName name="IA_PriceDomesticDiffCond_HC">#REF!</definedName>
    <definedName name="IA_PriceDomesticDiffGas">#REF!</definedName>
    <definedName name="IA_PriceDomesticDiffLNGFeedstock">#REF!</definedName>
    <definedName name="IA_PriceDomesticDiffLNGSales">#REF!</definedName>
    <definedName name="IA_PriceDomesticDiffNGL">#REF!</definedName>
    <definedName name="IA_PriceDomesticDiffOil_Calc">#REF!</definedName>
    <definedName name="IA_PriceDomesticDiffOil_HC">#REF!</definedName>
    <definedName name="IA_PriceDomesticDiffOther10">#REF!</definedName>
    <definedName name="IA_PriceDomesticDiffOther5">#REF!</definedName>
    <definedName name="IA_PriceDomesticDiffOther6">#REF!</definedName>
    <definedName name="IA_PriceDomesticDiffOther7">#REF!</definedName>
    <definedName name="IA_PriceDomesticDiffOther8">#REF!</definedName>
    <definedName name="IA_PriceDomesticDiffOther9">#REF!</definedName>
    <definedName name="IA_PriceDomesticGas">#REF!</definedName>
    <definedName name="IA_PriceDomesticLNGFeedstock">#REF!</definedName>
    <definedName name="IA_PriceDomesticLNGSales">#REF!</definedName>
    <definedName name="IA_PriceDomesticNGL">#REF!</definedName>
    <definedName name="IA_PriceDomesticOil">#REF!</definedName>
    <definedName name="IA_PriceDomesticOther10">#REF!</definedName>
    <definedName name="IA_PriceDomesticOther5">#REF!</definedName>
    <definedName name="IA_PriceDomesticOther6">#REF!</definedName>
    <definedName name="IA_PriceDomesticOther7">#REF!</definedName>
    <definedName name="IA_PriceDomesticOther8">#REF!</definedName>
    <definedName name="IA_PriceDomesticOther9">#REF!</definedName>
    <definedName name="IA_PriceExportDiffCond">#REF!</definedName>
    <definedName name="IA_PriceExportDiffCond_Calc">#REF!</definedName>
    <definedName name="IA_PriceExportDiffCond_HC">#REF!</definedName>
    <definedName name="IA_PriceExportDiffGas">#REF!</definedName>
    <definedName name="IA_PriceExportDiffLNGFeedstock">#REF!</definedName>
    <definedName name="IA_PriceExportDiffLNGSales">#REF!</definedName>
    <definedName name="IA_PriceExportDiffNGL">#REF!</definedName>
    <definedName name="IA_PriceExportDiffOil_Calc">#REF!</definedName>
    <definedName name="IA_PriceExportDiffOil_HC">#REF!</definedName>
    <definedName name="IA_PriceExportDiffOther10">#REF!</definedName>
    <definedName name="IA_PriceExportDiffOther5">#REF!</definedName>
    <definedName name="IA_PriceExportDiffOther6">#REF!</definedName>
    <definedName name="IA_PriceExportDiffOther7">#REF!</definedName>
    <definedName name="IA_PriceExportDiffOther8">#REF!</definedName>
    <definedName name="IA_PriceExportDiffOther9">#REF!</definedName>
    <definedName name="IA_PriceExportGas">#REF!</definedName>
    <definedName name="IA_PriceExportLNGFeedstock">#REF!</definedName>
    <definedName name="IA_PriceExportLNGSales">#REF!</definedName>
    <definedName name="IA_PriceExportNGL">#REF!</definedName>
    <definedName name="IA_PriceExportOil">#REF!</definedName>
    <definedName name="IA_PriceExportOther10">#REF!</definedName>
    <definedName name="IA_PriceExportOther5">#REF!</definedName>
    <definedName name="IA_PriceExportOther6">#REF!</definedName>
    <definedName name="IA_PriceExportOther7">#REF!</definedName>
    <definedName name="IA_PriceExportOther8">#REF!</definedName>
    <definedName name="IA_PriceExportOther9">#REF!</definedName>
    <definedName name="IA_ProdCO2e">#REF!</definedName>
    <definedName name="IA_ProdCond">#REF!</definedName>
    <definedName name="IA_ProdGas">#REF!</definedName>
    <definedName name="IA_ProdLNGFeedstock">#REF!</definedName>
    <definedName name="IA_ProdLNGSales">#REF!</definedName>
    <definedName name="IA_ProdNGL">#REF!</definedName>
    <definedName name="IA_ProdOil">#REF!</definedName>
    <definedName name="IA_PS_Prog_CumProd">#REF!</definedName>
    <definedName name="IA_PS_Prog_CumProd_Rate">#REF!</definedName>
    <definedName name="IA_PS_Rate_Gas">#REF!</definedName>
    <definedName name="IA_PS_Rate_Gas2001">#REF!</definedName>
    <definedName name="IA_PS_Rate_Oil">#REF!</definedName>
    <definedName name="IA_PS_Rate_Oil2001">#REF!</definedName>
    <definedName name="IA_PS_WD_Gas">#REF!</definedName>
    <definedName name="IA_PS_WD_Gas2001">#REF!</definedName>
    <definedName name="IA_PS_WD_Oil">#REF!</definedName>
    <definedName name="IA_PS_WD_Oil2001">#REF!</definedName>
    <definedName name="IA_PS_Yr_Gas">#REF!</definedName>
    <definedName name="IA_PS_Yr_Gas2001">#REF!</definedName>
    <definedName name="IA_PS_Yr_Oil">#REF!</definedName>
    <definedName name="IA_PS_Yr_Oil2001">#REF!</definedName>
    <definedName name="IA_Roy_Rate">#REF!</definedName>
    <definedName name="IA_Roy_Rate2001">#REF!</definedName>
    <definedName name="IA_Roy_WD2001">#REF!</definedName>
    <definedName name="IA_Roy_Yr">#REF!</definedName>
    <definedName name="IA_Roy_Yr2001">#REF!</definedName>
    <definedName name="IA_StateParticipation">#REF!</definedName>
    <definedName name="IA_WHTrate">#REF!</definedName>
    <definedName name="ICP_Esc">#REF!</definedName>
    <definedName name="index_yr0Capex">#REF!</definedName>
    <definedName name="index_yr0Inflation">#REF!</definedName>
    <definedName name="index_yr0Opex">#REF!</definedName>
    <definedName name="input_CapexDecom">#REF!</definedName>
    <definedName name="input_OpexFixedTotal">#REF!</definedName>
    <definedName name="input_OpexLNG">#REF!</definedName>
    <definedName name="input_OpexVarCompr">#REF!</definedName>
    <definedName name="input_OpexVarGT">#REF!</definedName>
    <definedName name="input_OpexVarOps">#REF!</definedName>
    <definedName name="input_OpexVarOther">#REF!</definedName>
    <definedName name="input_OpexVarProc">#REF!</definedName>
    <definedName name="input_OpexVarTariffs">#REF!</definedName>
    <definedName name="input_OpexVarTotal">#REF!</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nolExpiration">#REF!</definedName>
    <definedName name="OA_AdditionalTaxes">#REF!</definedName>
    <definedName name="OA_ATCF_Nominal">#REF!</definedName>
    <definedName name="OA_ATCF_Nominal_IOC">#REF!</definedName>
    <definedName name="OA_ATCF_Nominal_NOC">#REF!</definedName>
    <definedName name="OA_ATCF_Real">#REF!</definedName>
    <definedName name="OA_ATCF_Real_HostGovt">#REF!</definedName>
    <definedName name="OA_ATCF_Real_IOC">#REF!</definedName>
    <definedName name="OA_ATCF_Real_NOC">#REF!</definedName>
    <definedName name="OA_CapexDecom">#REF!</definedName>
    <definedName name="OA_CapexDevex">#REF!</definedName>
    <definedName name="OA_CapexDevexLNG">#REF!</definedName>
    <definedName name="OA_CapexEA">#REF!</definedName>
    <definedName name="OA_CapexTotal">#REF!</definedName>
    <definedName name="OA_CarbonCosts">#REF!</definedName>
    <definedName name="OA_CIT">#REF!</definedName>
    <definedName name="OA_Decom">#REF!</definedName>
    <definedName name="OA_Decom_Tax">#REF!</definedName>
    <definedName name="OA_DF_DevForward">#REF!</definedName>
    <definedName name="OA_DF_FullCycle">#REF!</definedName>
    <definedName name="OA_DF_PointForward">#REF!</definedName>
    <definedName name="OA_DI_Nominal">#REF!</definedName>
    <definedName name="OA_EBITDA">#REF!</definedName>
    <definedName name="OA_EntitlementRevTotal">#REF!</definedName>
    <definedName name="OA_EntitleRevenue_Gas">#REF!</definedName>
    <definedName name="OA_EntitleRevenue_Liquids">#REF!</definedName>
    <definedName name="OA_EntitleVol_Gas">#REF!</definedName>
    <definedName name="OA_EntitleVol_Liquids">#REF!</definedName>
    <definedName name="OA_GrossRevenueGas">#REF!</definedName>
    <definedName name="OA_GrossRevenueLiquids">#REF!</definedName>
    <definedName name="OA_GrossRevenueOil">#REF!</definedName>
    <definedName name="OA_GrossRevenueTotal">#REF!</definedName>
    <definedName name="OA_Nom_To_Real">#REF!</definedName>
    <definedName name="OA_OpexFixed">#REF!</definedName>
    <definedName name="OA_OpexLNG">#REF!</definedName>
    <definedName name="OA_OpexTotal">#REF!</definedName>
    <definedName name="OA_OpexVariable">#REF!</definedName>
    <definedName name="OA_OtherCosts">#REF!</definedName>
    <definedName name="OA_ProdAndOtherTaxes">#REF!</definedName>
    <definedName name="outEconLimitYear">#REF!</definedName>
    <definedName name="outIRR_Proj">#REF!</definedName>
    <definedName name="outIRR_Proj_DevFwd">#REF!</definedName>
    <definedName name="outIRR_Proj_PntFwd">#REF!</definedName>
    <definedName name="outNPV_Proj">#REF!</definedName>
    <definedName name="outNPV_Proj_DevFwd">#REF!</definedName>
    <definedName name="outNPV_Proj_PntFwd">#REF!</definedName>
    <definedName name="ps_contract_Premium">#REF!</definedName>
    <definedName name="ps_Prog_CumProd_Trig">#REF!</definedName>
    <definedName name="ps_Rate_Gas_GrossSplit">#REF!</definedName>
    <definedName name="ps_Rate_GrossSplit_Var">#REF!</definedName>
    <definedName name="ps_Rate_Oil_AdjustmentPrice">#REF!</definedName>
    <definedName name="ps_Rate_Oil_AdjustmentRate">#REF!</definedName>
    <definedName name="ps_Rate_Oil_GrossSplit">#REF!</definedName>
    <definedName name="ps_Rate_Premium">#REF!</definedName>
    <definedName name="ps_Rate_Prog_Gas_Price1">#REF!</definedName>
    <definedName name="ps_Rate_Prog_Gas_Price2">#REF!</definedName>
    <definedName name="ps_Rate_Prog_Gas_Rate">#REF!</definedName>
    <definedName name="ps_Rate_Prog_Oil">#REF!</definedName>
    <definedName name="ps_Yr_Premium">#REF!</definedName>
    <definedName name="sensitivity_CarbonPrice">#REF!</definedName>
    <definedName name="sensitivity_CarbonPrice2">#REF!</definedName>
    <definedName name="sensitivity_Decom">#REF!</definedName>
    <definedName name="sensitivity_Decom2">#REF!</definedName>
    <definedName name="Sensitivity_DiscountRate">#REF!</definedName>
    <definedName name="sensitivity_FD">#REF!</definedName>
    <definedName name="sensitivity_FD2">#REF!</definedName>
    <definedName name="sensitivity_Opex">#REF!</definedName>
    <definedName name="sensitivity_Opex2">#REF!</definedName>
    <definedName name="sensitivity_Price">#REF!</definedName>
    <definedName name="sensitivity_Price2">#REF!</definedName>
    <definedName name="sensitivity_Production">#REF!</definedName>
    <definedName name="sensitivity_Production2">#REF!</definedName>
    <definedName name="sigBonusRecov">#REF!</definedName>
    <definedName name="switch_NomReal">#REF!</definedName>
    <definedName name="switch_Period">#REF!</definedName>
    <definedName name="tax_GTP_CapAll">#REF!</definedName>
    <definedName name="trig_contract">#REF!</definedName>
    <definedName name="trig_Conventional">#REF!</definedName>
    <definedName name="trig_Decom_HC">#REF!</definedName>
    <definedName name="trig_FixedOpex_HC">#REF!</definedName>
    <definedName name="trig_Frontier">#REF!</definedName>
    <definedName name="trig_Gas_Transfer_Price_Est">#REF!</definedName>
    <definedName name="trig_LNG">#REF!</definedName>
    <definedName name="trig_LNGOpex_HC">#REF!</definedName>
    <definedName name="trig_PriceInputcondDomestic_Calc">#REF!</definedName>
    <definedName name="trig_PriceInputcondDomestic_HC">#REF!</definedName>
    <definedName name="trig_PriceInputCondExport_Calc">#REF!</definedName>
    <definedName name="trig_PriceInputCondExport_HC">#REF!</definedName>
    <definedName name="trig_PriceInputOilDomestic_Calc">#REF!</definedName>
    <definedName name="trig_PriceInputOilDomestic_HC">#REF!</definedName>
    <definedName name="trig_PriceInputOilExport_Calc">#REF!</definedName>
    <definedName name="trig_PriceInputOilExport_HC">#REF!</definedName>
    <definedName name="trig_Production">#REF!</definedName>
    <definedName name="trig_VarOpexCompr_HC">#REF!</definedName>
    <definedName name="trig_VarOpexGT_HC">#REF!</definedName>
    <definedName name="trig_VarOpexOps_HC">#REF!</definedName>
    <definedName name="trig_VarOpexOther_HC">#REF!</definedName>
    <definedName name="trig_VarOpexProc_HC">#REF!</definedName>
    <definedName name="trig_VarOpexTariffs_HC">#REF!</definedName>
    <definedName name="trig_VarOpexTotal">#REF!</definedName>
    <definedName name="trig_VarOpexTotal_HC">#REF!</definedName>
    <definedName name="year_baseCosts">#REF!</definedName>
    <definedName name="year_basePrices">#REF!</definedName>
    <definedName name="year_cntTotal">#REF!</definedName>
    <definedName name="year_contractAward">#REF!</definedName>
    <definedName name="year_ContractConvert">#REF!</definedName>
    <definedName name="year_contractExpiry">#REF!</definedName>
    <definedName name="year_current">#REF!</definedName>
    <definedName name="year_FID">#REF!</definedName>
    <definedName name="year_firstProd">#REF!</definedName>
    <definedName name="year_firstSpend">#REF!</definedName>
    <definedName name="year_GSAactive">#REF!</definedName>
    <definedName name="year_lastProd">#REF!</definedName>
    <definedName name="year_modelStart">#REF!</definedName>
    <definedName name="year_peakProd">#REF!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K163" i="380" l="1"/>
  <c r="AJ163" i="380"/>
  <c r="AI163" i="380"/>
  <c r="AH163" i="380"/>
  <c r="AG163" i="380"/>
  <c r="AF163" i="380"/>
  <c r="AE163" i="380"/>
  <c r="AD163" i="380"/>
  <c r="AC163" i="380"/>
  <c r="AB163" i="380"/>
  <c r="AA163" i="380"/>
  <c r="Z163" i="380"/>
  <c r="Y163" i="380"/>
  <c r="X163" i="380"/>
  <c r="W163" i="380"/>
  <c r="V163" i="380"/>
  <c r="U163" i="380"/>
  <c r="T163" i="380"/>
  <c r="S163" i="380"/>
  <c r="R163" i="380"/>
  <c r="Q163" i="380"/>
  <c r="P163" i="380"/>
  <c r="O163" i="380"/>
  <c r="N163" i="380"/>
  <c r="M163" i="380"/>
  <c r="L163" i="380"/>
  <c r="K163" i="380"/>
  <c r="J163" i="380"/>
  <c r="I163" i="380"/>
  <c r="H163" i="380"/>
  <c r="G163" i="380"/>
  <c r="F163" i="380"/>
  <c r="E163" i="380"/>
  <c r="D163" i="380"/>
  <c r="C163" i="380"/>
  <c r="AH109" i="380"/>
  <c r="AG109" i="380"/>
  <c r="AF109" i="380"/>
  <c r="AE109" i="380"/>
  <c r="AD109" i="380"/>
  <c r="AC109" i="380"/>
  <c r="AB109" i="380"/>
  <c r="AA109" i="380"/>
  <c r="Z109" i="380"/>
  <c r="Y109" i="380"/>
  <c r="X109" i="380"/>
  <c r="W109" i="380"/>
  <c r="V109" i="380"/>
  <c r="U109" i="380"/>
  <c r="T109" i="380"/>
  <c r="S109" i="380"/>
  <c r="R109" i="380"/>
  <c r="Q109" i="380"/>
  <c r="P109" i="380"/>
  <c r="O109" i="380"/>
  <c r="N109" i="380"/>
  <c r="M109" i="380"/>
  <c r="L109" i="380"/>
  <c r="K109" i="380"/>
  <c r="J109" i="380"/>
  <c r="I109" i="380"/>
  <c r="H109" i="380"/>
  <c r="G109" i="380"/>
  <c r="F109" i="380"/>
  <c r="E109" i="380"/>
  <c r="D109" i="380"/>
  <c r="C109" i="380"/>
  <c r="AH55" i="380"/>
  <c r="AG55" i="380"/>
  <c r="AF55" i="380"/>
  <c r="AE55" i="380"/>
  <c r="AD55" i="380"/>
  <c r="AC55" i="380"/>
  <c r="AB55" i="380"/>
  <c r="AA55" i="380"/>
  <c r="Z55" i="380"/>
  <c r="Y55" i="380"/>
  <c r="X55" i="380"/>
  <c r="W55" i="380"/>
  <c r="V55" i="380"/>
  <c r="U55" i="380"/>
  <c r="T55" i="380"/>
  <c r="S55" i="380"/>
  <c r="R55" i="380"/>
  <c r="Q55" i="380"/>
  <c r="P55" i="380"/>
  <c r="O55" i="380"/>
  <c r="N55" i="380"/>
  <c r="M55" i="380"/>
  <c r="L55" i="380"/>
  <c r="K55" i="380"/>
  <c r="J55" i="380"/>
  <c r="I55" i="380"/>
  <c r="H55" i="380"/>
  <c r="G55" i="380"/>
  <c r="F55" i="380"/>
  <c r="E55" i="380"/>
  <c r="D55" i="380"/>
  <c r="C55" i="380"/>
  <c r="G55" i="346"/>
  <c r="G109" i="346"/>
  <c r="G163" i="346"/>
  <c r="AH163" i="346"/>
  <c r="AI163" i="346"/>
  <c r="AJ163" i="346"/>
  <c r="AH109" i="346"/>
  <c r="AH55" i="346"/>
  <c r="AK163" i="346"/>
  <c r="AG163" i="346"/>
  <c r="AF163" i="346"/>
  <c r="AE163" i="346"/>
  <c r="AD163" i="346"/>
  <c r="AC163" i="346"/>
  <c r="AB163" i="346"/>
  <c r="AA163" i="346"/>
  <c r="Z163" i="346"/>
  <c r="Y163" i="346"/>
  <c r="X163" i="346"/>
  <c r="W163" i="346"/>
  <c r="V163" i="346"/>
  <c r="U163" i="346"/>
  <c r="T163" i="346"/>
  <c r="S163" i="346"/>
  <c r="R163" i="346"/>
  <c r="Q163" i="346"/>
  <c r="P163" i="346"/>
  <c r="O163" i="346"/>
  <c r="N163" i="346"/>
  <c r="M163" i="346"/>
  <c r="L163" i="346"/>
  <c r="K163" i="346"/>
  <c r="J163" i="346"/>
  <c r="I163" i="346"/>
  <c r="H163" i="346"/>
  <c r="F163" i="346"/>
  <c r="E163" i="346"/>
  <c r="D163" i="346"/>
  <c r="C163" i="346"/>
  <c r="AG109" i="346"/>
  <c r="AF109" i="346"/>
  <c r="AE109" i="346"/>
  <c r="AD109" i="346"/>
  <c r="AC109" i="346"/>
  <c r="AB109" i="346"/>
  <c r="AA109" i="346"/>
  <c r="Z109" i="346"/>
  <c r="Y109" i="346"/>
  <c r="X109" i="346"/>
  <c r="W109" i="346"/>
  <c r="V109" i="346"/>
  <c r="U109" i="346"/>
  <c r="T109" i="346"/>
  <c r="S109" i="346"/>
  <c r="R109" i="346"/>
  <c r="Q109" i="346"/>
  <c r="P109" i="346"/>
  <c r="O109" i="346"/>
  <c r="N109" i="346"/>
  <c r="M109" i="346"/>
  <c r="L109" i="346"/>
  <c r="K109" i="346"/>
  <c r="J109" i="346"/>
  <c r="I109" i="346"/>
  <c r="H109" i="346"/>
  <c r="F109" i="346"/>
  <c r="E109" i="346"/>
  <c r="D109" i="346"/>
  <c r="C109" i="346"/>
  <c r="D55" i="346"/>
  <c r="E55" i="346"/>
  <c r="F55" i="346"/>
  <c r="H55" i="346"/>
  <c r="I55" i="346"/>
  <c r="J55" i="346"/>
  <c r="K55" i="346"/>
  <c r="L55" i="346"/>
  <c r="M55" i="346"/>
  <c r="N55" i="346"/>
  <c r="O55" i="346"/>
  <c r="P55" i="346"/>
  <c r="Q55" i="346"/>
  <c r="R55" i="346"/>
  <c r="S55" i="346"/>
  <c r="T55" i="346"/>
  <c r="U55" i="346"/>
  <c r="V55" i="346"/>
  <c r="W55" i="346"/>
  <c r="X55" i="346"/>
  <c r="Y55" i="346"/>
  <c r="Z55" i="346"/>
  <c r="AA55" i="346"/>
  <c r="AB55" i="346"/>
  <c r="AC55" i="346"/>
  <c r="AD55" i="346"/>
  <c r="AE55" i="346"/>
  <c r="AF55" i="346"/>
  <c r="AG55" i="346"/>
  <c r="C55" i="346"/>
  <c r="D11" i="376"/>
  <c r="F7" i="377" s="1"/>
  <c r="F18" i="375"/>
  <c r="D7" i="376"/>
  <c r="D9" i="376"/>
  <c r="D10" i="376"/>
  <c r="F6" i="377" s="1"/>
  <c r="D8" i="376"/>
  <c r="F4" i="377" s="1"/>
  <c r="E11" i="376" l="1"/>
  <c r="E10" i="376"/>
  <c r="C9" i="376"/>
  <c r="F5" i="377"/>
  <c r="C7" i="376"/>
  <c r="F3" i="377"/>
  <c r="E8" i="376"/>
  <c r="C11" i="376"/>
  <c r="C10" i="376"/>
  <c r="C8" i="376"/>
  <c r="E9" i="376"/>
  <c r="E7" i="376"/>
  <c r="N2" i="375" l="1"/>
  <c r="F17" i="375" l="1"/>
  <c r="F16" i="375"/>
  <c r="F13" i="375"/>
  <c r="F12" i="375"/>
  <c r="F11" i="375"/>
  <c r="F10" i="375"/>
  <c r="F9" i="375"/>
  <c r="F8" i="375"/>
  <c r="F7" i="375"/>
  <c r="F6" i="375"/>
  <c r="F5" i="375"/>
  <c r="B6" i="345" l="1"/>
  <c r="B17"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Muhamad Adhim Mulia</author>
  </authors>
  <commentList>
    <comment ref="C31" authorId="0" shapeId="0" xr:uid="{B06E4DFF-3A36-4415-95D1-9B70EF88A67B}">
      <text>
        <r>
          <rPr>
            <b/>
            <sz val="9"/>
            <color indexed="81"/>
            <rFont val="Tahoma"/>
            <family val="2"/>
          </rPr>
          <t xml:space="preserve">PySCnomics:
</t>
        </r>
        <r>
          <rPr>
            <sz val="9"/>
            <color indexed="81"/>
            <rFont val="Tahoma"/>
            <family val="2"/>
          </rPr>
          <t>The POT calculation is based on the 31st December of the reference year</t>
        </r>
        <r>
          <rPr>
            <b/>
            <sz val="9"/>
            <color indexed="81"/>
            <rFont val="Tahoma"/>
            <family val="2"/>
          </rPr>
          <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Muhamad Adhim Mulia</author>
  </authors>
  <commentList>
    <comment ref="B27" authorId="0" shapeId="0" xr:uid="{D8C979C4-6B88-4842-9FB0-C371A043927A}">
      <text>
        <r>
          <rPr>
            <b/>
            <sz val="9"/>
            <color indexed="81"/>
            <rFont val="Tahoma"/>
            <family val="2"/>
          </rPr>
          <t xml:space="preserve">PySCnomics: </t>
        </r>
        <r>
          <rPr>
            <sz val="9"/>
            <color indexed="81"/>
            <rFont val="Tahoma"/>
            <family val="2"/>
          </rPr>
          <t xml:space="preserve">Only for non-PSC method
</t>
        </r>
      </text>
    </comment>
  </commentList>
</comments>
</file>

<file path=xl/sharedStrings.xml><?xml version="1.0" encoding="utf-8"?>
<sst xmlns="http://schemas.openxmlformats.org/spreadsheetml/2006/main" count="1290" uniqueCount="419">
  <si>
    <t>Year</t>
  </si>
  <si>
    <t>Oil Sales (MMBOPY)</t>
  </si>
  <si>
    <t>Oil Price (USD/BBL)</t>
  </si>
  <si>
    <t>Condensate Sales (MMBOPY)</t>
  </si>
  <si>
    <t>Condensate Price (USD/BBL)</t>
  </si>
  <si>
    <t>Gas Production (BSCF)</t>
  </si>
  <si>
    <t>GSA 1 GHV (BTU/SCF)</t>
  </si>
  <si>
    <t>GSA 1 Volume (BSCF)</t>
  </si>
  <si>
    <t>LPG Propane Sales (MT)</t>
  </si>
  <si>
    <t>LPG Propane Price (USD/T)</t>
  </si>
  <si>
    <t>LPG Butane Sales (MT)</t>
  </si>
  <si>
    <t>LPG Butane Price(USD/T)</t>
  </si>
  <si>
    <t>Text Color in Cells</t>
  </si>
  <si>
    <t>Tabs</t>
  </si>
  <si>
    <t>Price (MMUSD/Unit)</t>
  </si>
  <si>
    <t>CO2 Sales (Ton)</t>
  </si>
  <si>
    <t>Sulfur Sales (Ton)</t>
  </si>
  <si>
    <t>Associated With</t>
  </si>
  <si>
    <t>Cost (MUSD)</t>
  </si>
  <si>
    <t>Type of Contract</t>
  </si>
  <si>
    <t>Discount Rate Start Year</t>
  </si>
  <si>
    <t>Inflation Rate Applied to</t>
  </si>
  <si>
    <t>PIS Year</t>
  </si>
  <si>
    <t>Useful Life (Years)</t>
  </si>
  <si>
    <t>Depreciation Factor</t>
  </si>
  <si>
    <t>Applied By IC</t>
  </si>
  <si>
    <t>Yes</t>
  </si>
  <si>
    <t>Tahapan Produksi</t>
  </si>
  <si>
    <t>No POD</t>
  </si>
  <si>
    <t>Onshore</t>
  </si>
  <si>
    <t>Well Developed</t>
  </si>
  <si>
    <t>&lt;25</t>
  </si>
  <si>
    <t>&lt;5</t>
  </si>
  <si>
    <t>&lt;100</t>
  </si>
  <si>
    <t>Conventional</t>
  </si>
  <si>
    <t>Field Status</t>
  </si>
  <si>
    <t>Field Location</t>
  </si>
  <si>
    <t>Reservoir Depth (m)</t>
  </si>
  <si>
    <t>Infrastructure Availability</t>
  </si>
  <si>
    <t>Reservoir Type</t>
  </si>
  <si>
    <t>CO2 Content</t>
  </si>
  <si>
    <t>H2S Content</t>
  </si>
  <si>
    <t>Oil API</t>
  </si>
  <si>
    <t>Domestic Content Use</t>
  </si>
  <si>
    <t>Production Stage</t>
  </si>
  <si>
    <t>&lt;=2500</t>
  </si>
  <si>
    <t>50&lt;=x&lt;70</t>
  </si>
  <si>
    <t>Secondary</t>
  </si>
  <si>
    <t>Karakteristik</t>
  </si>
  <si>
    <t>Parameter</t>
  </si>
  <si>
    <t>POD I</t>
  </si>
  <si>
    <t>POD II</t>
  </si>
  <si>
    <t>Offshore (h&gt;1000)</t>
  </si>
  <si>
    <t>&gt;2500</t>
  </si>
  <si>
    <t>New Frontier Offshore</t>
  </si>
  <si>
    <t>New Frontier Onshore</t>
  </si>
  <si>
    <t>x&lt;30</t>
  </si>
  <si>
    <t>Primer</t>
  </si>
  <si>
    <t>Field Location (*h=sea depth in meter)</t>
  </si>
  <si>
    <t>Domestic Content Use (%)</t>
  </si>
  <si>
    <t>CO2 Content (%)</t>
  </si>
  <si>
    <t>H2S Content (ppm)</t>
  </si>
  <si>
    <t>Holiday</t>
  </si>
  <si>
    <t>Period</t>
  </si>
  <si>
    <t>Start of Production</t>
  </si>
  <si>
    <t>Volume</t>
  </si>
  <si>
    <t>Fee</t>
  </si>
  <si>
    <t>Offshore (0&lt;h&lt;=20)</t>
  </si>
  <si>
    <t>Offshore (20&lt;h&lt;=50)</t>
  </si>
  <si>
    <t>Offshore (50&lt;h&lt;=150)</t>
  </si>
  <si>
    <t>Offshore (150&lt;h&lt;=1000)</t>
  </si>
  <si>
    <t>Non Conventional</t>
  </si>
  <si>
    <t>&gt;=25</t>
  </si>
  <si>
    <t>POFD</t>
  </si>
  <si>
    <t>Value (%)</t>
  </si>
  <si>
    <t>New Frontier</t>
  </si>
  <si>
    <t>30&lt;=x&lt;50</t>
  </si>
  <si>
    <t>70&lt;=x&lt;100</t>
  </si>
  <si>
    <t>Primary</t>
  </si>
  <si>
    <t>Tertiary</t>
  </si>
  <si>
    <t>5&lt;=x&lt;10</t>
  </si>
  <si>
    <t>10&lt;=x&lt;20</t>
  </si>
  <si>
    <t>20&lt;=x&lt;40</t>
  </si>
  <si>
    <t>40&lt;=x&lt;60</t>
  </si>
  <si>
    <t>2000&lt;=x&lt;3000</t>
  </si>
  <si>
    <t>3000&lt;=x&lt;4000</t>
  </si>
  <si>
    <t>100&lt;=x&lt;300</t>
  </si>
  <si>
    <t>300&lt;=x&lt;500</t>
  </si>
  <si>
    <t>PERMEN ESDM NO.08 Tahun 2017</t>
  </si>
  <si>
    <t>500&lt;=x</t>
  </si>
  <si>
    <t>60&lt;=x</t>
  </si>
  <si>
    <t>100&lt;=x&lt;1000</t>
  </si>
  <si>
    <t>1000&lt;=x&lt;2000</t>
  </si>
  <si>
    <t>4000&lt;=x</t>
  </si>
  <si>
    <t>-</t>
  </si>
  <si>
    <t>PERMEN ESDM NO.52 Tahun 2017 / No. 20 Tahun 2019</t>
  </si>
  <si>
    <t>Project Start Date</t>
  </si>
  <si>
    <t>Project End Date</t>
  </si>
  <si>
    <t>Oil Onstream Date</t>
  </si>
  <si>
    <t>Gas Onstream Date</t>
  </si>
  <si>
    <t>Produced Fluid</t>
  </si>
  <si>
    <t>General Configuration</t>
  </si>
  <si>
    <t>Split Configuration</t>
  </si>
  <si>
    <t>Oil DMO Configuration</t>
  </si>
  <si>
    <t>Gas DMO Configuration</t>
  </si>
  <si>
    <t>First Tranche Petroleum (FTP) Configuration</t>
  </si>
  <si>
    <t>FTP Availability</t>
  </si>
  <si>
    <t>FTP is Shared</t>
  </si>
  <si>
    <t>FTP Portion</t>
  </si>
  <si>
    <t>Split Type</t>
  </si>
  <si>
    <t>Pre Tax Split Configuration</t>
  </si>
  <si>
    <t>Gas Contractor Pre Tax</t>
  </si>
  <si>
    <t>Oil Contractor Pre Tax</t>
  </si>
  <si>
    <t>Oil IC</t>
  </si>
  <si>
    <t>Investment Credit (IC) Configuration</t>
  </si>
  <si>
    <t>Gas IC</t>
  </si>
  <si>
    <t>IC Availability</t>
  </si>
  <si>
    <t>Cost Recovery (CR) Configuration</t>
  </si>
  <si>
    <t>Oil CR Cap Rate</t>
  </si>
  <si>
    <t>Gas CR Cap Rate</t>
  </si>
  <si>
    <t>No</t>
  </si>
  <si>
    <t>GSA 1 Price (USD/MMBTU)</t>
  </si>
  <si>
    <t>GSA 2 Volume (BSCF)</t>
  </si>
  <si>
    <t>GSA 2 GHV (BTU/SCF)</t>
  </si>
  <si>
    <t>GSA 2 Price (USD/MMBTU)</t>
  </si>
  <si>
    <t>GSA 3 Volume (BSCF)</t>
  </si>
  <si>
    <t>GSA 3 GHV (BTU/SCF)</t>
  </si>
  <si>
    <t>GSA 3 Price (USD/MMBTU)</t>
  </si>
  <si>
    <t>GSA 4 Volume (BSCF)</t>
  </si>
  <si>
    <t>GSA 4 GHV (BTU/SCF)</t>
  </si>
  <si>
    <t>GSA 4 Price (USD/MMBTU)</t>
  </si>
  <si>
    <t>GSA 5 Volume (BSCF)</t>
  </si>
  <si>
    <t>GSA 5 GHV (BTU/SCF)</t>
  </si>
  <si>
    <t>GSA 5 Price (USD/MMBTU)</t>
  </si>
  <si>
    <t>GSA 6 Volume (BSCF)5</t>
  </si>
  <si>
    <t>GSA 6 GHV (BTU/SCF)</t>
  </si>
  <si>
    <t>GSA 6 Price (USD/MMBTU)</t>
  </si>
  <si>
    <t>GSA 7 Volume (BSCF)</t>
  </si>
  <si>
    <t>GSA 7 GHV (BTU/SCF)</t>
  </si>
  <si>
    <t>GSA 7 Price (USD/MMBTU)</t>
  </si>
  <si>
    <t>GSA 8 Volume (BSCF)</t>
  </si>
  <si>
    <t>GSA 8 GHV (BTU/SCF)</t>
  </si>
  <si>
    <t>GSA 8 Price (USD/MMBTU)</t>
  </si>
  <si>
    <t>GSA 9 Volume (BSCF)</t>
  </si>
  <si>
    <t>GSA 9 GHV (BTU/SCF)</t>
  </si>
  <si>
    <t>GSA 9 Price (USD/MMBTU)</t>
  </si>
  <si>
    <t>GSA 10 Volume (BSCF)</t>
  </si>
  <si>
    <t>GSA 10 GHV (BTU/SCF)</t>
  </si>
  <si>
    <t>GSA 10 Price (USD/MMBTU)</t>
  </si>
  <si>
    <t>GSA 11 Volume (BSCF)</t>
  </si>
  <si>
    <t>GSA 11 GHV (BTU/SCF)</t>
  </si>
  <si>
    <t>GSA 11 Price (USD/MMBTU)</t>
  </si>
  <si>
    <t>GSA 12 Volume (BSCF)</t>
  </si>
  <si>
    <t>GSA 12 GHV (BTU/SCF)</t>
  </si>
  <si>
    <t>GSA 12 Price (USD/MMBTU)</t>
  </si>
  <si>
    <t>GSA 13 Volume (BSCF)5</t>
  </si>
  <si>
    <t>GSA 13 GHV (BTU/SCF)</t>
  </si>
  <si>
    <t>GSA 13 Price (USD/MMBTU)</t>
  </si>
  <si>
    <t>GSA 14 Volume (BSCF)</t>
  </si>
  <si>
    <t>GSA 14 GHV (BTU/SCF)</t>
  </si>
  <si>
    <t>GSA 14 Price (USD/MMBTU)</t>
  </si>
  <si>
    <t>GSA 15 Volume (BSCF)</t>
  </si>
  <si>
    <t>GSA 15 GHV (BTU/SCF)</t>
  </si>
  <si>
    <t>GSA 15 Price (USD/MMBTU)</t>
  </si>
  <si>
    <t>GSA 16 Volume (BSCF)</t>
  </si>
  <si>
    <t>GSA 16 GHV (BTU/SCF)</t>
  </si>
  <si>
    <t>GSA 16 Price (USD/MMBTU)</t>
  </si>
  <si>
    <t>GSA 17 Volume (BSCF)</t>
  </si>
  <si>
    <t>GSA 17 GHV (BTU/SCF)</t>
  </si>
  <si>
    <t>GSA 18 Price (USD/MMBTU)</t>
  </si>
  <si>
    <t>GSA 19 Volume (BSCF)</t>
  </si>
  <si>
    <t>GSA 19 GHV (BTU/SCF)</t>
  </si>
  <si>
    <t>GSA 19 Price (USD/MMBTU)</t>
  </si>
  <si>
    <t>GSA 20 Volume (BSCF)5</t>
  </si>
  <si>
    <t>GSA 20 GHV (BTU/SCF)</t>
  </si>
  <si>
    <t>GSA 20 Price (USD/MMBTU)</t>
  </si>
  <si>
    <t>GSA 17 Price (USD/MMBTU)</t>
  </si>
  <si>
    <t>GSA 18 Volume (BSCF)</t>
  </si>
  <si>
    <t>GSA 18 GHV (BTU/SCF)</t>
  </si>
  <si>
    <t>Pyscnomics User Guide</t>
  </si>
  <si>
    <t>It is important to exercise caution when modifying columns or rows. The Prod Oil, Prod Gas, Prod LPG Propane, Prod LPG Butane, Prod CO2, Prod Sulfur, and General Config tab are all included in the Pyscnomics Excel model. Each tab is separated into different colors that show how much flexibility the user has to change inputs in each corresponding section.</t>
  </si>
  <si>
    <t>Colors in Tab</t>
  </si>
  <si>
    <t xml:space="preserve">Green - represents the calculation result tab. Users should not change the structure (add or delete rows or columns) of these sections. </t>
  </si>
  <si>
    <t>All of the model's editable inputs are shown in blue on blue (accessible only in the Yellow colored tab).</t>
  </si>
  <si>
    <t>The result of the calculations is in the cell that is black on white and should not be changed.</t>
  </si>
  <si>
    <t>1) General Config</t>
  </si>
  <si>
    <t>This tab contains all of the model's general configuration information.</t>
  </si>
  <si>
    <t>2) Cost Recovery Config</t>
  </si>
  <si>
    <t>This tab will be shown when the Cost Recovery or Transisition in the Type of Contract (General Config Tab) is selected.</t>
  </si>
  <si>
    <t>This tab will be shown when the Gross Split or Transition in the Type of Contract (General Config Tab) is selected.</t>
  </si>
  <si>
    <t>This tab will be shown when the Oil Checkbox in the Produced Fluid (General Config Tab) is checked.</t>
  </si>
  <si>
    <t>3) Gross Split Config</t>
  </si>
  <si>
    <t>4) Prod Oil</t>
  </si>
  <si>
    <t>5) Prod Gas</t>
  </si>
  <si>
    <t>This tab will be shown when the Gas Checkbox in the Produced Fluid (General Config Tab) is checked.</t>
  </si>
  <si>
    <t>6) Prod LPG Propane</t>
  </si>
  <si>
    <t>This tab will be shown when the LPG Propane Checkbox in the Produced Fluid (General Config Tab) is checked.</t>
  </si>
  <si>
    <t>This tab will be shown when the LPG Butane Checkbox in the Produced Fluid (General Config Tab) is checked.</t>
  </si>
  <si>
    <t>7) Prod LPG Butane</t>
  </si>
  <si>
    <t>8) Prod Sulfur</t>
  </si>
  <si>
    <t>9) Prod CO2</t>
  </si>
  <si>
    <t>This tab will be shown when the Sulfur Checkbox in the Produced Fluid (General Config Tab) is checked.</t>
  </si>
  <si>
    <t>This tab will be shown when the CO2 Checkbox in the Produced Fluid (General Config Tab) is checked.</t>
  </si>
  <si>
    <t>10) Cost Tangible</t>
  </si>
  <si>
    <t>This tab contains all of the Tangible cost data.</t>
  </si>
  <si>
    <t>This tab contains all of the Intangible cost data.</t>
  </si>
  <si>
    <t>This tab contains all of the Operating Expenditure (OPEX) cost data.</t>
  </si>
  <si>
    <t>11) Cost Intangible</t>
  </si>
  <si>
    <t>12) Cost OPEX</t>
  </si>
  <si>
    <t>13) Cost ASR</t>
  </si>
  <si>
    <t>This tab contains all of the Abandonment and Site Restoration (ASR) cost data.</t>
  </si>
  <si>
    <t>Parameters</t>
  </si>
  <si>
    <t>Unit</t>
  </si>
  <si>
    <t>Control</t>
  </si>
  <si>
    <t>Oil Production</t>
  </si>
  <si>
    <t>MSTB</t>
  </si>
  <si>
    <t>Oil WAP</t>
  </si>
  <si>
    <t>US$/bbl</t>
  </si>
  <si>
    <t>Gross Revenue</t>
  </si>
  <si>
    <t>MUS$</t>
  </si>
  <si>
    <t>Gross Share</t>
  </si>
  <si>
    <t>Contr. Gross Share</t>
  </si>
  <si>
    <t>GoI Gross Share</t>
  </si>
  <si>
    <t>Sunk Cost</t>
  </si>
  <si>
    <t>Investment</t>
  </si>
  <si>
    <t>Tangible</t>
  </si>
  <si>
    <t>Intangible</t>
  </si>
  <si>
    <t>OPEX + ASR</t>
  </si>
  <si>
    <t>OPEX</t>
  </si>
  <si>
    <t>ASR</t>
  </si>
  <si>
    <t>Deductible Cost</t>
  </si>
  <si>
    <t>(% Gross Revenue)</t>
  </si>
  <si>
    <t>%</t>
  </si>
  <si>
    <t>Contractor Profitability:</t>
  </si>
  <si>
    <t>Contr. Net Share</t>
  </si>
  <si>
    <t>(% Gross Rev)</t>
  </si>
  <si>
    <t>Contr. Net Cash Flow</t>
  </si>
  <si>
    <t>Contr. POT</t>
  </si>
  <si>
    <t>years</t>
  </si>
  <si>
    <t>GoI Profitability:</t>
  </si>
  <si>
    <t>Net DMO</t>
  </si>
  <si>
    <t>Tax</t>
  </si>
  <si>
    <t>GoI Take</t>
  </si>
  <si>
    <t>GoI NPV 2023 Onward</t>
  </si>
  <si>
    <t>RC Split</t>
  </si>
  <si>
    <t>RC Bottom Limit (&lt;)</t>
  </si>
  <si>
    <t xml:space="preserve"> (&lt;=) RC Top Limit</t>
  </si>
  <si>
    <t>ICP Sliding Scale</t>
  </si>
  <si>
    <t>ICP Bottom Limit (&lt;)</t>
  </si>
  <si>
    <t xml:space="preserve"> (&lt;=) ICP Top Limit</t>
  </si>
  <si>
    <t>Pre Tax CTR Oil</t>
  </si>
  <si>
    <t>Pre Tax CTR Gas</t>
  </si>
  <si>
    <t>GSA Number</t>
  </si>
  <si>
    <t>Description</t>
  </si>
  <si>
    <t>CAPEX</t>
  </si>
  <si>
    <t>DMO is Weighted</t>
  </si>
  <si>
    <t>General DMO Configuration</t>
  </si>
  <si>
    <t>Discount Rate</t>
  </si>
  <si>
    <t>Tax Configuration</t>
  </si>
  <si>
    <t>Tax Rate</t>
  </si>
  <si>
    <t>Tax Payment Method</t>
  </si>
  <si>
    <t>Tax Mode</t>
  </si>
  <si>
    <t>Net Present Value Configuration</t>
  </si>
  <si>
    <t>NPV Mode</t>
  </si>
  <si>
    <t>Salvage Value</t>
  </si>
  <si>
    <t>LBT Portion</t>
  </si>
  <si>
    <t>VAT Discount</t>
  </si>
  <si>
    <t>LBT Discount</t>
  </si>
  <si>
    <t>VAT Portion</t>
  </si>
  <si>
    <t>Fixed Cost (MUSD)</t>
  </si>
  <si>
    <t>Production Rate</t>
  </si>
  <si>
    <t>Cost Per Production Volume</t>
  </si>
  <si>
    <t>Future Rate</t>
  </si>
  <si>
    <t>Depreciation Configuration</t>
  </si>
  <si>
    <t>Depreciation Method</t>
  </si>
  <si>
    <t>Tax Payment Configuration</t>
  </si>
  <si>
    <t>Tax of PSC Cost Recovery</t>
  </si>
  <si>
    <t>Lifting</t>
  </si>
  <si>
    <t>Price</t>
  </si>
  <si>
    <t>Revenue</t>
  </si>
  <si>
    <t>Depreciable</t>
  </si>
  <si>
    <t>Depreciation</t>
  </si>
  <si>
    <t>Non Capital</t>
  </si>
  <si>
    <t>FTP</t>
  </si>
  <si>
    <t>FTP - CTR</t>
  </si>
  <si>
    <t>FTP - GOV</t>
  </si>
  <si>
    <t>Investment Credit</t>
  </si>
  <si>
    <t>Unrecovered Cost</t>
  </si>
  <si>
    <t>Cost To Be Recovered</t>
  </si>
  <si>
    <t>Cost Recovery</t>
  </si>
  <si>
    <t>Unrec. After Tf</t>
  </si>
  <si>
    <t>Transfer (Tf) to GAS</t>
  </si>
  <si>
    <t>Cost To Be Recovered After Tf</t>
  </si>
  <si>
    <t>Equity To Be Shared (ETS) Before Transfer</t>
  </si>
  <si>
    <t>Cost Recovery After Tf</t>
  </si>
  <si>
    <t>ETS After Tf</t>
  </si>
  <si>
    <t>Contractor Share</t>
  </si>
  <si>
    <t>Government Share</t>
  </si>
  <si>
    <t>DMO Volume</t>
  </si>
  <si>
    <t>DMO Fee</t>
  </si>
  <si>
    <t>DDMO</t>
  </si>
  <si>
    <t>Taxable Income</t>
  </si>
  <si>
    <t>Contractor Take</t>
  </si>
  <si>
    <t>Cashflow</t>
  </si>
  <si>
    <t>Governent Take</t>
  </si>
  <si>
    <t>Oil</t>
  </si>
  <si>
    <t>Gas</t>
  </si>
  <si>
    <t>Transfer (Tf) to Oil</t>
  </si>
  <si>
    <t>Consolidated</t>
  </si>
  <si>
    <t>Base Split</t>
  </si>
  <si>
    <t>Variable Split</t>
  </si>
  <si>
    <t>Progressive Split</t>
  </si>
  <si>
    <t>Contractor Split</t>
  </si>
  <si>
    <t>Non-Capital</t>
  </si>
  <si>
    <t>Total Expenses</t>
  </si>
  <si>
    <t>Cost to be Deducted</t>
  </si>
  <si>
    <t>Carry Forward Cost</t>
  </si>
  <si>
    <t>Carry Forward Cost After Tf</t>
  </si>
  <si>
    <t>Transfer (Tf) to Gas</t>
  </si>
  <si>
    <t>Contractor Share After Tf</t>
  </si>
  <si>
    <t>Contractor Net Operating Profit</t>
  </si>
  <si>
    <t>Net Contractor Share</t>
  </si>
  <si>
    <t>Contractor Cashflow</t>
  </si>
  <si>
    <t>Government Take</t>
  </si>
  <si>
    <t>Electricity Sales (Unit)</t>
  </si>
  <si>
    <t>Cost Recovery Optimization</t>
  </si>
  <si>
    <t>Oil DMO Fee</t>
  </si>
  <si>
    <t>Gas DMO Fee</t>
  </si>
  <si>
    <t>Effective Tax Rate</t>
  </si>
  <si>
    <t>Gross Split Optimization</t>
  </si>
  <si>
    <t>Ministerial Discretion</t>
  </si>
  <si>
    <t>Optimized</t>
  </si>
  <si>
    <t>Priority</t>
  </si>
  <si>
    <t>Min</t>
  </si>
  <si>
    <t>Base</t>
  </si>
  <si>
    <t>Max</t>
  </si>
  <si>
    <t>Ministerial Discretion Split</t>
  </si>
  <si>
    <t>Target Value</t>
  </si>
  <si>
    <t>IRR</t>
  </si>
  <si>
    <t>--&gt;</t>
  </si>
  <si>
    <t>Result Target Value</t>
  </si>
  <si>
    <t>Result of Cost Recovery Optimization</t>
  </si>
  <si>
    <t>Result Gross Split Optimization</t>
  </si>
  <si>
    <t>Sensitivity Configuration</t>
  </si>
  <si>
    <t>Minimum</t>
  </si>
  <si>
    <t>Maximum</t>
  </si>
  <si>
    <t>Step</t>
  </si>
  <si>
    <t>Sensitivity Result</t>
  </si>
  <si>
    <t>NPV</t>
  </si>
  <si>
    <t>P/I</t>
  </si>
  <si>
    <t>Gas Production</t>
  </si>
  <si>
    <t>Gas WAP</t>
  </si>
  <si>
    <t>US$/MMBTU</t>
  </si>
  <si>
    <t>TBTU</t>
  </si>
  <si>
    <t>Cost Recovery / Deductible Cost</t>
  </si>
  <si>
    <t>Unrec. Cost / Carry Fwd. Deductible Cost</t>
  </si>
  <si>
    <t>FTP (PSC Cost Recovery)</t>
  </si>
  <si>
    <t xml:space="preserve">Gray - represents the data tab. Users should not change the structure (add or delete rows or columns) of these sections. </t>
  </si>
  <si>
    <t>Oil Price</t>
  </si>
  <si>
    <t>Gas Price</t>
  </si>
  <si>
    <t>Cum. Prod</t>
  </si>
  <si>
    <t>Uncertainity Result</t>
  </si>
  <si>
    <t>Distribution</t>
  </si>
  <si>
    <t>Fixed</t>
  </si>
  <si>
    <t>Standard Deviation</t>
  </si>
  <si>
    <t>PSC Declining Balance</t>
  </si>
  <si>
    <t>PySCnomics</t>
  </si>
  <si>
    <t>Please Design The Monte Carlo here  !!!!</t>
  </si>
  <si>
    <t>Inflation Configuration</t>
  </si>
  <si>
    <t>Inflation Rate</t>
  </si>
  <si>
    <t>Inflation Rate Mode</t>
  </si>
  <si>
    <t>Discounting Mode</t>
  </si>
  <si>
    <t>End Year</t>
  </si>
  <si>
    <t>SKK Full Cycle Nominal Terms</t>
  </si>
  <si>
    <t>Second Project Start Date</t>
  </si>
  <si>
    <t>Second Project End Date</t>
  </si>
  <si>
    <t>Transition Configuration</t>
  </si>
  <si>
    <t>Transferred Unrec. Cost</t>
  </si>
  <si>
    <t>Uncertainty Configuration</t>
  </si>
  <si>
    <t>ASR Configuration</t>
  </si>
  <si>
    <t>C:\Users\Abdan\.conda\envs\Econ2023\python.exe</t>
  </si>
  <si>
    <t>Due Mode</t>
  </si>
  <si>
    <t>PDJP No.20 Tahun 2017</t>
  </si>
  <si>
    <t>Tax Payment</t>
  </si>
  <si>
    <t>Sum</t>
  </si>
  <si>
    <t>Lifting Oil</t>
  </si>
  <si>
    <t>Lifting Gas</t>
  </si>
  <si>
    <t>Tax Due</t>
  </si>
  <si>
    <t>Unpaid Tax Balance</t>
  </si>
  <si>
    <t>CTR Net Share</t>
  </si>
  <si>
    <t>CTR Take</t>
  </si>
  <si>
    <t>Cash Flow</t>
  </si>
  <si>
    <t>Cum. Cash Flow</t>
  </si>
  <si>
    <t>Contr. NPV</t>
  </si>
  <si>
    <t>Contr. IRR</t>
  </si>
  <si>
    <t>Contr. PV Ratio</t>
  </si>
  <si>
    <t>C:\Users\Abdan\Documents\GitHub\pyscnomics\pyscnomics\io\main</t>
  </si>
  <si>
    <t>Contr. PI</t>
  </si>
  <si>
    <t>VAT Configuration</t>
  </si>
  <si>
    <t>VAT Rate</t>
  </si>
  <si>
    <t>LBT Configuration</t>
  </si>
  <si>
    <t>VAT Mode</t>
  </si>
  <si>
    <t>LBT Mode</t>
  </si>
  <si>
    <t>LBT Rate</t>
  </si>
  <si>
    <t>Base Oil Split</t>
  </si>
  <si>
    <t>Base Gas Split</t>
  </si>
  <si>
    <t>Oil FTP Availability</t>
  </si>
  <si>
    <t>Oil FTP is Shared</t>
  </si>
  <si>
    <t>Oil FTP Portion</t>
  </si>
  <si>
    <t>Gas FTP Availability</t>
  </si>
  <si>
    <t>Gas FTP is Shared</t>
  </si>
  <si>
    <t>Gas FTP Portion</t>
  </si>
  <si>
    <t>Indicator for Sliding Scale or RC Split</t>
  </si>
  <si>
    <t>Indicator</t>
  </si>
  <si>
    <t>Decline Factor</t>
  </si>
  <si>
    <t>Tax Rate at Second Project</t>
  </si>
  <si>
    <t>PSC Gross Split (GS)</t>
  </si>
  <si>
    <t>CAPEX AND OPEX</t>
  </si>
  <si>
    <t>User Input - Multi Value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</si>
</sst>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1" formatCode="_(* #,##0_);_(* \(#,##0\);_(* &quot;-&quot;_);_(@_)"/>
    <numFmt numFmtId="43" formatCode="_(* #,##0.00_);_(* \(#,##0.00\);_(* &quot;-&quot;??_);_(@_)"/>
    <numFmt numFmtId="164" formatCode="_(* #,##0.00_);_(* \(#,##0.00\);_(* &quot;-&quot;_);_(@_)"/>
    <numFmt numFmtId="165" formatCode="0.0"/>
    <numFmt numFmtId="166" formatCode="0.0000%"/>
    <numFmt numFmtId="167" formatCode="_(* #,##0.00000000_);_(* \(#,##0.00000000\);_(* &quot;-&quot;??_);_(@_)"/>
  </numFmts>
  <fonts count="28"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b/>
      <sz val="11"/>
      <color theme="1"/>
      <name val="Arial"/>
      <family val="2"/>
    </font>
    <font>
      <sz val="10"/>
      <color rgb="FF0000FF"/>
      <name val="Arial"/>
      <family val="2"/>
    </font>
    <font>
      <sz val="10"/>
      <color rgb="FF000000"/>
      <name val="Arial"/>
      <family val="2"/>
    </font>
    <font>
      <sz val="10"/>
      <color rgb="FF0000FF"/>
      <name val="Calibri"/>
      <family val="2"/>
      <scheme val="minor"/>
    </font>
    <font>
      <sz val="8"/>
      <color rgb="FF000000"/>
      <name val="Segoe UI"/>
      <family val="2"/>
    </font>
    <font>
      <sz val="10"/>
      <name val="Arial"/>
      <family val="2"/>
    </font>
    <font>
      <b/>
      <sz val="11"/>
      <name val="Calibri"/>
      <family val="2"/>
      <scheme val="minor"/>
    </font>
    <font>
      <sz val="11"/>
      <name val="Calibri"/>
      <family val="2"/>
      <scheme val="minor"/>
    </font>
    <font>
      <sz val="12"/>
      <color theme="1"/>
      <name val="Calibri"/>
      <family val="2"/>
      <scheme val="minor"/>
    </font>
    <font>
      <b/>
      <sz val="12"/>
      <color theme="1"/>
      <name val="Calibri"/>
      <family val="2"/>
      <scheme val="minor"/>
    </font>
    <font>
      <b/>
      <sz val="38"/>
      <color theme="1"/>
      <name val="Bahnschrift Condensed"/>
      <family val="2"/>
    </font>
    <font>
      <sz val="10"/>
      <name val="Calibri"/>
      <family val="2"/>
      <scheme val="minor"/>
    </font>
    <font>
      <sz val="8"/>
      <name val="Calibri"/>
      <family val="2"/>
      <scheme val="minor"/>
    </font>
    <font>
      <sz val="11"/>
      <color theme="0"/>
      <name val="Calibri"/>
      <family val="2"/>
      <scheme val="minor"/>
    </font>
    <font>
      <sz val="10"/>
      <color theme="1"/>
      <name val="Calibri"/>
      <family val="2"/>
      <scheme val="minor"/>
    </font>
    <font>
      <sz val="11"/>
      <color theme="0" tint="-4.9989318521683403E-2"/>
      <name val="Calibri"/>
      <family val="2"/>
      <scheme val="minor"/>
    </font>
    <font>
      <b/>
      <sz val="11"/>
      <color theme="0" tint="-4.9989318521683403E-2"/>
      <name val="Calibri"/>
      <family val="2"/>
      <scheme val="minor"/>
    </font>
    <font>
      <sz val="11"/>
      <color theme="1" tint="4.9989318521683403E-2"/>
      <name val="Calibri"/>
      <family val="2"/>
      <scheme val="minor"/>
    </font>
    <font>
      <sz val="8"/>
      <color theme="1"/>
      <name val="Calibri"/>
      <family val="2"/>
      <scheme val="minor"/>
    </font>
    <font>
      <sz val="10"/>
      <color theme="1" tint="0.249977111117893"/>
      <name val="Calibri"/>
      <family val="2"/>
      <scheme val="minor"/>
    </font>
    <font>
      <sz val="9"/>
      <color theme="1"/>
      <name val="Calibri"/>
      <family val="2"/>
      <scheme val="minor"/>
    </font>
    <font>
      <b/>
      <sz val="11"/>
      <color rgb="FFFF0000"/>
      <name val="Calibri"/>
      <family val="2"/>
      <scheme val="minor"/>
    </font>
    <font>
      <sz val="9"/>
      <color indexed="81"/>
      <name val="Tahoma"/>
      <family val="2"/>
    </font>
    <font>
      <b/>
      <sz val="9"/>
      <color indexed="81"/>
      <name val="Tahoma"/>
      <family val="2"/>
    </font>
  </fonts>
  <fills count="16">
    <fill>
      <patternFill patternType="none"/>
    </fill>
    <fill>
      <patternFill patternType="gray125"/>
    </fill>
    <fill>
      <patternFill patternType="solid">
        <fgColor rgb="FF990033"/>
        <bgColor indexed="64"/>
      </patternFill>
    </fill>
    <fill>
      <patternFill patternType="solid">
        <fgColor rgb="FFFF5050"/>
        <bgColor indexed="64"/>
      </patternFill>
    </fill>
    <fill>
      <patternFill patternType="solid">
        <fgColor rgb="FFCCFFFF"/>
        <bgColor indexed="64"/>
      </patternFill>
    </fill>
    <fill>
      <patternFill patternType="solid">
        <fgColor rgb="FFFFFFFF"/>
        <bgColor indexed="64"/>
      </patternFill>
    </fill>
    <fill>
      <patternFill patternType="solid">
        <fgColor theme="2" tint="-0.499984740745262"/>
        <bgColor indexed="64"/>
      </patternFill>
    </fill>
    <fill>
      <patternFill patternType="solid">
        <fgColor theme="0"/>
        <bgColor indexed="64"/>
      </patternFill>
    </fill>
    <fill>
      <patternFill patternType="solid">
        <fgColor theme="0" tint="-0.14999847407452621"/>
        <bgColor indexed="64"/>
      </patternFill>
    </fill>
    <fill>
      <patternFill patternType="solid">
        <fgColor theme="1" tint="0.34998626667073579"/>
        <bgColor indexed="64"/>
      </patternFill>
    </fill>
    <fill>
      <patternFill patternType="solid">
        <fgColor rgb="FFA3B8BA"/>
        <bgColor indexed="64"/>
      </patternFill>
    </fill>
    <fill>
      <patternFill patternType="solid">
        <fgColor rgb="FF588001"/>
        <bgColor indexed="64"/>
      </patternFill>
    </fill>
    <fill>
      <patternFill patternType="solid">
        <fgColor rgb="FF9C0305"/>
        <bgColor indexed="64"/>
      </patternFill>
    </fill>
    <fill>
      <patternFill patternType="solid">
        <fgColor rgb="FFD2FF95"/>
        <bgColor indexed="64"/>
      </patternFill>
    </fill>
    <fill>
      <patternFill patternType="solid">
        <fgColor rgb="FFB3FF03"/>
        <bgColor indexed="64"/>
      </patternFill>
    </fill>
    <fill>
      <patternFill patternType="solid">
        <fgColor theme="2"/>
        <bgColor indexed="64"/>
      </patternFill>
    </fill>
  </fills>
  <borders count="37">
    <border>
      <left/>
      <right/>
      <top/>
      <bottom/>
      <diagonal/>
    </border>
    <border>
      <left style="thin">
        <color theme="1"/>
      </left>
      <right/>
      <top/>
      <bottom/>
      <diagonal/>
    </border>
    <border>
      <left/>
      <right style="thin">
        <color theme="1"/>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right/>
      <top style="thin">
        <color theme="1"/>
      </top>
      <bottom/>
      <diagonal/>
    </border>
    <border>
      <left/>
      <right style="thin">
        <color theme="1"/>
      </right>
      <top style="thin">
        <color theme="1"/>
      </top>
      <bottom/>
      <diagonal/>
    </border>
    <border>
      <left/>
      <right style="hair">
        <color indexed="64"/>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dotted">
        <color theme="4" tint="0.59999389629810485"/>
      </left>
      <right style="dotted">
        <color theme="4" tint="0.59999389629810485"/>
      </right>
      <top style="dotted">
        <color theme="4" tint="0.59999389629810485"/>
      </top>
      <bottom style="dotted">
        <color theme="4" tint="0.59999389629810485"/>
      </bottom>
      <diagonal/>
    </border>
    <border>
      <left style="dotted">
        <color theme="4" tint="0.59999389629810485"/>
      </left>
      <right/>
      <top style="dotted">
        <color theme="4" tint="0.59999389629810485"/>
      </top>
      <bottom style="thin">
        <color indexed="64"/>
      </bottom>
      <diagonal/>
    </border>
    <border>
      <left style="dotted">
        <color theme="4" tint="0.59999389629810485"/>
      </left>
      <right/>
      <top style="thin">
        <color indexed="64"/>
      </top>
      <bottom/>
      <diagonal/>
    </border>
    <border>
      <left style="dotted">
        <color theme="4" tint="0.59999389629810485"/>
      </left>
      <right style="dotted">
        <color theme="4" tint="0.59999389629810485"/>
      </right>
      <top style="dotted">
        <color theme="4" tint="0.59999389629810485"/>
      </top>
      <bottom style="thin">
        <color indexed="64"/>
      </bottom>
      <diagonal/>
    </border>
    <border>
      <left/>
      <right style="dotted">
        <color theme="4" tint="0.59999389629810485"/>
      </right>
      <top/>
      <bottom/>
      <diagonal/>
    </border>
    <border>
      <left style="dotted">
        <color theme="4" tint="0.59999389629810485"/>
      </left>
      <right style="dotted">
        <color theme="4" tint="0.59999389629810485"/>
      </right>
      <top style="thin">
        <color indexed="64"/>
      </top>
      <bottom style="dotted">
        <color theme="4" tint="0.59999389629810485"/>
      </bottom>
      <diagonal/>
    </border>
    <border>
      <left style="dotted">
        <color theme="4" tint="0.59999389629810485"/>
      </left>
      <right/>
      <top/>
      <bottom/>
      <diagonal/>
    </border>
    <border>
      <left/>
      <right style="dotted">
        <color theme="4" tint="0.59999389629810485"/>
      </right>
      <top style="dotted">
        <color theme="4" tint="0.59999389629810485"/>
      </top>
      <bottom/>
      <diagonal/>
    </border>
    <border>
      <left/>
      <right style="dotted">
        <color theme="4" tint="0.59999389629810485"/>
      </right>
      <top/>
      <bottom style="dotted">
        <color theme="4" tint="0.59999389629810485"/>
      </bottom>
      <diagonal/>
    </border>
    <border>
      <left style="dotted">
        <color theme="4" tint="0.59999389629810485"/>
      </left>
      <right style="dotted">
        <color theme="4" tint="0.59999389629810485"/>
      </right>
      <top/>
      <bottom style="dotted">
        <color theme="4" tint="0.59999389629810485"/>
      </bottom>
      <diagonal/>
    </border>
    <border>
      <left/>
      <right style="dotted">
        <color theme="4" tint="0.59999389629810485"/>
      </right>
      <top style="dotted">
        <color theme="4" tint="0.59999389629810485"/>
      </top>
      <bottom style="dotted">
        <color theme="4" tint="0.59999389629810485"/>
      </bottom>
      <diagonal/>
    </border>
    <border>
      <left style="dotted">
        <color rgb="FFCCFFFF"/>
      </left>
      <right style="dotted">
        <color theme="4" tint="0.59999389629810485"/>
      </right>
      <top style="dotted">
        <color theme="4" tint="0.59999389629810485"/>
      </top>
      <bottom style="dotted">
        <color theme="4" tint="0.59999389629810485"/>
      </bottom>
      <diagonal/>
    </border>
    <border>
      <left/>
      <right/>
      <top/>
      <bottom style="dotted">
        <color theme="4" tint="0.59999389629810485"/>
      </bottom>
      <diagonal/>
    </border>
    <border>
      <left style="dotted">
        <color theme="4" tint="0.59999389629810485"/>
      </left>
      <right/>
      <top style="dotted">
        <color theme="4" tint="0.59999389629810485"/>
      </top>
      <bottom/>
      <diagonal/>
    </border>
    <border>
      <left style="dotted">
        <color theme="4" tint="0.59999389629810485"/>
      </left>
      <right/>
      <top/>
      <bottom style="dotted">
        <color theme="4" tint="0.59999389629810485"/>
      </bottom>
      <diagonal/>
    </border>
    <border>
      <left style="dotted">
        <color theme="4" tint="0.59999389629810485"/>
      </left>
      <right style="dotted">
        <color theme="4" tint="0.59999389629810485"/>
      </right>
      <top style="dotted">
        <color theme="4" tint="0.59999389629810485"/>
      </top>
      <bottom/>
      <diagonal/>
    </border>
    <border>
      <left style="thin">
        <color theme="1"/>
      </left>
      <right/>
      <top style="thin">
        <color theme="1"/>
      </top>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bottom style="thin">
        <color theme="0" tint="-0.34998626667073579"/>
      </bottom>
      <diagonal/>
    </border>
  </borders>
  <cellStyleXfs count="8">
    <xf numFmtId="0" fontId="0" fillId="0" borderId="0"/>
    <xf numFmtId="43" fontId="1" fillId="0" borderId="0" applyFont="0" applyFill="0" applyBorder="0" applyAlignment="0" applyProtection="0"/>
    <xf numFmtId="9" fontId="1" fillId="0" borderId="0" applyFont="0" applyFill="0" applyBorder="0" applyAlignment="0" applyProtection="0"/>
    <xf numFmtId="0" fontId="9" fillId="0" borderId="0"/>
    <xf numFmtId="43" fontId="9" fillId="0" borderId="0" applyFont="0" applyFill="0" applyBorder="0" applyAlignment="0" applyProtection="0"/>
    <xf numFmtId="9" fontId="9" fillId="0" borderId="0" applyFont="0" applyFill="0" applyBorder="0" applyAlignment="0" applyProtection="0"/>
    <xf numFmtId="41" fontId="12" fillId="0" borderId="0" applyFont="0" applyFill="0" applyBorder="0" applyAlignment="0" applyProtection="0"/>
    <xf numFmtId="41" fontId="1" fillId="0" borderId="0" applyFont="0" applyFill="0" applyBorder="0" applyAlignment="0" applyProtection="0"/>
  </cellStyleXfs>
  <cellXfs count="132">
    <xf numFmtId="0" fontId="0" fillId="0" borderId="0" xfId="0"/>
    <xf numFmtId="0" fontId="0" fillId="2" borderId="0" xfId="0" applyFill="1"/>
    <xf numFmtId="0" fontId="0" fillId="3" borderId="0" xfId="0" applyFill="1"/>
    <xf numFmtId="0" fontId="2" fillId="3" borderId="1" xfId="0" applyFont="1" applyFill="1" applyBorder="1"/>
    <xf numFmtId="0" fontId="2" fillId="3" borderId="0" xfId="0" applyFont="1" applyFill="1"/>
    <xf numFmtId="0" fontId="2" fillId="3" borderId="2" xfId="0" applyFont="1" applyFill="1" applyBorder="1"/>
    <xf numFmtId="0" fontId="4" fillId="0" borderId="0" xfId="0" applyFont="1" applyAlignment="1">
      <alignment horizontal="left" vertical="center"/>
    </xf>
    <xf numFmtId="39" fontId="5" fillId="4" borderId="3" xfId="1" applyNumberFormat="1" applyFont="1" applyFill="1" applyBorder="1" applyAlignment="1">
      <alignment horizontal="center"/>
    </xf>
    <xf numFmtId="39" fontId="6" fillId="5" borderId="3" xfId="1" applyNumberFormat="1" applyFont="1" applyFill="1" applyBorder="1" applyAlignment="1">
      <alignment horizontal="center"/>
    </xf>
    <xf numFmtId="0" fontId="3" fillId="0" borderId="0" xfId="0" applyFont="1"/>
    <xf numFmtId="0" fontId="0" fillId="0" borderId="0" xfId="0" applyAlignment="1">
      <alignment horizontal="right"/>
    </xf>
    <xf numFmtId="0" fontId="0" fillId="6" borderId="0" xfId="0" applyFill="1"/>
    <xf numFmtId="0" fontId="2" fillId="6" borderId="1" xfId="0" applyFont="1" applyFill="1" applyBorder="1"/>
    <xf numFmtId="0" fontId="2" fillId="6" borderId="0" xfId="0" applyFont="1" applyFill="1"/>
    <xf numFmtId="0" fontId="2" fillId="6" borderId="2" xfId="0" applyFont="1" applyFill="1" applyBorder="1"/>
    <xf numFmtId="0" fontId="0" fillId="7" borderId="4" xfId="0" applyFill="1" applyBorder="1" applyAlignment="1">
      <alignment horizontal="center" vertical="center" wrapText="1"/>
    </xf>
    <xf numFmtId="9" fontId="0" fillId="7" borderId="4" xfId="2" applyFont="1" applyFill="1" applyBorder="1" applyAlignment="1">
      <alignment horizontal="left" vertical="center" wrapText="1"/>
    </xf>
    <xf numFmtId="0" fontId="0" fillId="7" borderId="4" xfId="0" applyFill="1" applyBorder="1" applyAlignment="1">
      <alignment horizontal="left" vertical="center" wrapText="1"/>
    </xf>
    <xf numFmtId="0" fontId="0" fillId="0" borderId="4" xfId="0" applyBorder="1" applyAlignment="1">
      <alignment horizontal="left" vertical="center" wrapText="1"/>
    </xf>
    <xf numFmtId="0" fontId="0" fillId="0" borderId="4" xfId="0" applyBorder="1" applyAlignment="1">
      <alignment horizontal="center" vertical="center"/>
    </xf>
    <xf numFmtId="0" fontId="0" fillId="0" borderId="4" xfId="0" applyBorder="1"/>
    <xf numFmtId="2" fontId="0" fillId="0" borderId="4" xfId="0" applyNumberFormat="1" applyBorder="1" applyAlignment="1">
      <alignment horizontal="center" vertical="center"/>
    </xf>
    <xf numFmtId="0" fontId="7" fillId="4" borderId="3" xfId="0" applyFont="1" applyFill="1" applyBorder="1" applyAlignment="1">
      <alignment horizontal="center"/>
    </xf>
    <xf numFmtId="14" fontId="7" fillId="4" borderId="3" xfId="0" applyNumberFormat="1" applyFont="1" applyFill="1" applyBorder="1" applyAlignment="1">
      <alignment horizontal="center"/>
    </xf>
    <xf numFmtId="0" fontId="3" fillId="0" borderId="0" xfId="0" applyFont="1" applyAlignment="1">
      <alignment vertical="center"/>
    </xf>
    <xf numFmtId="0" fontId="0" fillId="0" borderId="0" xfId="0" applyAlignment="1">
      <alignment horizontal="center" vertical="center"/>
    </xf>
    <xf numFmtId="9" fontId="7" fillId="4" borderId="3" xfId="0" applyNumberFormat="1" applyFont="1" applyFill="1" applyBorder="1" applyAlignment="1">
      <alignment horizontal="center"/>
    </xf>
    <xf numFmtId="0" fontId="2" fillId="2" borderId="10" xfId="0" applyFont="1" applyFill="1" applyBorder="1"/>
    <xf numFmtId="0" fontId="2" fillId="2" borderId="11" xfId="0" applyFont="1" applyFill="1" applyBorder="1"/>
    <xf numFmtId="9" fontId="7" fillId="4" borderId="3" xfId="2" applyFont="1" applyFill="1" applyBorder="1" applyAlignment="1">
      <alignment horizontal="center"/>
    </xf>
    <xf numFmtId="0" fontId="11" fillId="7" borderId="13" xfId="3" applyFont="1" applyFill="1" applyBorder="1" applyAlignment="1">
      <alignment horizontal="center" vertical="center"/>
    </xf>
    <xf numFmtId="0" fontId="11" fillId="7" borderId="13" xfId="3" applyFont="1" applyFill="1" applyBorder="1" applyAlignment="1">
      <alignment vertical="center"/>
    </xf>
    <xf numFmtId="0" fontId="11" fillId="7" borderId="13" xfId="3" applyFont="1" applyFill="1" applyBorder="1" applyAlignment="1">
      <alignment horizontal="left" vertical="center"/>
    </xf>
    <xf numFmtId="0" fontId="11" fillId="0" borderId="13" xfId="3" applyFont="1" applyBorder="1" applyAlignment="1">
      <alignment horizontal="left" vertical="center"/>
    </xf>
    <xf numFmtId="0" fontId="11" fillId="0" borderId="13" xfId="3" applyFont="1" applyBorder="1" applyAlignment="1">
      <alignment horizontal="center" vertical="center"/>
    </xf>
    <xf numFmtId="164" fontId="11" fillId="0" borderId="13" xfId="6" quotePrefix="1" applyNumberFormat="1" applyFont="1" applyFill="1" applyBorder="1" applyAlignment="1">
      <alignment horizontal="center" vertical="center"/>
    </xf>
    <xf numFmtId="0" fontId="11" fillId="0" borderId="13" xfId="3" applyFont="1" applyBorder="1" applyAlignment="1">
      <alignment vertical="center"/>
    </xf>
    <xf numFmtId="164" fontId="11" fillId="0" borderId="13" xfId="6" applyNumberFormat="1" applyFont="1" applyFill="1" applyBorder="1" applyAlignment="1">
      <alignment horizontal="center" vertical="center"/>
    </xf>
    <xf numFmtId="0" fontId="12" fillId="0" borderId="0" xfId="0" applyFont="1"/>
    <xf numFmtId="0" fontId="13" fillId="0" borderId="0" xfId="0" applyFont="1"/>
    <xf numFmtId="0" fontId="0" fillId="0" borderId="12" xfId="0" applyBorder="1" applyAlignment="1">
      <alignment vertical="center"/>
    </xf>
    <xf numFmtId="0" fontId="7" fillId="4" borderId="14" xfId="0" applyFont="1" applyFill="1" applyBorder="1" applyAlignment="1">
      <alignment vertical="center"/>
    </xf>
    <xf numFmtId="0" fontId="7" fillId="4" borderId="16" xfId="0" applyFont="1" applyFill="1" applyBorder="1" applyAlignment="1">
      <alignment vertical="center"/>
    </xf>
    <xf numFmtId="0" fontId="7" fillId="4" borderId="15" xfId="0" applyFont="1" applyFill="1" applyBorder="1" applyAlignment="1">
      <alignment horizontal="center" vertical="top"/>
    </xf>
    <xf numFmtId="0" fontId="7" fillId="4" borderId="17" xfId="0" applyFont="1" applyFill="1" applyBorder="1" applyAlignment="1">
      <alignment horizontal="center"/>
    </xf>
    <xf numFmtId="0" fontId="0" fillId="0" borderId="23" xfId="0" applyBorder="1"/>
    <xf numFmtId="0" fontId="7" fillId="4" borderId="24" xfId="0" applyFont="1" applyFill="1" applyBorder="1" applyAlignment="1">
      <alignment horizontal="center"/>
    </xf>
    <xf numFmtId="0" fontId="7" fillId="4" borderId="25" xfId="0" applyFont="1" applyFill="1" applyBorder="1" applyAlignment="1">
      <alignment horizontal="center"/>
    </xf>
    <xf numFmtId="0" fontId="7" fillId="4" borderId="26" xfId="0" applyFont="1" applyFill="1" applyBorder="1" applyAlignment="1">
      <alignment horizontal="center"/>
    </xf>
    <xf numFmtId="0" fontId="7" fillId="4" borderId="27" xfId="0" applyFont="1" applyFill="1" applyBorder="1" applyAlignment="1">
      <alignment horizontal="center"/>
    </xf>
    <xf numFmtId="0" fontId="0" fillId="0" borderId="21" xfId="0" applyBorder="1"/>
    <xf numFmtId="10" fontId="7" fillId="4" borderId="26" xfId="2" applyNumberFormat="1" applyFont="1" applyFill="1" applyBorder="1" applyAlignment="1">
      <alignment horizontal="center"/>
    </xf>
    <xf numFmtId="10" fontId="7" fillId="4" borderId="25" xfId="2" applyNumberFormat="1" applyFont="1" applyFill="1" applyBorder="1" applyAlignment="1">
      <alignment horizontal="center"/>
    </xf>
    <xf numFmtId="10" fontId="7" fillId="4" borderId="27" xfId="2" applyNumberFormat="1" applyFont="1" applyFill="1" applyBorder="1" applyAlignment="1">
      <alignment horizontal="center"/>
    </xf>
    <xf numFmtId="10" fontId="7" fillId="4" borderId="17" xfId="2" applyNumberFormat="1" applyFont="1" applyFill="1" applyBorder="1" applyAlignment="1">
      <alignment horizontal="center"/>
    </xf>
    <xf numFmtId="41" fontId="7" fillId="4" borderId="17" xfId="7" applyFont="1" applyFill="1" applyBorder="1" applyAlignment="1">
      <alignment horizontal="center"/>
    </xf>
    <xf numFmtId="0" fontId="7" fillId="4" borderId="29" xfId="0" applyFont="1" applyFill="1" applyBorder="1" applyAlignment="1">
      <alignment horizontal="center"/>
    </xf>
    <xf numFmtId="10" fontId="7" fillId="4" borderId="28" xfId="2" applyNumberFormat="1" applyFont="1" applyFill="1" applyBorder="1" applyAlignment="1">
      <alignment horizontal="center"/>
    </xf>
    <xf numFmtId="14" fontId="7" fillId="4" borderId="16" xfId="0" applyNumberFormat="1" applyFont="1" applyFill="1" applyBorder="1" applyAlignment="1">
      <alignment vertical="center"/>
    </xf>
    <xf numFmtId="1" fontId="7" fillId="4" borderId="15" xfId="0" applyNumberFormat="1" applyFont="1" applyFill="1" applyBorder="1" applyAlignment="1">
      <alignment vertical="center"/>
    </xf>
    <xf numFmtId="14" fontId="16" fillId="4" borderId="14" xfId="0" applyNumberFormat="1" applyFont="1" applyFill="1" applyBorder="1" applyAlignment="1">
      <alignment horizontal="center" vertical="center"/>
    </xf>
    <xf numFmtId="0" fontId="0" fillId="0" borderId="0" xfId="0" applyAlignment="1">
      <alignment horizontal="left"/>
    </xf>
    <xf numFmtId="0" fontId="18" fillId="4" borderId="3" xfId="0" applyFont="1" applyFill="1" applyBorder="1" applyAlignment="1">
      <alignment horizontal="center"/>
    </xf>
    <xf numFmtId="2" fontId="7" fillId="4" borderId="3" xfId="0" applyNumberFormat="1" applyFont="1" applyFill="1" applyBorder="1" applyAlignment="1">
      <alignment horizontal="center"/>
    </xf>
    <xf numFmtId="0" fontId="17" fillId="9" borderId="4" xfId="0" applyFont="1" applyFill="1" applyBorder="1" applyAlignment="1">
      <alignment horizontal="center"/>
    </xf>
    <xf numFmtId="0" fontId="19" fillId="11" borderId="0" xfId="0" applyFont="1" applyFill="1" applyAlignment="1">
      <alignment horizontal="center" vertical="center"/>
    </xf>
    <xf numFmtId="0" fontId="0" fillId="12" borderId="0" xfId="0" applyFill="1"/>
    <xf numFmtId="0" fontId="20" fillId="11" borderId="4" xfId="0" applyFont="1" applyFill="1" applyBorder="1" applyAlignment="1">
      <alignment horizontal="center" vertical="center"/>
    </xf>
    <xf numFmtId="0" fontId="2" fillId="12" borderId="33" xfId="0" applyFont="1" applyFill="1" applyBorder="1" applyAlignment="1">
      <alignment horizontal="center" vertical="center"/>
    </xf>
    <xf numFmtId="0" fontId="21" fillId="10" borderId="0" xfId="0" applyFont="1" applyFill="1" applyAlignment="1">
      <alignment horizontal="left" vertical="center"/>
    </xf>
    <xf numFmtId="0" fontId="0" fillId="0" borderId="0" xfId="0" applyAlignment="1">
      <alignment horizontal="center"/>
    </xf>
    <xf numFmtId="0" fontId="22" fillId="0" borderId="0" xfId="0" applyFont="1" applyAlignment="1">
      <alignment horizontal="center" vertical="center"/>
    </xf>
    <xf numFmtId="0" fontId="22" fillId="0" borderId="0" xfId="0" applyFont="1" applyAlignment="1">
      <alignment horizontal="center"/>
    </xf>
    <xf numFmtId="0" fontId="0" fillId="0" borderId="0" xfId="0" quotePrefix="1" applyAlignment="1">
      <alignment horizontal="center" vertical="center"/>
    </xf>
    <xf numFmtId="9" fontId="23" fillId="13" borderId="3" xfId="2" applyFont="1" applyFill="1" applyBorder="1" applyAlignment="1">
      <alignment horizontal="center"/>
    </xf>
    <xf numFmtId="10" fontId="0" fillId="0" borderId="0" xfId="0" applyNumberFormat="1" applyAlignment="1">
      <alignment horizontal="center"/>
    </xf>
    <xf numFmtId="2" fontId="7" fillId="4" borderId="3" xfId="2" applyNumberFormat="1" applyFont="1" applyFill="1" applyBorder="1" applyAlignment="1">
      <alignment horizontal="center"/>
    </xf>
    <xf numFmtId="1" fontId="7" fillId="4" borderId="3" xfId="2" applyNumberFormat="1" applyFont="1" applyFill="1" applyBorder="1" applyAlignment="1">
      <alignment horizontal="center"/>
    </xf>
    <xf numFmtId="9" fontId="23" fillId="13" borderId="0" xfId="2" applyFont="1" applyFill="1" applyBorder="1" applyAlignment="1">
      <alignment horizontal="center"/>
    </xf>
    <xf numFmtId="0" fontId="0" fillId="14" borderId="0" xfId="0" applyFill="1"/>
    <xf numFmtId="0" fontId="0" fillId="10" borderId="0" xfId="0" applyFill="1"/>
    <xf numFmtId="0" fontId="24" fillId="0" borderId="0" xfId="0" applyFont="1" applyAlignment="1">
      <alignment horizontal="center" vertical="center"/>
    </xf>
    <xf numFmtId="0" fontId="25" fillId="0" borderId="0" xfId="0" applyFont="1"/>
    <xf numFmtId="166" fontId="7" fillId="4" borderId="3" xfId="2" applyNumberFormat="1" applyFont="1" applyFill="1" applyBorder="1" applyAlignment="1">
      <alignment horizontal="center"/>
    </xf>
    <xf numFmtId="0" fontId="17" fillId="9" borderId="6" xfId="0" applyFont="1" applyFill="1" applyBorder="1" applyAlignment="1">
      <alignment horizontal="center"/>
    </xf>
    <xf numFmtId="0" fontId="17" fillId="9" borderId="5" xfId="0" applyFont="1" applyFill="1" applyBorder="1" applyAlignment="1">
      <alignment horizontal="center"/>
    </xf>
    <xf numFmtId="0" fontId="0" fillId="0" borderId="7" xfId="0" applyBorder="1"/>
    <xf numFmtId="0" fontId="3" fillId="15" borderId="4" xfId="0" applyFont="1" applyFill="1" applyBorder="1" applyAlignment="1">
      <alignment horizontal="center" vertical="center"/>
    </xf>
    <xf numFmtId="0" fontId="3" fillId="15" borderId="4" xfId="0" applyFont="1" applyFill="1" applyBorder="1" applyAlignment="1">
      <alignment horizontal="center"/>
    </xf>
    <xf numFmtId="43" fontId="11" fillId="7" borderId="13" xfId="4" applyFont="1" applyFill="1" applyBorder="1" applyAlignment="1">
      <alignment horizontal="right" vertical="center"/>
    </xf>
    <xf numFmtId="10" fontId="11" fillId="7" borderId="13" xfId="2" applyNumberFormat="1" applyFont="1" applyFill="1" applyBorder="1" applyAlignment="1">
      <alignment horizontal="right" vertical="center"/>
    </xf>
    <xf numFmtId="9" fontId="11" fillId="7" borderId="13" xfId="2" applyFont="1" applyFill="1" applyBorder="1" applyAlignment="1">
      <alignment horizontal="right" vertical="center"/>
    </xf>
    <xf numFmtId="167" fontId="11" fillId="7" borderId="13" xfId="4" applyNumberFormat="1" applyFont="1" applyFill="1" applyBorder="1" applyAlignment="1">
      <alignment horizontal="right" vertical="center"/>
    </xf>
    <xf numFmtId="10" fontId="7" fillId="4" borderId="3" xfId="2" applyNumberFormat="1" applyFont="1" applyFill="1" applyBorder="1" applyAlignment="1">
      <alignment horizontal="center"/>
    </xf>
    <xf numFmtId="0" fontId="15" fillId="0" borderId="30" xfId="0" applyFont="1" applyBorder="1" applyAlignment="1">
      <alignment horizontal="center" vertical="center" wrapText="1"/>
    </xf>
    <xf numFmtId="41" fontId="15" fillId="0" borderId="32" xfId="7" applyFont="1" applyFill="1" applyBorder="1" applyAlignment="1">
      <alignment horizontal="center" vertical="center" wrapText="1"/>
    </xf>
    <xf numFmtId="0" fontId="14" fillId="0" borderId="0" xfId="0" applyFont="1" applyAlignment="1">
      <alignment horizontal="center"/>
    </xf>
    <xf numFmtId="0" fontId="0" fillId="0" borderId="0" xfId="0" applyAlignment="1">
      <alignment horizontal="left" vertical="top" wrapText="1"/>
    </xf>
    <xf numFmtId="0" fontId="11" fillId="7" borderId="13" xfId="3" applyFont="1" applyFill="1" applyBorder="1" applyAlignment="1">
      <alignment horizontal="center" vertical="center"/>
    </xf>
    <xf numFmtId="0" fontId="11" fillId="7" borderId="34" xfId="3" applyFont="1" applyFill="1" applyBorder="1" applyAlignment="1">
      <alignment horizontal="center" vertical="center"/>
    </xf>
    <xf numFmtId="0" fontId="11" fillId="7" borderId="35" xfId="3" applyFont="1" applyFill="1" applyBorder="1" applyAlignment="1">
      <alignment horizontal="center" vertical="center"/>
    </xf>
    <xf numFmtId="0" fontId="11" fillId="7" borderId="36" xfId="3" applyFont="1" applyFill="1" applyBorder="1" applyAlignment="1">
      <alignment horizontal="center" vertical="center"/>
    </xf>
    <xf numFmtId="0" fontId="10" fillId="8" borderId="13" xfId="3" applyFont="1" applyFill="1" applyBorder="1" applyAlignment="1">
      <alignment horizontal="center" vertical="center" wrapText="1"/>
    </xf>
    <xf numFmtId="0" fontId="7" fillId="4" borderId="14" xfId="0" applyFont="1" applyFill="1" applyBorder="1" applyAlignment="1">
      <alignment horizontal="center" vertical="center"/>
    </xf>
    <xf numFmtId="0" fontId="7" fillId="4" borderId="15" xfId="0" applyFont="1" applyFill="1" applyBorder="1" applyAlignment="1">
      <alignment horizontal="center" vertical="center"/>
    </xf>
    <xf numFmtId="0" fontId="7" fillId="4" borderId="16" xfId="0" applyFont="1" applyFill="1" applyBorder="1" applyAlignment="1">
      <alignment horizontal="center" vertical="center"/>
    </xf>
    <xf numFmtId="14" fontId="7" fillId="4" borderId="14" xfId="0" applyNumberFormat="1" applyFont="1" applyFill="1" applyBorder="1" applyAlignment="1">
      <alignment horizontal="center" vertical="center"/>
    </xf>
    <xf numFmtId="14" fontId="7" fillId="4" borderId="15" xfId="0" applyNumberFormat="1" applyFont="1" applyFill="1" applyBorder="1" applyAlignment="1">
      <alignment horizontal="center" vertical="center"/>
    </xf>
    <xf numFmtId="14" fontId="7" fillId="4" borderId="16" xfId="0" applyNumberFormat="1" applyFont="1" applyFill="1" applyBorder="1" applyAlignment="1">
      <alignment horizontal="center" vertical="center"/>
    </xf>
    <xf numFmtId="165" fontId="7" fillId="4" borderId="14" xfId="0" applyNumberFormat="1" applyFont="1" applyFill="1" applyBorder="1" applyAlignment="1">
      <alignment horizontal="center" vertical="center"/>
    </xf>
    <xf numFmtId="165" fontId="7" fillId="4" borderId="15" xfId="0" applyNumberFormat="1" applyFont="1" applyFill="1" applyBorder="1" applyAlignment="1">
      <alignment horizontal="center" vertical="center"/>
    </xf>
    <xf numFmtId="165" fontId="7" fillId="4" borderId="16" xfId="0" applyNumberFormat="1" applyFont="1" applyFill="1" applyBorder="1" applyAlignment="1">
      <alignment horizontal="center" vertical="center"/>
    </xf>
    <xf numFmtId="41" fontId="15" fillId="0" borderId="32" xfId="7" applyFont="1" applyFill="1" applyBorder="1" applyAlignment="1">
      <alignment horizontal="center" wrapText="1"/>
    </xf>
    <xf numFmtId="41" fontId="15" fillId="0" borderId="26" xfId="7" applyFont="1" applyFill="1" applyBorder="1" applyAlignment="1">
      <alignment horizontal="center" wrapText="1"/>
    </xf>
    <xf numFmtId="0" fontId="15" fillId="0" borderId="30" xfId="0" applyFont="1" applyBorder="1" applyAlignment="1">
      <alignment horizontal="center" wrapText="1"/>
    </xf>
    <xf numFmtId="0" fontId="15" fillId="0" borderId="31" xfId="0" applyFont="1" applyBorder="1" applyAlignment="1">
      <alignment horizontal="center" wrapText="1"/>
    </xf>
    <xf numFmtId="0" fontId="15" fillId="0" borderId="32" xfId="0" applyFont="1" applyBorder="1" applyAlignment="1">
      <alignment horizontal="center" wrapText="1"/>
    </xf>
    <xf numFmtId="0" fontId="15" fillId="0" borderId="26" xfId="0" applyFont="1" applyBorder="1" applyAlignment="1">
      <alignment horizontal="center" wrapText="1"/>
    </xf>
    <xf numFmtId="0" fontId="0" fillId="0" borderId="18"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22" xfId="0" applyBorder="1" applyAlignment="1">
      <alignment horizontal="center" vertical="center"/>
    </xf>
    <xf numFmtId="0" fontId="0" fillId="0" borderId="5"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7" borderId="5" xfId="0" applyFill="1" applyBorder="1" applyAlignment="1">
      <alignment horizontal="center" vertical="center" wrapText="1"/>
    </xf>
    <xf numFmtId="0" fontId="0" fillId="7" borderId="6" xfId="0" applyFill="1" applyBorder="1" applyAlignment="1">
      <alignment horizontal="center" vertical="center" wrapText="1"/>
    </xf>
    <xf numFmtId="0" fontId="0" fillId="7" borderId="7" xfId="0" applyFill="1" applyBorder="1" applyAlignment="1">
      <alignment horizontal="center" vertical="center" wrapText="1"/>
    </xf>
    <xf numFmtId="0" fontId="3" fillId="0" borderId="4" xfId="0" applyFont="1" applyBorder="1" applyAlignment="1">
      <alignment horizontal="center"/>
    </xf>
    <xf numFmtId="0" fontId="0" fillId="0" borderId="9" xfId="0" applyBorder="1" applyAlignment="1">
      <alignment horizontal="center" vertical="center" wrapText="1"/>
    </xf>
    <xf numFmtId="0" fontId="0" fillId="0" borderId="0" xfId="0" applyAlignment="1">
      <alignment horizontal="center" vertical="center" wrapText="1"/>
    </xf>
    <xf numFmtId="0" fontId="0" fillId="0" borderId="8" xfId="0" applyBorder="1" applyAlignment="1">
      <alignment horizontal="center" vertical="center" wrapText="1"/>
    </xf>
  </cellXfs>
  <cellStyles count="8">
    <cellStyle name="Comma [0]" xfId="7" builtinId="6"/>
    <cellStyle name="Comma [0] 2" xfId="6" xr:uid="{C4FFBC08-0C7F-4FDA-A637-BF37C6503026}"/>
    <cellStyle name="Comma 2 2" xfId="4" xr:uid="{6606C467-0635-4A0B-8D43-D6AC87B21AA1}"/>
    <cellStyle name="Comma 3 2" xfId="1" xr:uid="{2FDC9FFE-C370-4726-8348-7E1AC54BF62C}"/>
    <cellStyle name="Normal" xfId="0" builtinId="0"/>
    <cellStyle name="Normal 2 3" xfId="3" xr:uid="{A7500433-E82E-4290-99D4-25338DABE28E}"/>
    <cellStyle name="Percent" xfId="2" builtinId="5"/>
    <cellStyle name="Percent 3" xfId="5" xr:uid="{F0BA3782-5C14-4DE8-881B-574343CC6AB8}"/>
  </cellStyles>
  <dxfs count="235">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2" tint="-0.499984740745262"/>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2" tint="-0.499984740745262"/>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rgb="FF000000"/>
        </top>
      </border>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theme="2" tint="-0.499984740745262"/>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rgb="FF000000"/>
        </top>
      </border>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rgb="FFFF5050"/>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FF5050"/>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990033"/>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theme="0" tint="-4.9989318521683403E-2"/>
        <name val="Calibri"/>
        <family val="2"/>
        <scheme val="minor"/>
      </font>
      <fill>
        <patternFill patternType="solid">
          <fgColor indexed="64"/>
          <bgColor rgb="FF588001"/>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FF5050"/>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theme="1"/>
        </top>
      </border>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rgb="FFFF5050"/>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theme="1"/>
        </top>
      </border>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theme="2" tint="-0.499984740745262"/>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2" tint="-0.499984740745262"/>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990033"/>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2" tint="-0.499984740745262"/>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theme="0" tint="-4.9989318521683403E-2"/>
        <name val="Calibri"/>
        <family val="2"/>
        <scheme val="minor"/>
      </font>
      <fill>
        <patternFill patternType="solid">
          <fgColor indexed="64"/>
          <bgColor rgb="FF588001"/>
        </patternFill>
      </fill>
      <alignment horizontal="center" vertical="center" textRotation="0" wrapText="0" indent="0" justifyLastLine="0" shrinkToFit="0" readingOrder="0"/>
    </dxf>
  </dxfs>
  <tableStyles count="0" defaultTableStyle="TableStyleMedium2" defaultPivotStyle="PivotStyleLight16"/>
  <colors>
    <mruColors>
      <color rgb="FF435259"/>
      <color rgb="FFA3B8BA"/>
      <color rgb="FFFC080F"/>
      <color rgb="FFB3FF03"/>
      <color rgb="FF436300"/>
      <color rgb="FF9C0305"/>
      <color rgb="FFD2FF95"/>
      <color rgb="FF588001"/>
      <color rgb="FFCAFF80"/>
      <color rgb="FF6E9E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Spin" dx="26" fmlaLink="$D$12" max="10" min="1" page="10" val="2"/>
</file>

<file path=xl/ctrlProps/ctrlProp8.xml><?xml version="1.0" encoding="utf-8"?>
<formControlPr xmlns="http://schemas.microsoft.com/office/spreadsheetml/2009/9/main" objectType="Spin" dx="26" fmlaLink="$D$13" max="20" min="1" page="10" val="2"/>
</file>

<file path=xl/ctrlProps/ctrlProp9.xml><?xml version="1.0" encoding="utf-8"?>
<formControlPr xmlns="http://schemas.microsoft.com/office/spreadsheetml/2009/9/main" objectType="Spin" dx="26" fmlaLink="$D$14" max="10" min="1" page="10" val="2"/>
</file>

<file path=xl/ctrlProps/ctrlProp10.xml><?xml version="1.0" encoding="utf-8"?>
<formControlPr xmlns="http://schemas.microsoft.com/office/spreadsheetml/2009/9/main" objectType="Spin" dx="26" fmlaLink="$D$15" max="10" min="1" page="10" val="2"/>
</file>

<file path=xl/ctrlProps/ctrlProp11.xml><?xml version="1.0" encoding="utf-8"?>
<formControlPr xmlns="http://schemas.microsoft.com/office/spreadsheetml/2009/9/main" objectType="Spin" dx="26" fmlaLink="$D$16" max="10" min="1" page="10" val="2"/>
</file>

<file path=xl/ctrlProps/ctrlProp12.xml><?xml version="1.0" encoding="utf-8"?>
<formControlPr xmlns="http://schemas.microsoft.com/office/spreadsheetml/2009/9/main" objectType="Spin" dx="26" fmlaLink="$D$17" max="10" min="1" page="10" val="2"/>
</file>

<file path=xl/ctrlProps/ctrlProp13.xml><?xml version="1.0" encoding="utf-8"?>
<formControlPr xmlns="http://schemas.microsoft.com/office/spreadsheetml/2009/9/main" objectType="Spin" dx="26" fmlaLink="'General Config'!$C$2:$E$2" max="7" min="1" page="10" val="5"/>
</file>

<file path=xl/ctrlProps/ctrlProp14.xml><?xml version="1.0" encoding="utf-8"?>
<formControlPr xmlns="http://schemas.microsoft.com/office/spreadsheetml/2009/9/main" objectType="Spin" dx="26" fmlaLink="$H$13" max="20" min="1" page="10" val="2"/>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Spin" dx="26" fmlaLink="$D$18" max="10" min="1" page="10" val="2"/>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checked="Checked" noThreeD="1"/>
</file>

<file path=xl/ctrlProps/ctrlProp30.xml><?xml version="1.0" encoding="utf-8"?>
<formControlPr xmlns="http://schemas.microsoft.com/office/spreadsheetml/2009/9/main" objectType="CheckBox" checked="Checked" noThreeD="1"/>
</file>

<file path=xl/ctrlProps/ctrlProp31.xml><?xml version="1.0" encoding="utf-8"?>
<formControlPr xmlns="http://schemas.microsoft.com/office/spreadsheetml/2009/9/main" objectType="CheckBox" checked="Checked" noThreeD="1"/>
</file>

<file path=xl/ctrlProps/ctrlProp32.xml><?xml version="1.0" encoding="utf-8"?>
<formControlPr xmlns="http://schemas.microsoft.com/office/spreadsheetml/2009/9/main" objectType="Spin" dx="26" fmlaLink="'Fiscal Config'!$C$2" max="4" min="1" page="10" val="3"/>
</file>

<file path=xl/ctrlProps/ctrlProp33.xml><?xml version="1.0" encoding="utf-8"?>
<formControlPr xmlns="http://schemas.microsoft.com/office/spreadsheetml/2009/9/main" objectType="Spin" dx="26" fmlaLink="$C$30" max="2" min="1" page="10"/>
</file>

<file path=xl/ctrlProps/ctrlProp34.xml><?xml version="1.0" encoding="utf-8"?>
<formControlPr xmlns="http://schemas.microsoft.com/office/spreadsheetml/2009/9/main" objectType="Spin" dx="26" fmlaLink="$C$60" max="2" min="1" page="10"/>
</file>

<file path=xl/ctrlProps/ctrlProp35.xml><?xml version="1.0" encoding="utf-8"?>
<formControlPr xmlns="http://schemas.microsoft.com/office/spreadsheetml/2009/9/main" objectType="Spin" dx="26" fmlaLink="$C$86" max="2" min="1" page="10"/>
</file>

<file path=xl/ctrlProps/ctrlProp36.xml><?xml version="1.0" encoding="utf-8"?>
<formControlPr xmlns="http://schemas.microsoft.com/office/spreadsheetml/2009/9/main" objectType="Spin" dx="26" fmlaLink="$C$10" max="3" min="1" page="10"/>
</file>

<file path=xl/ctrlProps/ctrlProp37.xml><?xml version="1.0" encoding="utf-8"?>
<formControlPr xmlns="http://schemas.microsoft.com/office/spreadsheetml/2009/9/main" objectType="Spin" dx="26" fmlaLink="$C$7" max="3" min="1" page="10" val="3"/>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245167</xdr:colOff>
      <xdr:row>1</xdr:row>
      <xdr:rowOff>39095</xdr:rowOff>
    </xdr:from>
    <xdr:to>
      <xdr:col>2</xdr:col>
      <xdr:colOff>211867</xdr:colOff>
      <xdr:row>4</xdr:row>
      <xdr:rowOff>64771</xdr:rowOff>
    </xdr:to>
    <xdr:pic>
      <xdr:nvPicPr>
        <xdr:cNvPr id="4" name="Picture 3">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45167" y="221975"/>
          <a:ext cx="1185900" cy="578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11</xdr:row>
          <xdr:rowOff>19050</xdr:rowOff>
        </xdr:from>
        <xdr:to>
          <xdr:col>3</xdr:col>
          <xdr:colOff>828</xdr:colOff>
          <xdr:row>12</xdr:row>
          <xdr:rowOff>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Oil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12</xdr:row>
          <xdr:rowOff>19050</xdr:rowOff>
        </xdr:from>
        <xdr:to>
          <xdr:col>3</xdr:col>
          <xdr:colOff>828</xdr:colOff>
          <xdr:row>12</xdr:row>
          <xdr:rowOff>171450</xdr:rowOff>
        </xdr:to>
        <xdr:sp macro="" textlink="">
          <xdr:nvSpPr>
            <xdr:cNvPr id="2065" name="Check Box 17" hidden="1">
              <a:extLst>
                <a:ext uri="{63B3BB69-23CF-44E3-9099-C40C66FF867C}">
                  <a14:compatExt spid="_x0000_s2065"/>
                </a:ext>
                <a:ext uri="{FF2B5EF4-FFF2-40B4-BE49-F238E27FC236}">
                  <a16:creationId xmlns:a16="http://schemas.microsoft.com/office/drawing/2014/main" id="{00000000-0008-0000-0300-00001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13</xdr:row>
          <xdr:rowOff>9525</xdr:rowOff>
        </xdr:from>
        <xdr:to>
          <xdr:col>3</xdr:col>
          <xdr:colOff>276225</xdr:colOff>
          <xdr:row>13</xdr:row>
          <xdr:rowOff>171450</xdr:rowOff>
        </xdr:to>
        <xdr:sp macro="" textlink="">
          <xdr:nvSpPr>
            <xdr:cNvPr id="2066" name="Check Box 18" hidden="1">
              <a:extLst>
                <a:ext uri="{63B3BB69-23CF-44E3-9099-C40C66FF867C}">
                  <a14:compatExt spid="_x0000_s2066"/>
                </a:ext>
                <a:ext uri="{FF2B5EF4-FFF2-40B4-BE49-F238E27FC236}">
                  <a16:creationId xmlns:a16="http://schemas.microsoft.com/office/drawing/2014/main" id="{00000000-0008-0000-0300-00001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LPG Propane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14</xdr:row>
          <xdr:rowOff>19050</xdr:rowOff>
        </xdr:from>
        <xdr:to>
          <xdr:col>3</xdr:col>
          <xdr:colOff>352425</xdr:colOff>
          <xdr:row>14</xdr:row>
          <xdr:rowOff>171450</xdr:rowOff>
        </xdr:to>
        <xdr:sp macro="" textlink="">
          <xdr:nvSpPr>
            <xdr:cNvPr id="2067" name="Check Box 19" hidden="1">
              <a:extLst>
                <a:ext uri="{63B3BB69-23CF-44E3-9099-C40C66FF867C}">
                  <a14:compatExt spid="_x0000_s2067"/>
                </a:ext>
                <a:ext uri="{FF2B5EF4-FFF2-40B4-BE49-F238E27FC236}">
                  <a16:creationId xmlns:a16="http://schemas.microsoft.com/office/drawing/2014/main" id="{00000000-0008-0000-0300-00001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LPG Butane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16</xdr:row>
          <xdr:rowOff>19050</xdr:rowOff>
        </xdr:from>
        <xdr:to>
          <xdr:col>3</xdr:col>
          <xdr:colOff>828</xdr:colOff>
          <xdr:row>16</xdr:row>
          <xdr:rowOff>171450</xdr:rowOff>
        </xdr:to>
        <xdr:sp macro="" textlink="">
          <xdr:nvSpPr>
            <xdr:cNvPr id="2068" name="Check Box 20" hidden="1">
              <a:extLst>
                <a:ext uri="{63B3BB69-23CF-44E3-9099-C40C66FF867C}">
                  <a14:compatExt spid="_x0000_s2068"/>
                </a:ext>
                <a:ext uri="{FF2B5EF4-FFF2-40B4-BE49-F238E27FC236}">
                  <a16:creationId xmlns:a16="http://schemas.microsoft.com/office/drawing/2014/main" id="{00000000-0008-0000-0300-00001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Sulfur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15</xdr:row>
          <xdr:rowOff>9525</xdr:rowOff>
        </xdr:from>
        <xdr:to>
          <xdr:col>3</xdr:col>
          <xdr:colOff>828</xdr:colOff>
          <xdr:row>15</xdr:row>
          <xdr:rowOff>171450</xdr:rowOff>
        </xdr:to>
        <xdr:sp macro="" textlink="">
          <xdr:nvSpPr>
            <xdr:cNvPr id="2069" name="Check Box 21" hidden="1">
              <a:extLst>
                <a:ext uri="{63B3BB69-23CF-44E3-9099-C40C66FF867C}">
                  <a14:compatExt spid="_x0000_s2069"/>
                </a:ext>
                <a:ext uri="{FF2B5EF4-FFF2-40B4-BE49-F238E27FC236}">
                  <a16:creationId xmlns:a16="http://schemas.microsoft.com/office/drawing/2014/main" id="{00000000-0008-0000-0300-00001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CO2</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11</xdr:row>
          <xdr:rowOff>9525</xdr:rowOff>
        </xdr:from>
        <xdr:to>
          <xdr:col>4</xdr:col>
          <xdr:colOff>504825</xdr:colOff>
          <xdr:row>11</xdr:row>
          <xdr:rowOff>171450</xdr:rowOff>
        </xdr:to>
        <xdr:sp macro="" textlink="">
          <xdr:nvSpPr>
            <xdr:cNvPr id="2072" name="Spinner 24" hidden="1">
              <a:extLst>
                <a:ext uri="{63B3BB69-23CF-44E3-9099-C40C66FF867C}">
                  <a14:compatExt spid="_x0000_s2072"/>
                </a:ext>
                <a:ext uri="{FF2B5EF4-FFF2-40B4-BE49-F238E27FC236}">
                  <a16:creationId xmlns:a16="http://schemas.microsoft.com/office/drawing/2014/main" id="{00000000-0008-0000-0300-000018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12</xdr:row>
          <xdr:rowOff>9525</xdr:rowOff>
        </xdr:from>
        <xdr:to>
          <xdr:col>4</xdr:col>
          <xdr:colOff>504825</xdr:colOff>
          <xdr:row>12</xdr:row>
          <xdr:rowOff>171450</xdr:rowOff>
        </xdr:to>
        <xdr:sp macro="" textlink="">
          <xdr:nvSpPr>
            <xdr:cNvPr id="2073" name="Spinner 25" hidden="1">
              <a:extLst>
                <a:ext uri="{63B3BB69-23CF-44E3-9099-C40C66FF867C}">
                  <a14:compatExt spid="_x0000_s2073"/>
                </a:ext>
                <a:ext uri="{FF2B5EF4-FFF2-40B4-BE49-F238E27FC236}">
                  <a16:creationId xmlns:a16="http://schemas.microsoft.com/office/drawing/2014/main" id="{00000000-0008-0000-0300-000019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13</xdr:row>
          <xdr:rowOff>9525</xdr:rowOff>
        </xdr:from>
        <xdr:to>
          <xdr:col>4</xdr:col>
          <xdr:colOff>504825</xdr:colOff>
          <xdr:row>13</xdr:row>
          <xdr:rowOff>171450</xdr:rowOff>
        </xdr:to>
        <xdr:sp macro="" textlink="">
          <xdr:nvSpPr>
            <xdr:cNvPr id="2074" name="Spinner 26" hidden="1">
              <a:extLst>
                <a:ext uri="{63B3BB69-23CF-44E3-9099-C40C66FF867C}">
                  <a14:compatExt spid="_x0000_s2074"/>
                </a:ext>
                <a:ext uri="{FF2B5EF4-FFF2-40B4-BE49-F238E27FC236}">
                  <a16:creationId xmlns:a16="http://schemas.microsoft.com/office/drawing/2014/main" id="{00000000-0008-0000-0300-00001A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14</xdr:row>
          <xdr:rowOff>9525</xdr:rowOff>
        </xdr:from>
        <xdr:to>
          <xdr:col>4</xdr:col>
          <xdr:colOff>504825</xdr:colOff>
          <xdr:row>14</xdr:row>
          <xdr:rowOff>171450</xdr:rowOff>
        </xdr:to>
        <xdr:sp macro="" textlink="">
          <xdr:nvSpPr>
            <xdr:cNvPr id="2075" name="Spinner 27" hidden="1">
              <a:extLst>
                <a:ext uri="{63B3BB69-23CF-44E3-9099-C40C66FF867C}">
                  <a14:compatExt spid="_x0000_s2075"/>
                </a:ext>
                <a:ext uri="{FF2B5EF4-FFF2-40B4-BE49-F238E27FC236}">
                  <a16:creationId xmlns:a16="http://schemas.microsoft.com/office/drawing/2014/main" id="{00000000-0008-0000-0300-00001B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15</xdr:row>
          <xdr:rowOff>9525</xdr:rowOff>
        </xdr:from>
        <xdr:to>
          <xdr:col>4</xdr:col>
          <xdr:colOff>504825</xdr:colOff>
          <xdr:row>15</xdr:row>
          <xdr:rowOff>171450</xdr:rowOff>
        </xdr:to>
        <xdr:sp macro="" textlink="">
          <xdr:nvSpPr>
            <xdr:cNvPr id="2076" name="Spinner 28" hidden="1">
              <a:extLst>
                <a:ext uri="{63B3BB69-23CF-44E3-9099-C40C66FF867C}">
                  <a14:compatExt spid="_x0000_s2076"/>
                </a:ext>
                <a:ext uri="{FF2B5EF4-FFF2-40B4-BE49-F238E27FC236}">
                  <a16:creationId xmlns:a16="http://schemas.microsoft.com/office/drawing/2014/main" id="{00000000-0008-0000-0300-00001C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16</xdr:row>
          <xdr:rowOff>9525</xdr:rowOff>
        </xdr:from>
        <xdr:to>
          <xdr:col>4</xdr:col>
          <xdr:colOff>504825</xdr:colOff>
          <xdr:row>16</xdr:row>
          <xdr:rowOff>171450</xdr:rowOff>
        </xdr:to>
        <xdr:sp macro="" textlink="">
          <xdr:nvSpPr>
            <xdr:cNvPr id="2077" name="Spinner 29" hidden="1">
              <a:extLst>
                <a:ext uri="{63B3BB69-23CF-44E3-9099-C40C66FF867C}">
                  <a14:compatExt spid="_x0000_s2077"/>
                </a:ext>
                <a:ext uri="{FF2B5EF4-FFF2-40B4-BE49-F238E27FC236}">
                  <a16:creationId xmlns:a16="http://schemas.microsoft.com/office/drawing/2014/main" id="{00000000-0008-0000-0300-00001D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xdr:row>
          <xdr:rowOff>9525</xdr:rowOff>
        </xdr:from>
        <xdr:to>
          <xdr:col>4</xdr:col>
          <xdr:colOff>504825</xdr:colOff>
          <xdr:row>1</xdr:row>
          <xdr:rowOff>171450</xdr:rowOff>
        </xdr:to>
        <xdr:sp macro="" textlink="">
          <xdr:nvSpPr>
            <xdr:cNvPr id="2079" name="Spinner 31" hidden="1">
              <a:extLst>
                <a:ext uri="{63B3BB69-23CF-44E3-9099-C40C66FF867C}">
                  <a14:compatExt spid="_x0000_s2079"/>
                </a:ext>
                <a:ext uri="{FF2B5EF4-FFF2-40B4-BE49-F238E27FC236}">
                  <a16:creationId xmlns:a16="http://schemas.microsoft.com/office/drawing/2014/main" id="{00000000-0008-0000-0300-00001F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190500</xdr:colOff>
          <xdr:row>12</xdr:row>
          <xdr:rowOff>9525</xdr:rowOff>
        </xdr:from>
        <xdr:to>
          <xdr:col>8</xdr:col>
          <xdr:colOff>361950</xdr:colOff>
          <xdr:row>12</xdr:row>
          <xdr:rowOff>171450</xdr:rowOff>
        </xdr:to>
        <xdr:sp macro="" textlink="">
          <xdr:nvSpPr>
            <xdr:cNvPr id="2086" name="Spinner 38" hidden="1">
              <a:extLst>
                <a:ext uri="{63B3BB69-23CF-44E3-9099-C40C66FF867C}">
                  <a14:compatExt spid="_x0000_s2086"/>
                </a:ext>
                <a:ext uri="{FF2B5EF4-FFF2-40B4-BE49-F238E27FC236}">
                  <a16:creationId xmlns:a16="http://schemas.microsoft.com/office/drawing/2014/main" id="{00000000-0008-0000-0300-000026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17</xdr:row>
          <xdr:rowOff>19050</xdr:rowOff>
        </xdr:from>
        <xdr:to>
          <xdr:col>3</xdr:col>
          <xdr:colOff>828</xdr:colOff>
          <xdr:row>17</xdr:row>
          <xdr:rowOff>171450</xdr:rowOff>
        </xdr:to>
        <xdr:sp macro="" textlink="">
          <xdr:nvSpPr>
            <xdr:cNvPr id="2090" name="Check Box 42" hidden="1">
              <a:extLst>
                <a:ext uri="{63B3BB69-23CF-44E3-9099-C40C66FF867C}">
                  <a14:compatExt spid="_x0000_s2090"/>
                </a:ext>
                <a:ext uri="{FF2B5EF4-FFF2-40B4-BE49-F238E27FC236}">
                  <a16:creationId xmlns:a16="http://schemas.microsoft.com/office/drawing/2014/main" id="{00000000-0008-0000-0300-00002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Electricity</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17</xdr:row>
          <xdr:rowOff>9525</xdr:rowOff>
        </xdr:from>
        <xdr:to>
          <xdr:col>4</xdr:col>
          <xdr:colOff>504825</xdr:colOff>
          <xdr:row>17</xdr:row>
          <xdr:rowOff>171450</xdr:rowOff>
        </xdr:to>
        <xdr:sp macro="" textlink="">
          <xdr:nvSpPr>
            <xdr:cNvPr id="2091" name="Spinner 43" hidden="1">
              <a:extLst>
                <a:ext uri="{63B3BB69-23CF-44E3-9099-C40C66FF867C}">
                  <a14:compatExt spid="_x0000_s2091"/>
                </a:ext>
                <a:ext uri="{FF2B5EF4-FFF2-40B4-BE49-F238E27FC236}">
                  <a16:creationId xmlns:a16="http://schemas.microsoft.com/office/drawing/2014/main" id="{00000000-0008-0000-0300-00002B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219075</xdr:colOff>
          <xdr:row>3</xdr:row>
          <xdr:rowOff>161925</xdr:rowOff>
        </xdr:from>
        <xdr:to>
          <xdr:col>3</xdr:col>
          <xdr:colOff>438150</xdr:colOff>
          <xdr:row>14</xdr:row>
          <xdr:rowOff>47625</xdr:rowOff>
        </xdr:to>
        <xdr:sp macro="" textlink="">
          <xdr:nvSpPr>
            <xdr:cNvPr id="306177" name="Check Box 1" hidden="1">
              <a:extLst>
                <a:ext uri="{63B3BB69-23CF-44E3-9099-C40C66FF867C}">
                  <a14:compatExt spid="_x0000_s306177"/>
                </a:ext>
                <a:ext uri="{FF2B5EF4-FFF2-40B4-BE49-F238E27FC236}">
                  <a16:creationId xmlns:a16="http://schemas.microsoft.com/office/drawing/2014/main" id="{00000000-0008-0000-0400-000001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4</xdr:row>
          <xdr:rowOff>171450</xdr:rowOff>
        </xdr:from>
        <xdr:to>
          <xdr:col>3</xdr:col>
          <xdr:colOff>438150</xdr:colOff>
          <xdr:row>14</xdr:row>
          <xdr:rowOff>38100</xdr:rowOff>
        </xdr:to>
        <xdr:sp macro="" textlink="">
          <xdr:nvSpPr>
            <xdr:cNvPr id="306178" name="Check Box 2" hidden="1">
              <a:extLst>
                <a:ext uri="{63B3BB69-23CF-44E3-9099-C40C66FF867C}">
                  <a14:compatExt spid="_x0000_s306178"/>
                </a:ext>
                <a:ext uri="{FF2B5EF4-FFF2-40B4-BE49-F238E27FC236}">
                  <a16:creationId xmlns:a16="http://schemas.microsoft.com/office/drawing/2014/main" id="{00000000-0008-0000-0400-000002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5</xdr:row>
          <xdr:rowOff>171450</xdr:rowOff>
        </xdr:from>
        <xdr:to>
          <xdr:col>3</xdr:col>
          <xdr:colOff>438150</xdr:colOff>
          <xdr:row>14</xdr:row>
          <xdr:rowOff>38100</xdr:rowOff>
        </xdr:to>
        <xdr:sp macro="" textlink="">
          <xdr:nvSpPr>
            <xdr:cNvPr id="306180" name="Check Box 4" hidden="1">
              <a:extLst>
                <a:ext uri="{63B3BB69-23CF-44E3-9099-C40C66FF867C}">
                  <a14:compatExt spid="_x0000_s306180"/>
                </a:ext>
                <a:ext uri="{FF2B5EF4-FFF2-40B4-BE49-F238E27FC236}">
                  <a16:creationId xmlns:a16="http://schemas.microsoft.com/office/drawing/2014/main" id="{00000000-0008-0000-0400-000004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6</xdr:row>
          <xdr:rowOff>171450</xdr:rowOff>
        </xdr:from>
        <xdr:to>
          <xdr:col>3</xdr:col>
          <xdr:colOff>438150</xdr:colOff>
          <xdr:row>14</xdr:row>
          <xdr:rowOff>38100</xdr:rowOff>
        </xdr:to>
        <xdr:sp macro="" textlink="">
          <xdr:nvSpPr>
            <xdr:cNvPr id="306181" name="Check Box 5" hidden="1">
              <a:extLst>
                <a:ext uri="{63B3BB69-23CF-44E3-9099-C40C66FF867C}">
                  <a14:compatExt spid="_x0000_s306181"/>
                </a:ext>
                <a:ext uri="{FF2B5EF4-FFF2-40B4-BE49-F238E27FC236}">
                  <a16:creationId xmlns:a16="http://schemas.microsoft.com/office/drawing/2014/main" id="{00000000-0008-0000-0400-000005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7</xdr:row>
          <xdr:rowOff>171450</xdr:rowOff>
        </xdr:from>
        <xdr:to>
          <xdr:col>3</xdr:col>
          <xdr:colOff>438150</xdr:colOff>
          <xdr:row>14</xdr:row>
          <xdr:rowOff>38100</xdr:rowOff>
        </xdr:to>
        <xdr:sp macro="" textlink="">
          <xdr:nvSpPr>
            <xdr:cNvPr id="306182" name="Check Box 6" hidden="1">
              <a:extLst>
                <a:ext uri="{63B3BB69-23CF-44E3-9099-C40C66FF867C}">
                  <a14:compatExt spid="_x0000_s306182"/>
                </a:ext>
                <a:ext uri="{FF2B5EF4-FFF2-40B4-BE49-F238E27FC236}">
                  <a16:creationId xmlns:a16="http://schemas.microsoft.com/office/drawing/2014/main" id="{00000000-0008-0000-0400-000006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8</xdr:row>
          <xdr:rowOff>171450</xdr:rowOff>
        </xdr:from>
        <xdr:to>
          <xdr:col>3</xdr:col>
          <xdr:colOff>438150</xdr:colOff>
          <xdr:row>14</xdr:row>
          <xdr:rowOff>38100</xdr:rowOff>
        </xdr:to>
        <xdr:sp macro="" textlink="">
          <xdr:nvSpPr>
            <xdr:cNvPr id="306183" name="Check Box 7" hidden="1">
              <a:extLst>
                <a:ext uri="{63B3BB69-23CF-44E3-9099-C40C66FF867C}">
                  <a14:compatExt spid="_x0000_s306183"/>
                </a:ext>
                <a:ext uri="{FF2B5EF4-FFF2-40B4-BE49-F238E27FC236}">
                  <a16:creationId xmlns:a16="http://schemas.microsoft.com/office/drawing/2014/main" id="{00000000-0008-0000-0400-000007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9</xdr:row>
          <xdr:rowOff>171450</xdr:rowOff>
        </xdr:from>
        <xdr:to>
          <xdr:col>3</xdr:col>
          <xdr:colOff>438150</xdr:colOff>
          <xdr:row>14</xdr:row>
          <xdr:rowOff>38100</xdr:rowOff>
        </xdr:to>
        <xdr:sp macro="" textlink="">
          <xdr:nvSpPr>
            <xdr:cNvPr id="306184" name="Check Box 8" hidden="1">
              <a:extLst>
                <a:ext uri="{63B3BB69-23CF-44E3-9099-C40C66FF867C}">
                  <a14:compatExt spid="_x0000_s306184"/>
                </a:ext>
                <a:ext uri="{FF2B5EF4-FFF2-40B4-BE49-F238E27FC236}">
                  <a16:creationId xmlns:a16="http://schemas.microsoft.com/office/drawing/2014/main" id="{00000000-0008-0000-0400-000008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10</xdr:row>
          <xdr:rowOff>171450</xdr:rowOff>
        </xdr:from>
        <xdr:to>
          <xdr:col>3</xdr:col>
          <xdr:colOff>438150</xdr:colOff>
          <xdr:row>14</xdr:row>
          <xdr:rowOff>38100</xdr:rowOff>
        </xdr:to>
        <xdr:sp macro="" textlink="">
          <xdr:nvSpPr>
            <xdr:cNvPr id="306185" name="Check Box 9" hidden="1">
              <a:extLst>
                <a:ext uri="{63B3BB69-23CF-44E3-9099-C40C66FF867C}">
                  <a14:compatExt spid="_x0000_s306185"/>
                </a:ext>
                <a:ext uri="{FF2B5EF4-FFF2-40B4-BE49-F238E27FC236}">
                  <a16:creationId xmlns:a16="http://schemas.microsoft.com/office/drawing/2014/main" id="{00000000-0008-0000-0400-000009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11</xdr:row>
          <xdr:rowOff>171450</xdr:rowOff>
        </xdr:from>
        <xdr:to>
          <xdr:col>3</xdr:col>
          <xdr:colOff>438150</xdr:colOff>
          <xdr:row>14</xdr:row>
          <xdr:rowOff>38100</xdr:rowOff>
        </xdr:to>
        <xdr:sp macro="" textlink="">
          <xdr:nvSpPr>
            <xdr:cNvPr id="306186" name="Check Box 10" hidden="1">
              <a:extLst>
                <a:ext uri="{63B3BB69-23CF-44E3-9099-C40C66FF867C}">
                  <a14:compatExt spid="_x0000_s306186"/>
                </a:ext>
                <a:ext uri="{FF2B5EF4-FFF2-40B4-BE49-F238E27FC236}">
                  <a16:creationId xmlns:a16="http://schemas.microsoft.com/office/drawing/2014/main" id="{00000000-0008-0000-0400-00000A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12</xdr:row>
          <xdr:rowOff>152400</xdr:rowOff>
        </xdr:from>
        <xdr:to>
          <xdr:col>3</xdr:col>
          <xdr:colOff>438150</xdr:colOff>
          <xdr:row>14</xdr:row>
          <xdr:rowOff>38100</xdr:rowOff>
        </xdr:to>
        <xdr:sp macro="" textlink="">
          <xdr:nvSpPr>
            <xdr:cNvPr id="306191" name="Check Box 15" hidden="1">
              <a:extLst>
                <a:ext uri="{63B3BB69-23CF-44E3-9099-C40C66FF867C}">
                  <a14:compatExt spid="_x0000_s306191"/>
                </a:ext>
                <a:ext uri="{FF2B5EF4-FFF2-40B4-BE49-F238E27FC236}">
                  <a16:creationId xmlns:a16="http://schemas.microsoft.com/office/drawing/2014/main" id="{00000000-0008-0000-0400-00000F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12</xdr:row>
          <xdr:rowOff>152400</xdr:rowOff>
        </xdr:from>
        <xdr:to>
          <xdr:col>3</xdr:col>
          <xdr:colOff>438150</xdr:colOff>
          <xdr:row>14</xdr:row>
          <xdr:rowOff>38100</xdr:rowOff>
        </xdr:to>
        <xdr:sp macro="" textlink="">
          <xdr:nvSpPr>
            <xdr:cNvPr id="306192" name="Check Box 16" hidden="1">
              <a:extLst>
                <a:ext uri="{63B3BB69-23CF-44E3-9099-C40C66FF867C}">
                  <a14:compatExt spid="_x0000_s306192"/>
                </a:ext>
                <a:ext uri="{FF2B5EF4-FFF2-40B4-BE49-F238E27FC236}">
                  <a16:creationId xmlns:a16="http://schemas.microsoft.com/office/drawing/2014/main" id="{00000000-0008-0000-0400-000010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12</xdr:row>
          <xdr:rowOff>152400</xdr:rowOff>
        </xdr:from>
        <xdr:to>
          <xdr:col>3</xdr:col>
          <xdr:colOff>438150</xdr:colOff>
          <xdr:row>14</xdr:row>
          <xdr:rowOff>38100</xdr:rowOff>
        </xdr:to>
        <xdr:sp macro="" textlink="">
          <xdr:nvSpPr>
            <xdr:cNvPr id="306193" name="Check Box 17" hidden="1">
              <a:extLst>
                <a:ext uri="{63B3BB69-23CF-44E3-9099-C40C66FF867C}">
                  <a14:compatExt spid="_x0000_s306193"/>
                </a:ext>
                <a:ext uri="{FF2B5EF4-FFF2-40B4-BE49-F238E27FC236}">
                  <a16:creationId xmlns:a16="http://schemas.microsoft.com/office/drawing/2014/main" id="{00000000-0008-0000-0400-000011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15</xdr:row>
          <xdr:rowOff>19050</xdr:rowOff>
        </xdr:from>
        <xdr:to>
          <xdr:col>3</xdr:col>
          <xdr:colOff>438150</xdr:colOff>
          <xdr:row>15</xdr:row>
          <xdr:rowOff>180975</xdr:rowOff>
        </xdr:to>
        <xdr:sp macro="" textlink="">
          <xdr:nvSpPr>
            <xdr:cNvPr id="306196" name="Check Box 20" hidden="1">
              <a:extLst>
                <a:ext uri="{63B3BB69-23CF-44E3-9099-C40C66FF867C}">
                  <a14:compatExt spid="_x0000_s306196"/>
                </a:ext>
                <a:ext uri="{FF2B5EF4-FFF2-40B4-BE49-F238E27FC236}">
                  <a16:creationId xmlns:a16="http://schemas.microsoft.com/office/drawing/2014/main" id="{00000000-0008-0000-0400-000014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16</xdr:row>
          <xdr:rowOff>9525</xdr:rowOff>
        </xdr:from>
        <xdr:to>
          <xdr:col>3</xdr:col>
          <xdr:colOff>438150</xdr:colOff>
          <xdr:row>16</xdr:row>
          <xdr:rowOff>171450</xdr:rowOff>
        </xdr:to>
        <xdr:sp macro="" textlink="">
          <xdr:nvSpPr>
            <xdr:cNvPr id="306197" name="Check Box 21" hidden="1">
              <a:extLst>
                <a:ext uri="{63B3BB69-23CF-44E3-9099-C40C66FF867C}">
                  <a14:compatExt spid="_x0000_s306197"/>
                </a:ext>
                <a:ext uri="{FF2B5EF4-FFF2-40B4-BE49-F238E27FC236}">
                  <a16:creationId xmlns:a16="http://schemas.microsoft.com/office/drawing/2014/main" id="{00000000-0008-0000-0400-000015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17</xdr:row>
          <xdr:rowOff>19050</xdr:rowOff>
        </xdr:from>
        <xdr:to>
          <xdr:col>3</xdr:col>
          <xdr:colOff>438150</xdr:colOff>
          <xdr:row>17</xdr:row>
          <xdr:rowOff>180975</xdr:rowOff>
        </xdr:to>
        <xdr:sp macro="" textlink="">
          <xdr:nvSpPr>
            <xdr:cNvPr id="306198" name="Check Box 22" hidden="1">
              <a:extLst>
                <a:ext uri="{63B3BB69-23CF-44E3-9099-C40C66FF867C}">
                  <a14:compatExt spid="_x0000_s306198"/>
                </a:ext>
                <a:ext uri="{FF2B5EF4-FFF2-40B4-BE49-F238E27FC236}">
                  <a16:creationId xmlns:a16="http://schemas.microsoft.com/office/drawing/2014/main" id="{00000000-0008-0000-0400-000016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1514475</xdr:colOff>
          <xdr:row>1</xdr:row>
          <xdr:rowOff>9525</xdr:rowOff>
        </xdr:from>
        <xdr:to>
          <xdr:col>2</xdr:col>
          <xdr:colOff>1685925</xdr:colOff>
          <xdr:row>1</xdr:row>
          <xdr:rowOff>171450</xdr:rowOff>
        </xdr:to>
        <xdr:sp macro="" textlink="">
          <xdr:nvSpPr>
            <xdr:cNvPr id="303107" name="Spinner 3" hidden="1">
              <a:extLst>
                <a:ext uri="{63B3BB69-23CF-44E3-9099-C40C66FF867C}">
                  <a14:compatExt spid="_x0000_s303107"/>
                </a:ext>
                <a:ext uri="{FF2B5EF4-FFF2-40B4-BE49-F238E27FC236}">
                  <a16:creationId xmlns:a16="http://schemas.microsoft.com/office/drawing/2014/main" id="{00000000-0008-0000-0B00-000003A004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1514475</xdr:colOff>
          <xdr:row>29</xdr:row>
          <xdr:rowOff>9525</xdr:rowOff>
        </xdr:from>
        <xdr:to>
          <xdr:col>2</xdr:col>
          <xdr:colOff>1685925</xdr:colOff>
          <xdr:row>29</xdr:row>
          <xdr:rowOff>171450</xdr:rowOff>
        </xdr:to>
        <xdr:sp macro="" textlink="">
          <xdr:nvSpPr>
            <xdr:cNvPr id="303109" name="Spinner 5" hidden="1">
              <a:extLst>
                <a:ext uri="{63B3BB69-23CF-44E3-9099-C40C66FF867C}">
                  <a14:compatExt spid="_x0000_s303109"/>
                </a:ext>
                <a:ext uri="{FF2B5EF4-FFF2-40B4-BE49-F238E27FC236}">
                  <a16:creationId xmlns:a16="http://schemas.microsoft.com/office/drawing/2014/main" id="{00000000-0008-0000-0B00-000005A004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1514475</xdr:colOff>
          <xdr:row>59</xdr:row>
          <xdr:rowOff>9525</xdr:rowOff>
        </xdr:from>
        <xdr:to>
          <xdr:col>2</xdr:col>
          <xdr:colOff>1685925</xdr:colOff>
          <xdr:row>59</xdr:row>
          <xdr:rowOff>171450</xdr:rowOff>
        </xdr:to>
        <xdr:sp macro="" textlink="">
          <xdr:nvSpPr>
            <xdr:cNvPr id="303111" name="Spinner 7" hidden="1">
              <a:extLst>
                <a:ext uri="{63B3BB69-23CF-44E3-9099-C40C66FF867C}">
                  <a14:compatExt spid="_x0000_s303111"/>
                </a:ext>
                <a:ext uri="{FF2B5EF4-FFF2-40B4-BE49-F238E27FC236}">
                  <a16:creationId xmlns:a16="http://schemas.microsoft.com/office/drawing/2014/main" id="{00000000-0008-0000-0B00-000007A004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1514475</xdr:colOff>
          <xdr:row>85</xdr:row>
          <xdr:rowOff>9525</xdr:rowOff>
        </xdr:from>
        <xdr:to>
          <xdr:col>2</xdr:col>
          <xdr:colOff>1685925</xdr:colOff>
          <xdr:row>85</xdr:row>
          <xdr:rowOff>171450</xdr:rowOff>
        </xdr:to>
        <xdr:sp macro="" textlink="">
          <xdr:nvSpPr>
            <xdr:cNvPr id="303112" name="Spinner 8" hidden="1">
              <a:extLst>
                <a:ext uri="{63B3BB69-23CF-44E3-9099-C40C66FF867C}">
                  <a14:compatExt spid="_x0000_s303112"/>
                </a:ext>
                <a:ext uri="{FF2B5EF4-FFF2-40B4-BE49-F238E27FC236}">
                  <a16:creationId xmlns:a16="http://schemas.microsoft.com/office/drawing/2014/main" id="{00000000-0008-0000-0B00-000008A004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1123950</xdr:colOff>
          <xdr:row>9</xdr:row>
          <xdr:rowOff>9525</xdr:rowOff>
        </xdr:from>
        <xdr:to>
          <xdr:col>2</xdr:col>
          <xdr:colOff>1295400</xdr:colOff>
          <xdr:row>9</xdr:row>
          <xdr:rowOff>171450</xdr:rowOff>
        </xdr:to>
        <xdr:sp macro="" textlink="">
          <xdr:nvSpPr>
            <xdr:cNvPr id="3074" name="Spinner 2" hidden="1">
              <a:extLst>
                <a:ext uri="{63B3BB69-23CF-44E3-9099-C40C66FF867C}">
                  <a14:compatExt spid="_x0000_s3074"/>
                </a:ext>
                <a:ext uri="{FF2B5EF4-FFF2-40B4-BE49-F238E27FC236}">
                  <a16:creationId xmlns:a16="http://schemas.microsoft.com/office/drawing/2014/main" id="{00000000-0008-0000-1700-000002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1123950</xdr:colOff>
          <xdr:row>6</xdr:row>
          <xdr:rowOff>9525</xdr:rowOff>
        </xdr:from>
        <xdr:to>
          <xdr:col>2</xdr:col>
          <xdr:colOff>1295400</xdr:colOff>
          <xdr:row>6</xdr:row>
          <xdr:rowOff>171450</xdr:rowOff>
        </xdr:to>
        <xdr:sp macro="" textlink="">
          <xdr:nvSpPr>
            <xdr:cNvPr id="301057" name="Spinner 1" hidden="1">
              <a:extLst>
                <a:ext uri="{63B3BB69-23CF-44E3-9099-C40C66FF867C}">
                  <a14:compatExt spid="_x0000_s301057"/>
                </a:ext>
                <a:ext uri="{FF2B5EF4-FFF2-40B4-BE49-F238E27FC236}">
                  <a16:creationId xmlns:a16="http://schemas.microsoft.com/office/drawing/2014/main" id="{00000000-0008-0000-1A00-0000019804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55B9959-FE06-47CC-A638-6EFD768FCF61}" name="tbl_prod_oil" displayName="tbl_prod_oil" ref="A1:E50" totalsRowShown="0" headerRowDxfId="234" dataDxfId="233">
  <tableColumns count="5">
    <tableColumn id="1" xr3:uid="{F5C1188B-5A01-4D20-9CDA-43938053BE14}" name="Year" dataDxfId="232"/>
    <tableColumn id="2" xr3:uid="{488F6F74-60C4-41C0-8968-CFABEEC8C577}" name="Oil Sales (MMBOPY)" dataDxfId="231"/>
    <tableColumn id="3" xr3:uid="{FA019DEC-C16E-43AA-B922-7626C07066D2}" name="Oil Price (USD/BBL)" dataDxfId="230"/>
    <tableColumn id="4" xr3:uid="{E46E713A-179D-444E-88B6-019AD68876B5}" name="Condensate Sales (MMBOPY)" dataDxfId="229"/>
    <tableColumn id="5" xr3:uid="{04F0C769-33F5-487D-B7D5-F46799049A69}" name="Condensate Price (USD/BBL)" dataDxfId="228"/>
  </tableColumns>
  <tableStyleInfo name="TableStyleLight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F6CF9AB-FA3D-4BB4-ADAA-CA685555616C}" name="tbl_prod_lpgpropane" displayName="tbl_prod_lpgpropane" ref="A1:C50" totalsRowShown="0" headerRowDxfId="102" dataDxfId="101">
  <autoFilter ref="A1:C50" xr:uid="{4F6CF9AB-FA3D-4BB4-ADAA-CA685555616C}"/>
  <tableColumns count="3">
    <tableColumn id="1" xr3:uid="{0DB2853D-2883-477A-BEC2-C3A8EC6BE1B6}" name="Year" dataDxfId="100"/>
    <tableColumn id="2" xr3:uid="{01418EAC-C4F4-48E8-9287-8988948DB9F1}" name="LPG Propane Sales (MT)" dataDxfId="99"/>
    <tableColumn id="3" xr3:uid="{4374CFEA-F40D-4DFA-9E1A-50C068F77BB6}" name="LPG Propane Price (USD/T)" dataDxfId="98"/>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B8BDAF2-94D0-408A-B616-9611E9CCB5FC}" name="tbl_prod_oil2" displayName="tbl_prod_oil2" ref="A1:E50" totalsRowShown="0" headerRowDxfId="97" dataDxfId="96">
  <tableColumns count="5">
    <tableColumn id="1" xr3:uid="{EF82E659-7472-40E9-81EE-01F19D68C0CC}" name="Year" dataDxfId="95"/>
    <tableColumn id="2" xr3:uid="{C97E2BB5-C885-43DB-84E2-222F29B76851}" name="Oil Sales (MMBOPY)" dataDxfId="94"/>
    <tableColumn id="3" xr3:uid="{79A9D70F-917C-4DFA-B992-C65B259BF036}" name="Oil Price (USD/BBL)" dataDxfId="93"/>
    <tableColumn id="4" xr3:uid="{24F1BF9D-C76F-4B36-8293-6A08E71FB09D}" name="Condensate Sales (MMBOPY)" dataDxfId="92"/>
    <tableColumn id="5" xr3:uid="{15737A4A-B500-4690-9BE6-BB5573B8E39F}" name="Condensate Price (USD/BBL)" dataDxfId="91"/>
  </tableColumns>
  <tableStyleInfo name="TableStyleLight1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434656A-D131-4D00-9297-8F082A6F9D92}" name="tbl_prod_sulfur12" displayName="tbl_prod_sulfur12" ref="A1:C50" totalsRowShown="0" headerRowDxfId="227" dataDxfId="226">
  <autoFilter ref="A1:C50" xr:uid="{DEE72A9B-4BBC-4F3F-80BF-BC7085A5EA38}"/>
  <tableColumns count="3">
    <tableColumn id="1" xr3:uid="{9046D9DD-2F71-4AF2-8197-1C4A99CD21F1}" name="Year" dataDxfId="225"/>
    <tableColumn id="2" xr3:uid="{AC666C38-3CBA-4F89-96AF-CD0114273121}" name="Electricity Sales (Unit)" dataDxfId="224"/>
    <tableColumn id="3" xr3:uid="{A9E705E7-0E52-4109-A72A-9C8AD1165D12}" name="Price (MMUSD/Unit)" dataDxfId="223"/>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2A82477-69BA-4C45-BAF5-46AB61A3D7DE}" name="tbl_prod_sulfur1214" displayName="tbl_prod_sulfur1214" ref="A1:C50" totalsRowShown="0" headerRowDxfId="4" dataDxfId="3">
  <autoFilter ref="A1:C50" xr:uid="{DEE72A9B-4BBC-4F3F-80BF-BC7085A5EA38}"/>
  <tableColumns count="3">
    <tableColumn id="1" xr3:uid="{A5E15333-F509-433E-80D7-4C7CC887FF94}" name="Year" dataDxfId="2"/>
    <tableColumn id="2" xr3:uid="{D4E82B64-DD29-4C93-A863-8C6AB04CE13F}" name="Electricity Sales (Unit)" dataDxfId="1"/>
    <tableColumn id="3" xr3:uid="{3B29F8D0-0573-4B3A-BFED-DEEBF0C84835}" name="Price (MMUSD/Unit)" dataDxfId="0"/>
  </tableColumns>
  <tableStyleInfo name="TableStyleLight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3B5FD60-3EF6-4239-90D9-138C2E5C0533}" name="tbl_prod_gas" displayName="tbl_prod_gas" ref="A1:BJ50" totalsRowShown="0" headerRowDxfId="222" dataDxfId="221">
  <autoFilter ref="A1:BJ50" xr:uid="{F3B5FD60-3EF6-4239-90D9-138C2E5C0533}"/>
  <tableColumns count="62">
    <tableColumn id="1" xr3:uid="{77AB1563-534C-4000-8990-E78C5E489BD7}" name="Year" dataDxfId="220"/>
    <tableColumn id="2" xr3:uid="{D229AC35-73B4-42FD-BBA3-AD438E380811}" name="Gas Production (BSCF)" dataDxfId="219"/>
    <tableColumn id="3" xr3:uid="{FCC8C31C-5036-4AF9-B6CE-1EEA31C5FAE9}" name="GSA 1 Volume (BSCF)" dataDxfId="218"/>
    <tableColumn id="4" xr3:uid="{C43DEA5B-2B33-4E7F-A57F-5476C60E7DCB}" name="GSA 1 GHV (BTU/SCF)" dataDxfId="217"/>
    <tableColumn id="5" xr3:uid="{41CF3913-D317-4E9F-B718-27DD21583BF7}" name="GSA 1 Price (USD/MMBTU)" dataDxfId="216"/>
    <tableColumn id="6" xr3:uid="{D3447C8E-599C-4059-A25A-5992EAF3CA98}" name="GSA 2 Volume (BSCF)" dataDxfId="215"/>
    <tableColumn id="7" xr3:uid="{08251CDD-AB2B-44EA-BB2B-B83A1024372A}" name="GSA 2 GHV (BTU/SCF)" dataDxfId="214"/>
    <tableColumn id="8" xr3:uid="{2AAA0FEE-F453-4CDC-BB43-9260633E2A77}" name="GSA 2 Price (USD/MMBTU)" dataDxfId="213"/>
    <tableColumn id="9" xr3:uid="{11DE7FD8-4E88-43BA-9FC1-5BFC6B7A4152}" name="GSA 3 Volume (BSCF)" dataDxfId="212"/>
    <tableColumn id="10" xr3:uid="{62D5C9C4-267A-4911-9B26-395CA0A13963}" name="GSA 3 GHV (BTU/SCF)" dataDxfId="211"/>
    <tableColumn id="11" xr3:uid="{8E831C1F-1E47-4011-B7F2-3315ADF97880}" name="GSA 3 Price (USD/MMBTU)" dataDxfId="210"/>
    <tableColumn id="12" xr3:uid="{7495CB1E-FAD1-4D28-AFB9-5721BE9D6A62}" name="GSA 4 Volume (BSCF)" dataDxfId="209"/>
    <tableColumn id="13" xr3:uid="{CCEEC0D9-E00C-4AE0-A6FB-2A21358BEFD2}" name="GSA 4 GHV (BTU/SCF)" dataDxfId="208"/>
    <tableColumn id="14" xr3:uid="{02D4E6A1-2B65-421C-8510-61E7E14C93AF}" name="GSA 4 Price (USD/MMBTU)" dataDxfId="207"/>
    <tableColumn id="15" xr3:uid="{81A66C00-B18B-44A8-B655-2F196AEDE152}" name="GSA 5 Volume (BSCF)" dataDxfId="206"/>
    <tableColumn id="16" xr3:uid="{E3C45877-F389-429D-8AA5-C760BD17A529}" name="GSA 5 GHV (BTU/SCF)" dataDxfId="205"/>
    <tableColumn id="17" xr3:uid="{29EC26AB-1FD3-4B90-8A35-51DD0A51A022}" name="GSA 5 Price (USD/MMBTU)" dataDxfId="204"/>
    <tableColumn id="18" xr3:uid="{13A537C0-0178-4CB4-B395-6E350791AFD2}" name="GSA 6 Volume (BSCF)5" dataDxfId="203"/>
    <tableColumn id="19" xr3:uid="{200121C4-4603-4606-9C7C-E8E2BEB00D03}" name="GSA 6 GHV (BTU/SCF)" dataDxfId="202"/>
    <tableColumn id="20" xr3:uid="{8C225936-78F4-424A-A66E-AC5E32060AAF}" name="GSA 6 Price (USD/MMBTU)" dataDxfId="201"/>
    <tableColumn id="21" xr3:uid="{44CE13E9-EEEF-4BEC-8518-6B116C1AD26B}" name="GSA 7 Volume (BSCF)" dataDxfId="200"/>
    <tableColumn id="22" xr3:uid="{ECD91665-11BC-45C6-9498-68BDC2D7C660}" name="GSA 7 GHV (BTU/SCF)" dataDxfId="199"/>
    <tableColumn id="23" xr3:uid="{BBCF0D25-A5E6-4644-964E-087F828A3214}" name="GSA 7 Price (USD/MMBTU)" dataDxfId="198"/>
    <tableColumn id="24" xr3:uid="{8DBCA4FF-FABE-4194-B3F6-1DBCEF167B28}" name="GSA 8 Volume (BSCF)" dataDxfId="197"/>
    <tableColumn id="25" xr3:uid="{C036027E-6E33-43E1-BE27-B060EB711E54}" name="GSA 8 GHV (BTU/SCF)" dataDxfId="196"/>
    <tableColumn id="26" xr3:uid="{F97DC2DB-AC07-4EF5-8063-0BE58357542D}" name="GSA 8 Price (USD/MMBTU)" dataDxfId="195"/>
    <tableColumn id="27" xr3:uid="{DA65A24F-CADB-4DE1-8A15-3A7FBA499C71}" name="GSA 9 Volume (BSCF)" dataDxfId="194"/>
    <tableColumn id="28" xr3:uid="{965B634C-0E56-49A6-8114-ACEABD08501E}" name="GSA 9 GHV (BTU/SCF)" dataDxfId="193"/>
    <tableColumn id="29" xr3:uid="{EBB76C16-8154-4DF6-ACC0-632DF52511A6}" name="GSA 9 Price (USD/MMBTU)" dataDxfId="192"/>
    <tableColumn id="30" xr3:uid="{2EE56E13-7901-46A4-B827-82F154323535}" name="GSA 10 Volume (BSCF)" dataDxfId="191"/>
    <tableColumn id="31" xr3:uid="{B059A543-383C-48AF-974C-15AEF15B1E83}" name="GSA 10 GHV (BTU/SCF)" dataDxfId="190"/>
    <tableColumn id="32" xr3:uid="{EB5FE66C-4F13-4C5A-9295-9CA6B5EBE0DB}" name="GSA 10 Price (USD/MMBTU)" dataDxfId="189"/>
    <tableColumn id="33" xr3:uid="{48C2A0C4-CDE1-43D4-80DA-9A04CFD50DF3}" name="GSA 11 Volume (BSCF)" dataDxfId="188"/>
    <tableColumn id="34" xr3:uid="{D58B2C50-D5D3-4FA0-BF0F-B249498FE2E5}" name="GSA 11 GHV (BTU/SCF)" dataDxfId="187"/>
    <tableColumn id="35" xr3:uid="{086395B3-EDF7-4416-824F-DADC5A41C808}" name="GSA 11 Price (USD/MMBTU)" dataDxfId="186"/>
    <tableColumn id="36" xr3:uid="{50F0227B-E5CB-4438-A313-A1630B0C4478}" name="GSA 12 Volume (BSCF)" dataDxfId="185"/>
    <tableColumn id="37" xr3:uid="{2E59E514-274A-4FF3-97F1-4C10C438F92C}" name="GSA 12 GHV (BTU/SCF)" dataDxfId="184"/>
    <tableColumn id="38" xr3:uid="{DC78227B-224D-4D70-AAA8-998E0854A236}" name="GSA 12 Price (USD/MMBTU)" dataDxfId="183"/>
    <tableColumn id="39" xr3:uid="{380FF60C-4086-4E19-B225-F579C632C9DF}" name="GSA 13 Volume (BSCF)5" dataDxfId="182"/>
    <tableColumn id="40" xr3:uid="{EA265128-A0AF-496A-8215-D7EA67E172D9}" name="GSA 13 GHV (BTU/SCF)" dataDxfId="181"/>
    <tableColumn id="41" xr3:uid="{6B34D3A2-F4F8-4588-9485-1E1F4AB9929F}" name="GSA 13 Price (USD/MMBTU)" dataDxfId="180"/>
    <tableColumn id="42" xr3:uid="{13937CA0-4E6B-49CB-82C8-CD285DE9A0AD}" name="GSA 14 Volume (BSCF)" dataDxfId="179"/>
    <tableColumn id="43" xr3:uid="{F104848B-FC0E-4CBC-8952-456A40422817}" name="GSA 14 GHV (BTU/SCF)" dataDxfId="178"/>
    <tableColumn id="44" xr3:uid="{A52502E1-9A56-45E0-B86B-4ADC54D7C46F}" name="GSA 14 Price (USD/MMBTU)" dataDxfId="177"/>
    <tableColumn id="45" xr3:uid="{D0E6F40C-E9D8-476C-974F-CD8BD0CC9E3E}" name="GSA 15 Volume (BSCF)" dataDxfId="176"/>
    <tableColumn id="46" xr3:uid="{D56CBA84-14DB-427F-BA7E-8A9A8CD3EF99}" name="GSA 15 GHV (BTU/SCF)" dataDxfId="175"/>
    <tableColumn id="47" xr3:uid="{79C8FA99-16A2-404A-8433-D73D4D3115E8}" name="GSA 15 Price (USD/MMBTU)" dataDxfId="174"/>
    <tableColumn id="48" xr3:uid="{7000071C-AB3D-4E5E-BAFD-6D0FF7DC3959}" name="GSA 16 Volume (BSCF)" dataDxfId="173"/>
    <tableColumn id="49" xr3:uid="{666AD423-FDD2-4B36-B9F4-1190CD03FDA3}" name="GSA 16 GHV (BTU/SCF)" dataDxfId="172"/>
    <tableColumn id="50" xr3:uid="{AE6DCD42-F2A8-4EA9-8085-856DCD64C3F8}" name="GSA 16 Price (USD/MMBTU)" dataDxfId="171"/>
    <tableColumn id="51" xr3:uid="{0691CFC8-568E-4AD2-920C-23CAEB458DAD}" name="GSA 17 Volume (BSCF)" dataDxfId="170"/>
    <tableColumn id="52" xr3:uid="{16C1EC1E-B5AC-4161-A0BF-CBB9D4021BC8}" name="GSA 17 GHV (BTU/SCF)" dataDxfId="169"/>
    <tableColumn id="53" xr3:uid="{1508BBC4-8EA3-47F1-8A28-5F141C9A3043}" name="GSA 17 Price (USD/MMBTU)" dataDxfId="168"/>
    <tableColumn id="62" xr3:uid="{969F6049-83E6-4535-A53A-482126AA77D7}" name="GSA 18 Volume (BSCF)" dataDxfId="167"/>
    <tableColumn id="61" xr3:uid="{03793DC0-561A-4F93-A29A-C63F176A5815}" name="GSA 18 GHV (BTU/SCF)" dataDxfId="166"/>
    <tableColumn id="60" xr3:uid="{FEAD4B29-4CB5-4083-BBB7-B1DBD002BE7E}" name="GSA 18 Price (USD/MMBTU)" dataDxfId="165"/>
    <tableColumn id="54" xr3:uid="{FDC4A9DF-4688-4830-B992-39D1F5107766}" name="GSA 19 Volume (BSCF)" dataDxfId="164"/>
    <tableColumn id="55" xr3:uid="{B0D7E298-E213-45EC-81C3-3AEA0B511A75}" name="GSA 19 GHV (BTU/SCF)" dataDxfId="163"/>
    <tableColumn id="56" xr3:uid="{65BE7B38-E137-4116-BE99-9732D0D27601}" name="GSA 19 Price (USD/MMBTU)" dataDxfId="162"/>
    <tableColumn id="57" xr3:uid="{66A45D79-4EFD-4A60-B7FC-2AAF364EBD1D}" name="GSA 20 Volume (BSCF)5" dataDxfId="161"/>
    <tableColumn id="58" xr3:uid="{F6354756-CE1B-4E3C-993B-28993F1AAAD2}" name="GSA 20 GHV (BTU/SCF)" dataDxfId="160"/>
    <tableColumn id="59" xr3:uid="{DCC94FD8-C643-4565-AB15-65A7E5B1F9AA}" name="GSA 20 Price (USD/MMBTU)" dataDxfId="159"/>
  </tableColumns>
  <tableStyleInfo name="TableStyleLight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545992F-DA00-4475-96BE-1F4FD7016544}" name="tbl_prod_gas8" displayName="tbl_prod_gas8" ref="A1:BJ50" totalsRowShown="0" headerRowDxfId="90" dataDxfId="89">
  <autoFilter ref="A1:BJ50" xr:uid="{F3B5FD60-3EF6-4239-90D9-138C2E5C0533}"/>
  <tableColumns count="62">
    <tableColumn id="1" xr3:uid="{1EB6DF0E-7A0D-4397-ADA8-18926843B695}" name="Year" dataDxfId="88"/>
    <tableColumn id="2" xr3:uid="{EE42844C-1D30-4A81-82DE-EBC5EF0037CF}" name="Gas Production (BSCF)" dataDxfId="87"/>
    <tableColumn id="3" xr3:uid="{D7377DB0-26D2-4C67-9363-082B7F0F2B28}" name="GSA 1 Volume (BSCF)" dataDxfId="86"/>
    <tableColumn id="4" xr3:uid="{1EDAEB57-E246-44E4-B9A4-9DBF7483A1E1}" name="GSA 1 GHV (BTU/SCF)" dataDxfId="85"/>
    <tableColumn id="5" xr3:uid="{71405492-25B6-4BEF-9E03-E584B4653F4F}" name="GSA 1 Price (USD/MMBTU)" dataDxfId="84"/>
    <tableColumn id="6" xr3:uid="{129ACB72-4F69-42FF-ACB5-3B81ECD8D91F}" name="GSA 2 Volume (BSCF)" dataDxfId="83"/>
    <tableColumn id="7" xr3:uid="{7F4016A2-FC80-4985-ADA9-2CFCC763830E}" name="GSA 2 GHV (BTU/SCF)" dataDxfId="82"/>
    <tableColumn id="8" xr3:uid="{7095FA92-387C-4778-8F3A-9EB0E7C86432}" name="GSA 2 Price (USD/MMBTU)" dataDxfId="81"/>
    <tableColumn id="9" xr3:uid="{A92F788B-02FF-403F-A73A-27AB91E71FD8}" name="GSA 3 Volume (BSCF)" dataDxfId="80"/>
    <tableColumn id="10" xr3:uid="{E4B7F416-AB5D-4AE9-9159-596550AEC0DB}" name="GSA 3 GHV (BTU/SCF)" dataDxfId="79"/>
    <tableColumn id="11" xr3:uid="{62BF700D-B417-42F8-A369-4AC9CDF986FD}" name="GSA 3 Price (USD/MMBTU)" dataDxfId="78"/>
    <tableColumn id="12" xr3:uid="{A68D6CCC-340E-4E62-A724-0C0BD4A74230}" name="GSA 4 Volume (BSCF)" dataDxfId="77"/>
    <tableColumn id="13" xr3:uid="{1C79B9DC-8E2F-450C-B403-3B4390E42348}" name="GSA 4 GHV (BTU/SCF)" dataDxfId="76"/>
    <tableColumn id="14" xr3:uid="{737A7AE4-7583-4174-9EA0-DD6EDF06F449}" name="GSA 4 Price (USD/MMBTU)" dataDxfId="75"/>
    <tableColumn id="15" xr3:uid="{D64A6F9B-4D00-4F17-A31D-B1D7C956FAF2}" name="GSA 5 Volume (BSCF)" dataDxfId="74"/>
    <tableColumn id="16" xr3:uid="{2E75B63A-1830-4268-ABF2-E42A521F3116}" name="GSA 5 GHV (BTU/SCF)" dataDxfId="73"/>
    <tableColumn id="17" xr3:uid="{EB2BD659-7694-4644-9EFA-DEFD07025A44}" name="GSA 5 Price (USD/MMBTU)" dataDxfId="72"/>
    <tableColumn id="18" xr3:uid="{827211D5-A76D-42C5-A501-974BEFE1F10C}" name="GSA 6 Volume (BSCF)5" dataDxfId="71"/>
    <tableColumn id="19" xr3:uid="{3AF66F37-0006-4575-91A4-9266F4A7EBAD}" name="GSA 6 GHV (BTU/SCF)" dataDxfId="70"/>
    <tableColumn id="20" xr3:uid="{2D7145B8-6B1E-4FCA-8273-88E36A493856}" name="GSA 6 Price (USD/MMBTU)" dataDxfId="69"/>
    <tableColumn id="21" xr3:uid="{D7E6312F-590F-46F1-A3E9-7AD21611DE10}" name="GSA 7 Volume (BSCF)" dataDxfId="68"/>
    <tableColumn id="22" xr3:uid="{49FF6173-9812-4CBA-86C2-8D4162258EA2}" name="GSA 7 GHV (BTU/SCF)" dataDxfId="67"/>
    <tableColumn id="23" xr3:uid="{B4A2B168-6DD1-4769-B8A0-BB54B0B6F4F4}" name="GSA 7 Price (USD/MMBTU)" dataDxfId="66"/>
    <tableColumn id="24" xr3:uid="{44DE0954-A78A-4052-9A56-A541180FC1FD}" name="GSA 8 Volume (BSCF)" dataDxfId="65"/>
    <tableColumn id="25" xr3:uid="{E8459D9B-92AF-4237-8D53-0C87C282D586}" name="GSA 8 GHV (BTU/SCF)" dataDxfId="64"/>
    <tableColumn id="26" xr3:uid="{885F59E7-0352-4A7D-8C1D-6FF4445907D7}" name="GSA 8 Price (USD/MMBTU)" dataDxfId="63"/>
    <tableColumn id="27" xr3:uid="{94428370-5D44-42C8-8E2D-E245C93C974E}" name="GSA 9 Volume (BSCF)" dataDxfId="62"/>
    <tableColumn id="28" xr3:uid="{5018755B-D2A7-4CA5-AE71-72CD550C31FE}" name="GSA 9 GHV (BTU/SCF)" dataDxfId="61"/>
    <tableColumn id="29" xr3:uid="{E55DB6AE-7D8D-484C-896E-2F763C8F169E}" name="GSA 9 Price (USD/MMBTU)" dataDxfId="60"/>
    <tableColumn id="30" xr3:uid="{42F72002-F3CC-4470-BC3C-C6BB35C111EF}" name="GSA 10 Volume (BSCF)" dataDxfId="59"/>
    <tableColumn id="31" xr3:uid="{C1BEFDF3-301E-4EA7-A0E5-219A4A5E846D}" name="GSA 10 GHV (BTU/SCF)" dataDxfId="58"/>
    <tableColumn id="32" xr3:uid="{ADA93A24-6EE1-4C9C-B71C-7B423490530A}" name="GSA 10 Price (USD/MMBTU)" dataDxfId="57"/>
    <tableColumn id="33" xr3:uid="{8B217011-AF42-4AD4-A10C-02AF4DED2621}" name="GSA 11 Volume (BSCF)" dataDxfId="56"/>
    <tableColumn id="34" xr3:uid="{F5CDA3CB-4CA2-4ED5-AAFA-AFF48B002B9E}" name="GSA 11 GHV (BTU/SCF)" dataDxfId="55"/>
    <tableColumn id="35" xr3:uid="{A284500A-4683-4B44-873A-34E1E8D234ED}" name="GSA 11 Price (USD/MMBTU)" dataDxfId="54"/>
    <tableColumn id="36" xr3:uid="{FB77E4DE-82BD-4A1B-8876-FEE140DC5C6A}" name="GSA 12 Volume (BSCF)" dataDxfId="53"/>
    <tableColumn id="37" xr3:uid="{E709781A-5C0A-4AA7-B791-D192443BB159}" name="GSA 12 GHV (BTU/SCF)" dataDxfId="52"/>
    <tableColumn id="38" xr3:uid="{F9457929-31C0-4F33-A01A-551335AECBAE}" name="GSA 12 Price (USD/MMBTU)" dataDxfId="51"/>
    <tableColumn id="39" xr3:uid="{DEFE69F1-D649-4BEE-A90F-DB19CD1B42D1}" name="GSA 13 Volume (BSCF)5" dataDxfId="50"/>
    <tableColumn id="40" xr3:uid="{62655B10-6479-4FE4-AE53-0C6F0CDE3FD5}" name="GSA 13 GHV (BTU/SCF)" dataDxfId="49"/>
    <tableColumn id="41" xr3:uid="{7B0FA78D-0EF2-40C9-97FF-9A638442407B}" name="GSA 13 Price (USD/MMBTU)" dataDxfId="48"/>
    <tableColumn id="42" xr3:uid="{93746FCE-3ED1-4E59-A2D6-2ACDCBD514FF}" name="GSA 14 Volume (BSCF)" dataDxfId="47"/>
    <tableColumn id="43" xr3:uid="{EF0043F0-BC92-4103-80FC-69344FDFE67E}" name="GSA 14 GHV (BTU/SCF)" dataDxfId="46"/>
    <tableColumn id="44" xr3:uid="{7A0C456D-41C0-400A-9322-1B0F5FA6AD1E}" name="GSA 14 Price (USD/MMBTU)" dataDxfId="45"/>
    <tableColumn id="45" xr3:uid="{C9040E03-9A4E-4E2A-8960-47F737F1C030}" name="GSA 15 Volume (BSCF)" dataDxfId="44"/>
    <tableColumn id="46" xr3:uid="{E1122EBF-F967-45F2-8C73-98B323034FBD}" name="GSA 15 GHV (BTU/SCF)" dataDxfId="43"/>
    <tableColumn id="47" xr3:uid="{770CD4F4-F7B3-4B92-AB2A-CA930510CFD3}" name="GSA 15 Price (USD/MMBTU)" dataDxfId="42"/>
    <tableColumn id="48" xr3:uid="{E96FDC87-E358-4C8E-B65C-1B77116D5DFB}" name="GSA 16 Volume (BSCF)" dataDxfId="41"/>
    <tableColumn id="49" xr3:uid="{E33746C4-8074-4DA8-B2E3-D9F36247550D}" name="GSA 16 GHV (BTU/SCF)" dataDxfId="40"/>
    <tableColumn id="50" xr3:uid="{0C75C8FD-0981-4FB7-8183-629A121B9B7E}" name="GSA 16 Price (USD/MMBTU)" dataDxfId="39"/>
    <tableColumn id="51" xr3:uid="{2EB595BE-C07B-47F6-8A33-4A99705839E0}" name="GSA 17 Volume (BSCF)" dataDxfId="38"/>
    <tableColumn id="52" xr3:uid="{738EE615-0B34-4F2A-B3C7-4A5D0A03D12E}" name="GSA 17 GHV (BTU/SCF)" dataDxfId="37"/>
    <tableColumn id="53" xr3:uid="{6B5124C7-4905-48FB-86AE-91079CF23818}" name="GSA 17 Price (USD/MMBTU)" dataDxfId="36"/>
    <tableColumn id="62" xr3:uid="{DC9A9CB8-00EB-423D-91EB-C3AF41014B8C}" name="GSA 18 Volume (BSCF)" dataDxfId="35"/>
    <tableColumn id="61" xr3:uid="{45AF899F-7BCB-41E4-B699-F40612830EDA}" name="GSA 18 GHV (BTU/SCF)" dataDxfId="34"/>
    <tableColumn id="60" xr3:uid="{FC257364-6441-4F10-A1AE-2B72FA997E59}" name="GSA 18 Price (USD/MMBTU)" dataDxfId="33"/>
    <tableColumn id="54" xr3:uid="{AF2E048F-96EB-4742-9E4B-F14CFF3CEE73}" name="GSA 19 Volume (BSCF)" dataDxfId="32"/>
    <tableColumn id="55" xr3:uid="{5BC70A7D-1CF8-4473-9976-2DA2CD974365}" name="GSA 19 GHV (BTU/SCF)" dataDxfId="31"/>
    <tableColumn id="56" xr3:uid="{0DA1794F-213A-4D8C-A80E-ED38F4C145C7}" name="GSA 19 Price (USD/MMBTU)" dataDxfId="30"/>
    <tableColumn id="57" xr3:uid="{F76FA096-BE9E-4B98-B203-82EA24E685DC}" name="GSA 20 Volume (BSCF)5" dataDxfId="29"/>
    <tableColumn id="58" xr3:uid="{AEF565A0-C8A9-4137-B676-BBDCE0AAD88D}" name="GSA 20 GHV (BTU/SCF)" dataDxfId="28"/>
    <tableColumn id="59" xr3:uid="{E46164F7-A869-4FB3-BC7C-FE1F020CE52D}" name="GSA 20 Price (USD/MMBTU)" dataDxfId="27"/>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BFC6A55-E7C6-44FE-B00E-6EFE5834686B}" name="tbl_prod_lpgpropane9" displayName="tbl_prod_lpgpropane9" ref="A1:C50" totalsRowShown="0" headerRowDxfId="26" dataDxfId="25">
  <autoFilter ref="A1:C50" xr:uid="{4F6CF9AB-FA3D-4BB4-ADAA-CA685555616C}"/>
  <tableColumns count="3">
    <tableColumn id="1" xr3:uid="{9D2CB9AA-FF0E-4668-B843-A52469147E6D}" name="Year" dataDxfId="24"/>
    <tableColumn id="2" xr3:uid="{2E2DB5E6-5677-4DC0-8E30-7411C9C31D79}" name="LPG Propane Sales (MT)" dataDxfId="23"/>
    <tableColumn id="3" xr3:uid="{E73B89E5-80D0-4904-9609-63A2C7EE9218}" name="LPG Propane Price (USD/T)" dataDxfId="22"/>
  </tableColumns>
  <tableStyleInfo name="TableStyleLight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EE72A9B-4BBC-4F3F-80BF-BC7085A5EA38}" name="tbl_prod_sulfur" displayName="tbl_prod_sulfur" ref="A1:C50" totalsRowShown="0" headerRowDxfId="158" dataDxfId="157">
  <autoFilter ref="A1:C50" xr:uid="{DEE72A9B-4BBC-4F3F-80BF-BC7085A5EA38}"/>
  <tableColumns count="3">
    <tableColumn id="1" xr3:uid="{36797F45-B4D8-4AAF-9EF9-72A94931E9BD}" name="Year" dataDxfId="156"/>
    <tableColumn id="2" xr3:uid="{F565D607-058E-4CC9-A868-ABC946C30F0A}" name="Sulfur Sales (Ton)" dataDxfId="155"/>
    <tableColumn id="3" xr3:uid="{FE95A159-27F7-4729-98BD-3BC24A13F318}" name="Price (MMUSD/Unit)" dataDxfId="154"/>
  </tableColumns>
  <tableStyleInfo name="TableStyleLight8"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19A09713-7CE3-4BDC-8F68-13E05CAC0DA2}" name="tbl_cost_intangible" displayName="tbl_cost_intangible" ref="A1:F200" totalsRowShown="0" headerRowDxfId="153" dataDxfId="152">
  <autoFilter ref="A1:F200" xr:uid="{7C91890B-09E6-4AFA-B40C-6F75BB3A42FE}"/>
  <tableColumns count="6">
    <tableColumn id="1" xr3:uid="{EA9912A2-FB4D-4FF7-8E68-51936E856411}" name="Year" dataDxfId="151"/>
    <tableColumn id="3" xr3:uid="{1CE8F2C7-DD5F-4DEA-9086-BF2335D1081C}" name="Associated With" dataDxfId="150"/>
    <tableColumn id="4" xr3:uid="{7E00D1F9-CE30-44EC-8013-F359F8BB7526}" name="Cost (MUSD)" dataDxfId="149"/>
    <tableColumn id="6" xr3:uid="{6AA0DA30-A6A0-4F5A-8A9D-599F23F31F9A}" name="VAT Portion" dataDxfId="148"/>
    <tableColumn id="2" xr3:uid="{20C207BB-9D25-48F4-A557-2DE98DC86DE2}" name="LBT Portion" dataDxfId="147"/>
    <tableColumn id="7" xr3:uid="{88C69571-67EC-47E5-9D42-08FE1421FD7B}" name="Description" dataDxfId="146"/>
  </tableColumns>
  <tableStyleInfo name="TableStyleLight1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AE420C3B-664F-4027-B3B6-25F3FDEF80D8}" name="tbl_cost_opex10" displayName="tbl_cost_opex10" ref="A1:F200" totalsRowShown="0" headerRowDxfId="145" dataDxfId="144">
  <autoFilter ref="A1:F200" xr:uid="{7C91890B-09E6-4AFA-B40C-6F75BB3A42FE}"/>
  <tableColumns count="6">
    <tableColumn id="1" xr3:uid="{D90C6F3C-116C-43AA-9F64-E2131D95E5C5}" name="Year" dataDxfId="143"/>
    <tableColumn id="3" xr3:uid="{9372B980-5592-43DD-ACB0-807DB4570841}" name="Associated With" dataDxfId="142"/>
    <tableColumn id="4" xr3:uid="{206A9B04-1A88-477A-8F64-4C0F0E3C5733}" name="Cost (MUSD)" dataDxfId="141"/>
    <tableColumn id="6" xr3:uid="{6949DE12-A1F2-402E-AD64-B2E62B7B03B0}" name="VAT Portion" dataDxfId="140"/>
    <tableColumn id="2" xr3:uid="{8AB5815F-EA72-48B7-8147-A2F48253134F}" name="LBT Portion" dataDxfId="139"/>
    <tableColumn id="7" xr3:uid="{409BC20B-C4FF-4632-A019-CE1FBF972D05}" name="Description" dataDxfId="138"/>
  </tableColumns>
  <tableStyleInfo name="TableStyleLight1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6971FB06-0ACB-4ACB-AD6F-E6EEFD925124}" name="tbl_prod_sulfur13" displayName="tbl_prod_sulfur13" ref="A1:C50" totalsRowShown="0" headerRowDxfId="9" dataDxfId="8">
  <autoFilter ref="A1:C50" xr:uid="{DEE72A9B-4BBC-4F3F-80BF-BC7085A5EA38}"/>
  <tableColumns count="3">
    <tableColumn id="1" xr3:uid="{25F61EB7-3EF5-417F-87FF-8E09D7805E20}" name="Year" dataDxfId="7"/>
    <tableColumn id="2" xr3:uid="{48BE659F-6BA3-4C58-A876-C8E822ED127D}" name="Sulfur Sales (Ton)" dataDxfId="6"/>
    <tableColumn id="3" xr3:uid="{BD4F91D1-32BF-4082-950C-D7D91A045D43}" name="Price (MMUSD/Unit)" dataDxfId="5"/>
  </tableColumns>
  <tableStyleInfo name="TableStyleLight8"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FC9D790-2204-4F4A-AEE5-A13F7CE6AF28}" name="tbl_prod_co2" displayName="tbl_prod_co2" ref="A1:C50" totalsRowShown="0" headerRowDxfId="137" dataDxfId="136" tableBorderDxfId="135">
  <autoFilter ref="A1:C50" xr:uid="{AFC9D790-2204-4F4A-AEE5-A13F7CE6AF28}"/>
  <tableColumns count="3">
    <tableColumn id="1" xr3:uid="{B94BBB40-0B72-4B57-B720-38EEC1B95A78}" name="Year" dataDxfId="134"/>
    <tableColumn id="2" xr3:uid="{F53E2F6F-AB58-41DA-895C-419E73EC60A8}" name="CO2 Sales (Ton)" dataDxfId="133"/>
    <tableColumn id="3" xr3:uid="{6782EC61-C652-4E3C-B9F2-11DB4EFF1616}" name="Price (MMUSD/Unit)" dataDxfId="132"/>
  </tableColumns>
  <tableStyleInfo name="TableStyleLight8"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7A4FC051-400F-4299-988C-F1E450AA8028}" name="tbl_cost_tangible" displayName="tbl_cost_tangible" ref="A1:K200" totalsRowShown="0" headerRowDxfId="131" dataDxfId="130">
  <autoFilter ref="A1:K200" xr:uid="{7C91890B-09E6-4AFA-B40C-6F75BB3A42FE}"/>
  <tableColumns count="11">
    <tableColumn id="1" xr3:uid="{C5E29AD2-AE25-44BD-901B-58F05DE5E702}" name="Year" dataDxfId="129"/>
    <tableColumn id="3" xr3:uid="{34B633CC-B7D2-4E02-B4C0-6546AED90ECD}" name="Associated With" dataDxfId="128"/>
    <tableColumn id="4" xr3:uid="{15363438-3001-44B3-BFFB-44F0E337DA0F}" name="Cost (MUSD)" dataDxfId="127"/>
    <tableColumn id="5" xr3:uid="{26A9C678-E732-4913-AC99-C95C83093FA8}" name="PIS Year" dataDxfId="126"/>
    <tableColumn id="8" xr3:uid="{7364EFAD-EAA4-45EB-8863-C84BB6B52FCF}" name="Useful Life (Years)" dataDxfId="125"/>
    <tableColumn id="9" xr3:uid="{7894BF9B-F0BD-4BFE-BFA3-3BE9D613C40A}" name="Depreciation Factor" dataDxfId="124"/>
    <tableColumn id="11" xr3:uid="{3328797F-722A-43DE-B743-779488C03E40}" name="Salvage Value" dataDxfId="123"/>
    <tableColumn id="10" xr3:uid="{88614DD2-0187-4679-A89D-61C72EA94D65}" name="Applied By IC" dataDxfId="122"/>
    <tableColumn id="6" xr3:uid="{A9867297-A677-4A93-9B0F-A32163B58107}" name="VAT Portion" dataDxfId="121"/>
    <tableColumn id="12" xr3:uid="{E4597EDC-E479-4B07-9316-B7D3C15AAE4C}" name="LBT Portion" dataDxfId="120"/>
    <tableColumn id="7" xr3:uid="{E6363697-EFAA-4A7E-A486-8D9583D38261}" name="Description" dataDxfId="119"/>
  </tableColumns>
  <tableStyleInfo name="TableStyleLight1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F8F5CDBA-B8DA-4D23-ADC9-4DD9EEFEB691}" name="tbl_cost_opex" displayName="tbl_cost_opex" ref="A1:H200" totalsRowShown="0" headerRowDxfId="118" dataDxfId="117">
  <autoFilter ref="A1:H200" xr:uid="{7C91890B-09E6-4AFA-B40C-6F75BB3A42FE}"/>
  <tableColumns count="8">
    <tableColumn id="1" xr3:uid="{AC895082-1EAA-441F-8FD0-34C18A1CB089}" name="Year" dataDxfId="116"/>
    <tableColumn id="3" xr3:uid="{FE660166-2BA0-42A0-937E-5DBF97CED42C}" name="Associated With" dataDxfId="115"/>
    <tableColumn id="4" xr3:uid="{C739732C-69FF-4102-B6A2-101C10C34836}" name="Fixed Cost (MUSD)" dataDxfId="114"/>
    <tableColumn id="5" xr3:uid="{67A869D6-1E1C-47FA-9CB2-B9EBAB8A9115}" name="Production Rate" dataDxfId="113"/>
    <tableColumn id="8" xr3:uid="{45C3823F-84A4-4F62-A0A4-DA263536063F}" name="Cost Per Production Volume" dataDxfId="112"/>
    <tableColumn id="6" xr3:uid="{1A0F968A-3852-413A-94F7-58572EA4EED6}" name="VAT Portion" dataDxfId="111"/>
    <tableColumn id="2" xr3:uid="{3BE87D45-FDD7-4B44-8923-9B29FC792264}" name="LBT Portion" dataDxfId="110"/>
    <tableColumn id="7" xr3:uid="{4719FAF0-B894-4DE5-830E-BDF8B52BACBC}" name="Description" dataDxfId="109"/>
  </tableColumns>
  <tableStyleInfo name="TableStyleLight1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8B16AAF-E66E-4CE6-9E4E-EF4357083D9F}" name="tbl_prod_lpgbutane" displayName="tbl_prod_lpgbutane" ref="A1:C50" totalsRowShown="0" headerRowDxfId="108" dataDxfId="107" tableBorderDxfId="106">
  <autoFilter ref="A1:C50" xr:uid="{A8B16AAF-E66E-4CE6-9E4E-EF4357083D9F}"/>
  <tableColumns count="3">
    <tableColumn id="1" xr3:uid="{6D5873CF-438A-4FB6-916E-EE4D8EA16C1B}" name="Year" dataDxfId="105"/>
    <tableColumn id="2" xr3:uid="{43FF55CD-251A-41D3-8DF3-39F98EEBC7E1}" name="LPG Butane Sales (MT)" dataDxfId="104"/>
    <tableColumn id="3" xr3:uid="{2AAABAE2-6AC9-4B24-A446-5622714DF15D}" name="LPG Butane Price(USD/T)" dataDxfId="103"/>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81AB56E-FA45-47EE-A38A-3A2B37D52A05}" name="tbl_prod_lpgbutane10" displayName="tbl_prod_lpgbutane10" ref="A1:C50" totalsRowShown="0" headerRowDxfId="21" dataDxfId="20" tableBorderDxfId="19">
  <autoFilter ref="A1:C50" xr:uid="{A8B16AAF-E66E-4CE6-9E4E-EF4357083D9F}"/>
  <tableColumns count="3">
    <tableColumn id="1" xr3:uid="{33B6E967-0524-4C16-8B3D-717EBBB746BB}" name="Year" dataDxfId="18"/>
    <tableColumn id="2" xr3:uid="{2FAA78AC-06D5-4C55-99E1-8458215223E5}" name="LPG Butane Sales (MT)" dataDxfId="17"/>
    <tableColumn id="3" xr3:uid="{BB398D31-8E1A-4C86-B1CF-4EB8CFE46D98}" name="LPG Butane Price(USD/T)" dataDxfId="16"/>
  </tableColumns>
  <tableStyleInfo name="TableStyleLight8"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87BFD61-0953-4B76-9FA6-ADC6CD17E480}" name="tbl_prod_co211" displayName="tbl_prod_co211" ref="A1:C50" totalsRowShown="0" headerRowDxfId="15" dataDxfId="14" tableBorderDxfId="13">
  <autoFilter ref="A1:C50" xr:uid="{AFC9D790-2204-4F4A-AEE5-A13F7CE6AF28}"/>
  <tableColumns count="3">
    <tableColumn id="1" xr3:uid="{DE6C53FC-C337-4538-BAD0-735F9B96BBAC}" name="Year" dataDxfId="12"/>
    <tableColumn id="2" xr3:uid="{5D269268-FFE4-45EE-B837-27A523D17DC8}" name="CO2 Sales (Ton)" dataDxfId="11"/>
    <tableColumn id="3" xr3:uid="{60C23B95-4850-4DC6-992E-8C02F3AF7164}" name="Price (MMUSD/Unit)" dataDxfId="1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2.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2.xml"/><Relationship Id="rId13" Type="http://schemas.openxmlformats.org/officeDocument/2006/relationships/ctrlProp" Target="../ctrlProps/ctrlProp27.xml"/><Relationship Id="rId3" Type="http://schemas.openxmlformats.org/officeDocument/2006/relationships/ctrlProp" Target="../ctrlProps/ctrlProp17.xml"/><Relationship Id="rId7" Type="http://schemas.openxmlformats.org/officeDocument/2006/relationships/ctrlProp" Target="../ctrlProps/ctrlProp21.xml"/><Relationship Id="rId12" Type="http://schemas.openxmlformats.org/officeDocument/2006/relationships/ctrlProp" Target="../ctrlProps/ctrlProp26.xml"/><Relationship Id="rId17" Type="http://schemas.openxmlformats.org/officeDocument/2006/relationships/ctrlProp" Target="../ctrlProps/ctrlProp31.xml"/><Relationship Id="rId2" Type="http://schemas.openxmlformats.org/officeDocument/2006/relationships/vmlDrawing" Target="../drawings/vmlDrawing3.vml"/><Relationship Id="rId16" Type="http://schemas.openxmlformats.org/officeDocument/2006/relationships/ctrlProp" Target="../ctrlProps/ctrlProp30.xml"/><Relationship Id="rId1" Type="http://schemas.openxmlformats.org/officeDocument/2006/relationships/drawing" Target="../drawings/drawing3.xml"/><Relationship Id="rId6" Type="http://schemas.openxmlformats.org/officeDocument/2006/relationships/ctrlProp" Target="../ctrlProps/ctrlProp20.xml"/><Relationship Id="rId11" Type="http://schemas.openxmlformats.org/officeDocument/2006/relationships/ctrlProp" Target="../ctrlProps/ctrlProp25.xml"/><Relationship Id="rId5" Type="http://schemas.openxmlformats.org/officeDocument/2006/relationships/ctrlProp" Target="../ctrlProps/ctrlProp19.xml"/><Relationship Id="rId15" Type="http://schemas.openxmlformats.org/officeDocument/2006/relationships/ctrlProp" Target="../ctrlProps/ctrlProp29.xml"/><Relationship Id="rId10" Type="http://schemas.openxmlformats.org/officeDocument/2006/relationships/ctrlProp" Target="../ctrlProps/ctrlProp24.xml"/><Relationship Id="rId4" Type="http://schemas.openxmlformats.org/officeDocument/2006/relationships/ctrlProp" Target="../ctrlProps/ctrlProp18.xml"/><Relationship Id="rId9" Type="http://schemas.openxmlformats.org/officeDocument/2006/relationships/ctrlProp" Target="../ctrlProps/ctrlProp23.xml"/><Relationship Id="rId14" Type="http://schemas.openxmlformats.org/officeDocument/2006/relationships/ctrlProp" Target="../ctrlProps/ctrlProp28.xml"/></Relationships>
</file>

<file path=xl/worksheets/_rels/sheet12.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4.vml"/><Relationship Id="rId7" Type="http://schemas.openxmlformats.org/officeDocument/2006/relationships/ctrlProp" Target="../ctrlProps/ctrlProp35.xml"/><Relationship Id="rId2" Type="http://schemas.openxmlformats.org/officeDocument/2006/relationships/drawing" Target="../drawings/drawing4.xml"/><Relationship Id="rId1" Type="http://schemas.openxmlformats.org/officeDocument/2006/relationships/printerSettings" Target="../printerSettings/printerSettings2.bin"/><Relationship Id="rId6" Type="http://schemas.openxmlformats.org/officeDocument/2006/relationships/ctrlProp" Target="../ctrlProps/ctrlProp34.xml"/><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9.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30.xml.rels><?xml version="1.0" encoding="UTF-8" standalone="yes"?>
<Relationships xmlns="http://schemas.openxmlformats.org/package/2006/relationships"><Relationship Id="rId3" Type="http://schemas.openxmlformats.org/officeDocument/2006/relationships/ctrlProp" Target="../ctrlProps/ctrlProp3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31.xml.rels><?xml version="1.0" encoding="UTF-8" standalone="yes"?>
<Relationships xmlns="http://schemas.openxmlformats.org/package/2006/relationships"><Relationship Id="rId3" Type="http://schemas.openxmlformats.org/officeDocument/2006/relationships/ctrlProp" Target="../ctrlProps/ctrlProp37.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32.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34.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35.xml.rels><?xml version="1.0" encoding="UTF-8" standalone="yes"?>
<Relationships xmlns="http://schemas.openxmlformats.org/package/2006/relationships"><Relationship Id="rId1" Type="http://schemas.openxmlformats.org/officeDocument/2006/relationships/table" Target="../tables/table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80DFA5-5EED-428C-B9AD-4939526EBEED}">
  <sheetPr codeName="Sheet16">
    <tabColor rgb="FFFC080F"/>
  </sheetPr>
  <dimension ref="A1:M20"/>
  <sheetViews>
    <sheetView showGridLines="0" showRowColHeaders="0" zoomScale="140" zoomScaleNormal="140" workbookViewId="0">
      <selection activeCell="J5" sqref="J5"/>
    </sheetView>
  </sheetViews>
  <sheetFormatPr defaultColWidth="0" defaultRowHeight="15" zeroHeight="1" x14ac:dyDescent="0.25"/>
  <cols>
    <col min="1" max="13" width="8.85546875" customWidth="1"/>
    <col min="14" max="16384" width="8.85546875" hidden="1"/>
  </cols>
  <sheetData>
    <row r="1" spans="1:8" x14ac:dyDescent="0.25"/>
    <row r="2" spans="1:8" x14ac:dyDescent="0.25"/>
    <row r="3" spans="1:8" x14ac:dyDescent="0.25"/>
    <row r="4" spans="1:8" x14ac:dyDescent="0.25"/>
    <row r="5" spans="1:8" x14ac:dyDescent="0.25"/>
    <row r="6" spans="1:8" x14ac:dyDescent="0.25"/>
    <row r="7" spans="1:8" x14ac:dyDescent="0.25"/>
    <row r="8" spans="1:8" x14ac:dyDescent="0.25"/>
    <row r="9" spans="1:8" ht="47.25" x14ac:dyDescent="0.6">
      <c r="E9" s="96" t="s">
        <v>366</v>
      </c>
      <c r="F9" s="96"/>
      <c r="G9" s="96"/>
      <c r="H9" s="96"/>
    </row>
    <row r="10" spans="1:8" x14ac:dyDescent="0.25"/>
    <row r="11" spans="1:8" x14ac:dyDescent="0.25"/>
    <row r="12" spans="1:8" x14ac:dyDescent="0.25"/>
    <row r="13" spans="1:8" ht="13.9" customHeight="1" x14ac:dyDescent="0.25"/>
    <row r="14" spans="1:8" x14ac:dyDescent="0.25"/>
    <row r="15" spans="1:8" ht="15.75" x14ac:dyDescent="0.25">
      <c r="A15" s="39">
        <v>2023</v>
      </c>
      <c r="B15" s="38"/>
    </row>
    <row r="16" spans="1:8" x14ac:dyDescent="0.25"/>
    <row r="19" spans="1:1" hidden="1" x14ac:dyDescent="0.25">
      <c r="A19" t="s">
        <v>380</v>
      </c>
    </row>
    <row r="20" spans="1:1" hidden="1" x14ac:dyDescent="0.25">
      <c r="A20" t="s">
        <v>396</v>
      </c>
    </row>
  </sheetData>
  <mergeCells count="1">
    <mergeCell ref="E9:H9"/>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4ABEC-1980-4D67-A615-72FC44F2B811}">
  <sheetPr codeName="Sheet2">
    <tabColor rgb="FFFC080F"/>
    <pageSetUpPr autoPageBreaks="0"/>
  </sheetPr>
  <dimension ref="A1:U68"/>
  <sheetViews>
    <sheetView showGridLines="0" showRowColHeaders="0" zoomScale="85" zoomScaleNormal="85" workbookViewId="0">
      <selection activeCell="T4" sqref="T4"/>
    </sheetView>
  </sheetViews>
  <sheetFormatPr defaultColWidth="0" defaultRowHeight="15" zeroHeight="1" x14ac:dyDescent="0.25"/>
  <cols>
    <col min="1" max="1" width="4.7109375" customWidth="1"/>
    <col min="2" max="21" width="8.85546875" customWidth="1"/>
    <col min="22" max="16384" width="8.85546875" hidden="1"/>
  </cols>
  <sheetData>
    <row r="1" spans="1:19" ht="6" customHeight="1" x14ac:dyDescent="0.25"/>
    <row r="2" spans="1:19" x14ac:dyDescent="0.25">
      <c r="A2" s="6" t="s">
        <v>179</v>
      </c>
    </row>
    <row r="3" spans="1:19" ht="4.1500000000000004" customHeight="1" x14ac:dyDescent="0.25"/>
    <row r="4" spans="1:19" ht="30" customHeight="1" x14ac:dyDescent="0.25">
      <c r="B4" s="97" t="s">
        <v>180</v>
      </c>
      <c r="C4" s="97"/>
      <c r="D4" s="97"/>
      <c r="E4" s="97"/>
      <c r="F4" s="97"/>
      <c r="G4" s="97"/>
      <c r="H4" s="97"/>
      <c r="I4" s="97"/>
      <c r="J4" s="97"/>
      <c r="K4" s="97"/>
      <c r="L4" s="97"/>
      <c r="M4" s="97"/>
      <c r="N4" s="97"/>
      <c r="O4" s="97"/>
      <c r="P4" s="97"/>
      <c r="Q4" s="97"/>
      <c r="R4" s="97"/>
      <c r="S4" s="97"/>
    </row>
    <row r="5" spans="1:19" x14ac:dyDescent="0.25"/>
    <row r="6" spans="1:19" x14ac:dyDescent="0.25">
      <c r="A6" s="6" t="s">
        <v>181</v>
      </c>
    </row>
    <row r="7" spans="1:19" ht="6" customHeight="1" x14ac:dyDescent="0.25">
      <c r="A7" s="6"/>
    </row>
    <row r="8" spans="1:19" x14ac:dyDescent="0.25">
      <c r="B8" s="80"/>
      <c r="C8" s="97" t="s">
        <v>357</v>
      </c>
      <c r="D8" s="97"/>
      <c r="E8" s="97"/>
      <c r="F8" s="97"/>
      <c r="G8" s="97"/>
      <c r="H8" s="97"/>
      <c r="I8" s="97"/>
      <c r="J8" s="97"/>
      <c r="K8" s="97"/>
      <c r="L8" s="97"/>
      <c r="M8" s="97"/>
      <c r="N8" s="97"/>
      <c r="O8" s="97"/>
      <c r="P8" s="97"/>
      <c r="Q8" s="97"/>
      <c r="R8" s="97"/>
      <c r="S8" s="97"/>
    </row>
    <row r="9" spans="1:19" ht="6" customHeight="1" x14ac:dyDescent="0.25"/>
    <row r="10" spans="1:19" ht="14.45" customHeight="1" x14ac:dyDescent="0.25">
      <c r="B10" s="79"/>
      <c r="C10" s="97" t="s">
        <v>182</v>
      </c>
      <c r="D10" s="97"/>
      <c r="E10" s="97"/>
      <c r="F10" s="97"/>
      <c r="G10" s="97"/>
      <c r="H10" s="97"/>
      <c r="I10" s="97"/>
      <c r="J10" s="97"/>
      <c r="K10" s="97"/>
      <c r="L10" s="97"/>
      <c r="M10" s="97"/>
      <c r="N10" s="97"/>
      <c r="O10" s="97"/>
      <c r="P10" s="97"/>
      <c r="Q10" s="97"/>
      <c r="R10" s="97"/>
      <c r="S10" s="97"/>
    </row>
    <row r="11" spans="1:19" ht="6" customHeight="1" x14ac:dyDescent="0.25"/>
    <row r="12" spans="1:19" ht="14.45" customHeight="1" x14ac:dyDescent="0.25"/>
    <row r="13" spans="1:19" x14ac:dyDescent="0.25">
      <c r="A13" s="6" t="s">
        <v>12</v>
      </c>
    </row>
    <row r="14" spans="1:19" ht="4.1500000000000004" customHeight="1" x14ac:dyDescent="0.25">
      <c r="A14" s="6"/>
    </row>
    <row r="15" spans="1:19" x14ac:dyDescent="0.25">
      <c r="B15" s="7">
        <v>0</v>
      </c>
      <c r="C15" t="s">
        <v>183</v>
      </c>
    </row>
    <row r="16" spans="1:19" ht="6" customHeight="1" x14ac:dyDescent="0.25"/>
    <row r="17" spans="1:3" x14ac:dyDescent="0.25">
      <c r="B17" s="8">
        <f>+G12</f>
        <v>0</v>
      </c>
      <c r="C17" t="s">
        <v>184</v>
      </c>
    </row>
    <row r="18" spans="1:3" ht="12.6" customHeight="1" x14ac:dyDescent="0.25"/>
    <row r="19" spans="1:3" x14ac:dyDescent="0.25">
      <c r="A19" s="6" t="s">
        <v>13</v>
      </c>
    </row>
    <row r="20" spans="1:3" ht="1.9" customHeight="1" x14ac:dyDescent="0.25">
      <c r="A20" s="6"/>
    </row>
    <row r="21" spans="1:3" x14ac:dyDescent="0.25">
      <c r="A21" s="9" t="s">
        <v>185</v>
      </c>
    </row>
    <row r="22" spans="1:3" x14ac:dyDescent="0.25">
      <c r="A22" s="10"/>
      <c r="B22" t="s">
        <v>186</v>
      </c>
    </row>
    <row r="23" spans="1:3" ht="6.6" customHeight="1" x14ac:dyDescent="0.25">
      <c r="A23" s="10"/>
    </row>
    <row r="24" spans="1:3" x14ac:dyDescent="0.25">
      <c r="A24" s="9" t="s">
        <v>187</v>
      </c>
    </row>
    <row r="25" spans="1:3" x14ac:dyDescent="0.25">
      <c r="B25" t="s">
        <v>188</v>
      </c>
    </row>
    <row r="26" spans="1:3" ht="7.15" customHeight="1" x14ac:dyDescent="0.25"/>
    <row r="27" spans="1:3" x14ac:dyDescent="0.25">
      <c r="A27" s="9" t="s">
        <v>191</v>
      </c>
    </row>
    <row r="28" spans="1:3" x14ac:dyDescent="0.25">
      <c r="B28" t="s">
        <v>189</v>
      </c>
    </row>
    <row r="29" spans="1:3" ht="6.6" customHeight="1" x14ac:dyDescent="0.25"/>
    <row r="30" spans="1:3" x14ac:dyDescent="0.25">
      <c r="A30" s="9" t="s">
        <v>192</v>
      </c>
    </row>
    <row r="31" spans="1:3" x14ac:dyDescent="0.25">
      <c r="B31" t="s">
        <v>190</v>
      </c>
    </row>
    <row r="32" spans="1:3" ht="7.9" customHeight="1" x14ac:dyDescent="0.25"/>
    <row r="33" spans="1:2" x14ac:dyDescent="0.25">
      <c r="A33" s="9" t="s">
        <v>193</v>
      </c>
    </row>
    <row r="34" spans="1:2" x14ac:dyDescent="0.25">
      <c r="B34" t="s">
        <v>194</v>
      </c>
    </row>
    <row r="35" spans="1:2" ht="7.9" customHeight="1" x14ac:dyDescent="0.25"/>
    <row r="36" spans="1:2" x14ac:dyDescent="0.25">
      <c r="A36" s="9" t="s">
        <v>195</v>
      </c>
    </row>
    <row r="37" spans="1:2" x14ac:dyDescent="0.25">
      <c r="B37" t="s">
        <v>196</v>
      </c>
    </row>
    <row r="38" spans="1:2" ht="9" customHeight="1" x14ac:dyDescent="0.25"/>
    <row r="39" spans="1:2" x14ac:dyDescent="0.25">
      <c r="A39" s="9" t="s">
        <v>198</v>
      </c>
    </row>
    <row r="40" spans="1:2" x14ac:dyDescent="0.25">
      <c r="B40" t="s">
        <v>197</v>
      </c>
    </row>
    <row r="41" spans="1:2" ht="9" customHeight="1" x14ac:dyDescent="0.25"/>
    <row r="42" spans="1:2" x14ac:dyDescent="0.25">
      <c r="A42" s="9" t="s">
        <v>199</v>
      </c>
    </row>
    <row r="43" spans="1:2" x14ac:dyDescent="0.25">
      <c r="B43" t="s">
        <v>201</v>
      </c>
    </row>
    <row r="44" spans="1:2" ht="9" customHeight="1" x14ac:dyDescent="0.25"/>
    <row r="45" spans="1:2" x14ac:dyDescent="0.25">
      <c r="A45" s="9" t="s">
        <v>200</v>
      </c>
    </row>
    <row r="46" spans="1:2" x14ac:dyDescent="0.25">
      <c r="B46" t="s">
        <v>202</v>
      </c>
    </row>
    <row r="47" spans="1:2" ht="9.6" customHeight="1" x14ac:dyDescent="0.25"/>
    <row r="48" spans="1:2" x14ac:dyDescent="0.25">
      <c r="A48" s="9" t="s">
        <v>203</v>
      </c>
    </row>
    <row r="49" spans="1:2" x14ac:dyDescent="0.25">
      <c r="A49" s="10"/>
      <c r="B49" t="s">
        <v>204</v>
      </c>
    </row>
    <row r="50" spans="1:2" ht="10.15" customHeight="1" x14ac:dyDescent="0.25"/>
    <row r="51" spans="1:2" x14ac:dyDescent="0.25">
      <c r="A51" s="9" t="s">
        <v>207</v>
      </c>
    </row>
    <row r="52" spans="1:2" x14ac:dyDescent="0.25">
      <c r="A52" s="10"/>
      <c r="B52" t="s">
        <v>205</v>
      </c>
    </row>
    <row r="53" spans="1:2" ht="10.15" customHeight="1" x14ac:dyDescent="0.25"/>
    <row r="54" spans="1:2" x14ac:dyDescent="0.25">
      <c r="A54" s="9" t="s">
        <v>208</v>
      </c>
    </row>
    <row r="55" spans="1:2" x14ac:dyDescent="0.25">
      <c r="A55" s="10"/>
      <c r="B55" t="s">
        <v>206</v>
      </c>
    </row>
    <row r="56" spans="1:2" ht="10.15" customHeight="1" x14ac:dyDescent="0.25"/>
    <row r="57" spans="1:2" x14ac:dyDescent="0.25">
      <c r="A57" s="9" t="s">
        <v>209</v>
      </c>
    </row>
    <row r="58" spans="1:2" x14ac:dyDescent="0.25">
      <c r="A58" s="10"/>
      <c r="B58" t="s">
        <v>210</v>
      </c>
    </row>
    <row r="59" spans="1:2" x14ac:dyDescent="0.25"/>
    <row r="60" spans="1:2" x14ac:dyDescent="0.25"/>
    <row r="61" spans="1:2" x14ac:dyDescent="0.25"/>
    <row r="62" spans="1:2" x14ac:dyDescent="0.25"/>
    <row r="63" spans="1:2" x14ac:dyDescent="0.25"/>
    <row r="64" spans="1:2" x14ac:dyDescent="0.25"/>
    <row r="65" x14ac:dyDescent="0.25"/>
    <row r="66" x14ac:dyDescent="0.25"/>
    <row r="67" x14ac:dyDescent="0.25"/>
    <row r="68" x14ac:dyDescent="0.25"/>
  </sheetData>
  <mergeCells count="3">
    <mergeCell ref="B4:S4"/>
    <mergeCell ref="C8:S8"/>
    <mergeCell ref="C10:S10"/>
  </mergeCells>
  <dataValidations disablePrompts="1" count="1">
    <dataValidation type="decimal" allowBlank="1" showInputMessage="1" showErrorMessage="1" errorTitle="Max Value" error="You can't enter a carry that is higher than the participation level." sqref="B17" xr:uid="{CF17629E-2F95-497B-B3D8-9F9CBB29A6DB}">
      <formula1>0</formula1>
      <formula2>#REF!</formula2>
    </dataValidation>
  </dataValidations>
  <pageMargins left="0.7" right="0.7" top="0.75" bottom="0.75" header="0.3" footer="0.3"/>
  <pageSetup orientation="portrai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24161C-7007-438D-9541-630FC1F7C1DB}">
  <sheetPr codeName="Sheet15">
    <tabColor rgb="FFB3FF03"/>
  </sheetPr>
  <dimension ref="A1:F42"/>
  <sheetViews>
    <sheetView showGridLines="0" zoomScale="115" zoomScaleNormal="115" workbookViewId="0">
      <selection activeCell="E5" sqref="E5"/>
    </sheetView>
  </sheetViews>
  <sheetFormatPr defaultColWidth="0" defaultRowHeight="15" zeroHeight="1" x14ac:dyDescent="0.25"/>
  <cols>
    <col min="1" max="1" width="3.28515625" customWidth="1"/>
    <col min="2" max="2" width="8.85546875" customWidth="1"/>
    <col min="3" max="3" width="34.28515625" customWidth="1"/>
    <col min="4" max="4" width="12.7109375" bestFit="1" customWidth="1"/>
    <col min="5" max="5" width="12.5703125" bestFit="1" customWidth="1"/>
    <col min="6" max="6" width="14.28515625" customWidth="1"/>
    <col min="7" max="16384" width="8.85546875" hidden="1"/>
  </cols>
  <sheetData>
    <row r="1" spans="2:5" x14ac:dyDescent="0.25"/>
    <row r="2" spans="2:5" x14ac:dyDescent="0.25">
      <c r="B2" s="102" t="s">
        <v>120</v>
      </c>
      <c r="C2" s="102" t="s">
        <v>211</v>
      </c>
      <c r="D2" s="102" t="s">
        <v>212</v>
      </c>
      <c r="E2" s="102" t="s">
        <v>213</v>
      </c>
    </row>
    <row r="3" spans="2:5" x14ac:dyDescent="0.25">
      <c r="B3" s="102"/>
      <c r="C3" s="102"/>
      <c r="D3" s="102"/>
      <c r="E3" s="102"/>
    </row>
    <row r="4" spans="2:5" x14ac:dyDescent="0.25">
      <c r="B4" s="102"/>
      <c r="C4" s="102"/>
      <c r="D4" s="102"/>
      <c r="E4" s="102"/>
    </row>
    <row r="5" spans="2:5" x14ac:dyDescent="0.25">
      <c r="B5" s="30">
        <v>1</v>
      </c>
      <c r="C5" s="31" t="s">
        <v>214</v>
      </c>
      <c r="D5" s="30" t="s">
        <v>215</v>
      </c>
      <c r="E5" s="89"/>
    </row>
    <row r="6" spans="2:5" x14ac:dyDescent="0.25">
      <c r="B6" s="30">
        <v>2</v>
      </c>
      <c r="C6" s="31" t="s">
        <v>216</v>
      </c>
      <c r="D6" s="30" t="s">
        <v>217</v>
      </c>
      <c r="E6" s="89"/>
    </row>
    <row r="7" spans="2:5" x14ac:dyDescent="0.25">
      <c r="B7" s="30">
        <v>3</v>
      </c>
      <c r="C7" s="31" t="s">
        <v>350</v>
      </c>
      <c r="D7" s="30" t="s">
        <v>353</v>
      </c>
      <c r="E7" s="89"/>
    </row>
    <row r="8" spans="2:5" x14ac:dyDescent="0.25">
      <c r="B8" s="30">
        <v>4</v>
      </c>
      <c r="C8" s="31" t="s">
        <v>351</v>
      </c>
      <c r="D8" s="30" t="s">
        <v>352</v>
      </c>
      <c r="E8" s="89"/>
    </row>
    <row r="9" spans="2:5" x14ac:dyDescent="0.25">
      <c r="B9" s="30">
        <v>5</v>
      </c>
      <c r="C9" s="31" t="s">
        <v>218</v>
      </c>
      <c r="D9" s="30" t="s">
        <v>219</v>
      </c>
      <c r="E9" s="89"/>
    </row>
    <row r="10" spans="2:5" x14ac:dyDescent="0.25">
      <c r="B10" s="98">
        <v>6</v>
      </c>
      <c r="C10" s="31" t="s">
        <v>220</v>
      </c>
      <c r="D10" s="30"/>
      <c r="E10" s="89"/>
    </row>
    <row r="11" spans="2:5" x14ac:dyDescent="0.25">
      <c r="B11" s="98"/>
      <c r="C11" s="32" t="s">
        <v>221</v>
      </c>
      <c r="D11" s="30" t="s">
        <v>219</v>
      </c>
      <c r="E11" s="89"/>
    </row>
    <row r="12" spans="2:5" x14ac:dyDescent="0.25">
      <c r="B12" s="98"/>
      <c r="C12" s="32" t="s">
        <v>222</v>
      </c>
      <c r="D12" s="30" t="s">
        <v>219</v>
      </c>
      <c r="E12" s="89"/>
    </row>
    <row r="13" spans="2:5" x14ac:dyDescent="0.25">
      <c r="B13" s="30">
        <v>7</v>
      </c>
      <c r="C13" s="31" t="s">
        <v>223</v>
      </c>
      <c r="D13" s="30" t="s">
        <v>219</v>
      </c>
      <c r="E13" s="89"/>
    </row>
    <row r="14" spans="2:5" x14ac:dyDescent="0.25">
      <c r="B14" s="98">
        <v>8</v>
      </c>
      <c r="C14" s="31" t="s">
        <v>224</v>
      </c>
      <c r="D14" s="30" t="s">
        <v>219</v>
      </c>
      <c r="E14" s="89"/>
    </row>
    <row r="15" spans="2:5" x14ac:dyDescent="0.25">
      <c r="B15" s="98"/>
      <c r="C15" s="32" t="s">
        <v>225</v>
      </c>
      <c r="D15" s="30" t="s">
        <v>219</v>
      </c>
      <c r="E15" s="89"/>
    </row>
    <row r="16" spans="2:5" x14ac:dyDescent="0.25">
      <c r="B16" s="98"/>
      <c r="C16" s="32" t="s">
        <v>226</v>
      </c>
      <c r="D16" s="30" t="s">
        <v>219</v>
      </c>
      <c r="E16" s="89"/>
    </row>
    <row r="17" spans="2:5" x14ac:dyDescent="0.25">
      <c r="B17" s="98">
        <v>9</v>
      </c>
      <c r="C17" s="31" t="s">
        <v>227</v>
      </c>
      <c r="D17" s="30" t="s">
        <v>219</v>
      </c>
      <c r="E17" s="89"/>
    </row>
    <row r="18" spans="2:5" x14ac:dyDescent="0.25">
      <c r="B18" s="98"/>
      <c r="C18" s="32" t="s">
        <v>228</v>
      </c>
      <c r="D18" s="30" t="s">
        <v>219</v>
      </c>
      <c r="E18" s="89"/>
    </row>
    <row r="19" spans="2:5" x14ac:dyDescent="0.25">
      <c r="B19" s="98"/>
      <c r="C19" s="32" t="s">
        <v>229</v>
      </c>
      <c r="D19" s="30" t="s">
        <v>219</v>
      </c>
      <c r="E19" s="89"/>
    </row>
    <row r="20" spans="2:5" x14ac:dyDescent="0.25">
      <c r="B20" s="98">
        <v>10</v>
      </c>
      <c r="C20" s="31" t="s">
        <v>354</v>
      </c>
      <c r="D20" s="30" t="s">
        <v>219</v>
      </c>
      <c r="E20" s="89"/>
    </row>
    <row r="21" spans="2:5" x14ac:dyDescent="0.25">
      <c r="B21" s="98"/>
      <c r="C21" s="31" t="s">
        <v>231</v>
      </c>
      <c r="D21" s="30" t="s">
        <v>232</v>
      </c>
      <c r="E21" s="90"/>
    </row>
    <row r="22" spans="2:5" x14ac:dyDescent="0.25">
      <c r="B22" s="98">
        <v>11</v>
      </c>
      <c r="C22" s="31" t="s">
        <v>355</v>
      </c>
      <c r="D22" s="30" t="s">
        <v>219</v>
      </c>
      <c r="E22" s="89"/>
    </row>
    <row r="23" spans="2:5" x14ac:dyDescent="0.25">
      <c r="B23" s="98"/>
      <c r="C23" s="31" t="s">
        <v>231</v>
      </c>
      <c r="D23" s="30" t="s">
        <v>232</v>
      </c>
      <c r="E23" s="90"/>
    </row>
    <row r="24" spans="2:5" x14ac:dyDescent="0.25">
      <c r="B24" s="99">
        <v>12</v>
      </c>
      <c r="C24" s="31" t="s">
        <v>233</v>
      </c>
      <c r="D24" s="30"/>
      <c r="E24" s="89"/>
    </row>
    <row r="25" spans="2:5" x14ac:dyDescent="0.25">
      <c r="B25" s="100"/>
      <c r="C25" s="32" t="s">
        <v>234</v>
      </c>
      <c r="D25" s="30" t="s">
        <v>219</v>
      </c>
      <c r="E25" s="89"/>
    </row>
    <row r="26" spans="2:5" x14ac:dyDescent="0.25">
      <c r="B26" s="100"/>
      <c r="C26" s="32" t="s">
        <v>235</v>
      </c>
      <c r="D26" s="30" t="s">
        <v>232</v>
      </c>
      <c r="E26" s="91"/>
    </row>
    <row r="27" spans="2:5" x14ac:dyDescent="0.25">
      <c r="B27" s="100"/>
      <c r="C27" s="32" t="s">
        <v>236</v>
      </c>
      <c r="D27" s="30" t="s">
        <v>219</v>
      </c>
      <c r="E27" s="89"/>
    </row>
    <row r="28" spans="2:5" x14ac:dyDescent="0.25">
      <c r="B28" s="100"/>
      <c r="C28" s="32" t="s">
        <v>235</v>
      </c>
      <c r="D28" s="30" t="s">
        <v>232</v>
      </c>
      <c r="E28" s="91"/>
    </row>
    <row r="29" spans="2:5" x14ac:dyDescent="0.25">
      <c r="B29" s="100"/>
      <c r="C29" s="33" t="s">
        <v>393</v>
      </c>
      <c r="D29" s="34" t="s">
        <v>219</v>
      </c>
      <c r="E29" s="89"/>
    </row>
    <row r="30" spans="2:5" x14ac:dyDescent="0.25">
      <c r="B30" s="100"/>
      <c r="C30" s="33" t="s">
        <v>394</v>
      </c>
      <c r="D30" s="34" t="s">
        <v>219</v>
      </c>
      <c r="E30" s="92"/>
    </row>
    <row r="31" spans="2:5" x14ac:dyDescent="0.25">
      <c r="B31" s="100"/>
      <c r="C31" s="33" t="s">
        <v>237</v>
      </c>
      <c r="D31" s="34" t="s">
        <v>238</v>
      </c>
      <c r="E31" s="89"/>
    </row>
    <row r="32" spans="2:5" x14ac:dyDescent="0.25">
      <c r="B32" s="100"/>
      <c r="C32" s="33" t="s">
        <v>395</v>
      </c>
      <c r="D32" s="35"/>
      <c r="E32" s="89"/>
    </row>
    <row r="33" spans="2:5" x14ac:dyDescent="0.25">
      <c r="B33" s="101"/>
      <c r="C33" s="33" t="s">
        <v>397</v>
      </c>
      <c r="D33" s="35"/>
      <c r="E33" s="89"/>
    </row>
    <row r="34" spans="2:5" x14ac:dyDescent="0.25">
      <c r="B34" s="98">
        <v>13</v>
      </c>
      <c r="C34" s="36" t="s">
        <v>239</v>
      </c>
      <c r="D34" s="34"/>
      <c r="E34" s="89"/>
    </row>
    <row r="35" spans="2:5" x14ac:dyDescent="0.25">
      <c r="B35" s="98"/>
      <c r="C35" s="33" t="s">
        <v>222</v>
      </c>
      <c r="D35" s="34" t="s">
        <v>219</v>
      </c>
      <c r="E35" s="89"/>
    </row>
    <row r="36" spans="2:5" x14ac:dyDescent="0.25">
      <c r="B36" s="98"/>
      <c r="C36" s="33" t="s">
        <v>356</v>
      </c>
      <c r="D36" s="34" t="s">
        <v>219</v>
      </c>
      <c r="E36" s="89"/>
    </row>
    <row r="37" spans="2:5" x14ac:dyDescent="0.25">
      <c r="B37" s="98"/>
      <c r="C37" s="33" t="s">
        <v>240</v>
      </c>
      <c r="D37" s="34" t="s">
        <v>219</v>
      </c>
      <c r="E37" s="89"/>
    </row>
    <row r="38" spans="2:5" x14ac:dyDescent="0.25">
      <c r="B38" s="98"/>
      <c r="C38" s="33" t="s">
        <v>241</v>
      </c>
      <c r="D38" s="34" t="s">
        <v>219</v>
      </c>
      <c r="E38" s="89"/>
    </row>
    <row r="39" spans="2:5" x14ac:dyDescent="0.25">
      <c r="B39" s="98"/>
      <c r="C39" s="33" t="s">
        <v>242</v>
      </c>
      <c r="D39" s="34" t="s">
        <v>219</v>
      </c>
      <c r="E39" s="89"/>
    </row>
    <row r="40" spans="2:5" x14ac:dyDescent="0.25">
      <c r="B40" s="98"/>
      <c r="C40" s="33" t="s">
        <v>235</v>
      </c>
      <c r="D40" s="34" t="s">
        <v>232</v>
      </c>
      <c r="E40" s="91"/>
    </row>
    <row r="41" spans="2:5" x14ac:dyDescent="0.25">
      <c r="B41" s="98"/>
      <c r="C41" s="33" t="s">
        <v>243</v>
      </c>
      <c r="D41" s="37" t="s">
        <v>219</v>
      </c>
      <c r="E41" s="89"/>
    </row>
    <row r="42" spans="2:5" x14ac:dyDescent="0.25"/>
  </sheetData>
  <mergeCells count="11">
    <mergeCell ref="B14:B16"/>
    <mergeCell ref="B2:B4"/>
    <mergeCell ref="C2:C4"/>
    <mergeCell ref="D2:D4"/>
    <mergeCell ref="E2:E4"/>
    <mergeCell ref="B10:B12"/>
    <mergeCell ref="B17:B19"/>
    <mergeCell ref="B20:B21"/>
    <mergeCell ref="B22:B23"/>
    <mergeCell ref="B34:B41"/>
    <mergeCell ref="B24:B33"/>
  </mergeCell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52A24-8EC9-44C8-995C-74E2527B6521}">
  <sheetPr codeName="Sheet1">
    <tabColor rgb="FFA3B8BA"/>
  </sheetPr>
  <dimension ref="A1:J22"/>
  <sheetViews>
    <sheetView showGridLines="0" showRowColHeaders="0" zoomScale="115" zoomScaleNormal="115" workbookViewId="0">
      <selection activeCell="G6" sqref="G6"/>
    </sheetView>
  </sheetViews>
  <sheetFormatPr defaultColWidth="0" defaultRowHeight="15" zeroHeight="1" x14ac:dyDescent="0.25"/>
  <cols>
    <col min="1" max="1" width="3.5703125" customWidth="1"/>
    <col min="2" max="2" width="34.42578125" customWidth="1"/>
    <col min="3" max="3" width="7.7109375" customWidth="1"/>
    <col min="4" max="4" width="12.42578125" customWidth="1"/>
    <col min="5" max="5" width="7.42578125" customWidth="1"/>
    <col min="6" max="6" width="2.42578125" hidden="1" customWidth="1"/>
    <col min="7" max="7" width="9.140625" customWidth="1"/>
    <col min="8" max="8" width="3.7109375" customWidth="1"/>
    <col min="9" max="9" width="5.28515625" customWidth="1"/>
    <col min="10" max="10" width="2.28515625" customWidth="1"/>
    <col min="11" max="16384" width="8.85546875" hidden="1"/>
  </cols>
  <sheetData>
    <row r="1" spans="1:9" x14ac:dyDescent="0.25">
      <c r="A1" s="9" t="s">
        <v>101</v>
      </c>
      <c r="B1" s="9"/>
    </row>
    <row r="2" spans="1:9" x14ac:dyDescent="0.25">
      <c r="B2" t="s">
        <v>19</v>
      </c>
      <c r="C2" s="103" t="s">
        <v>416</v>
      </c>
      <c r="D2" s="104"/>
      <c r="E2" s="105"/>
    </row>
    <row r="3" spans="1:9" x14ac:dyDescent="0.25">
      <c r="B3" t="s">
        <v>20</v>
      </c>
      <c r="C3" s="103">
        <v>2023</v>
      </c>
      <c r="D3" s="104"/>
      <c r="E3" s="105"/>
    </row>
    <row r="4" spans="1:9" x14ac:dyDescent="0.25">
      <c r="B4" t="s">
        <v>257</v>
      </c>
      <c r="C4" s="103">
        <v>0.1</v>
      </c>
      <c r="D4" s="104"/>
      <c r="E4" s="105"/>
    </row>
    <row r="5" spans="1:9" x14ac:dyDescent="0.25">
      <c r="B5" t="s">
        <v>21</v>
      </c>
      <c r="C5" s="103" t="s">
        <v>417</v>
      </c>
      <c r="D5" s="104"/>
      <c r="E5" s="105"/>
    </row>
    <row r="6" spans="1:9" x14ac:dyDescent="0.25">
      <c r="B6" t="s">
        <v>96</v>
      </c>
      <c r="C6" s="106">
        <v>44927</v>
      </c>
      <c r="D6" s="107"/>
      <c r="E6" s="108"/>
    </row>
    <row r="7" spans="1:9" x14ac:dyDescent="0.25">
      <c r="B7" t="s">
        <v>97</v>
      </c>
      <c r="C7" s="106">
        <v>47848</v>
      </c>
      <c r="D7" s="107"/>
      <c r="E7" s="108"/>
    </row>
    <row r="8" spans="1:9" hidden="1" x14ac:dyDescent="0.25">
      <c r="B8" t="s">
        <v>374</v>
      </c>
      <c r="C8" s="106">
        <v>47849</v>
      </c>
      <c r="D8" s="107"/>
      <c r="E8" s="108"/>
    </row>
    <row r="9" spans="1:9" hidden="1" x14ac:dyDescent="0.25">
      <c r="B9" t="s">
        <v>375</v>
      </c>
      <c r="C9" s="106">
        <v>49674</v>
      </c>
      <c r="D9" s="107"/>
      <c r="E9" s="108"/>
    </row>
    <row r="10" spans="1:9" x14ac:dyDescent="0.25">
      <c r="B10" t="s">
        <v>98</v>
      </c>
      <c r="C10" s="106"/>
      <c r="D10" s="107"/>
      <c r="E10" s="108"/>
    </row>
    <row r="11" spans="1:9" x14ac:dyDescent="0.25">
      <c r="B11" t="s">
        <v>99</v>
      </c>
      <c r="C11" s="106"/>
      <c r="D11" s="107"/>
      <c r="E11" s="108"/>
    </row>
    <row r="12" spans="1:9" x14ac:dyDescent="0.25">
      <c r="B12" s="40" t="s">
        <v>100</v>
      </c>
      <c r="C12" s="41"/>
      <c r="D12" s="43">
        <v>2</v>
      </c>
      <c r="E12" s="42"/>
    </row>
    <row r="13" spans="1:9" x14ac:dyDescent="0.25">
      <c r="B13" s="40"/>
      <c r="C13" s="41"/>
      <c r="D13" s="43">
        <v>2</v>
      </c>
      <c r="E13" s="42"/>
      <c r="G13" s="60" t="s">
        <v>252</v>
      </c>
      <c r="H13" s="59">
        <v>2</v>
      </c>
      <c r="I13" s="58"/>
    </row>
    <row r="14" spans="1:9" x14ac:dyDescent="0.25">
      <c r="C14" s="41"/>
      <c r="D14" s="43">
        <v>2</v>
      </c>
      <c r="E14" s="42"/>
    </row>
    <row r="15" spans="1:9" x14ac:dyDescent="0.25">
      <c r="C15" s="41"/>
      <c r="D15" s="43">
        <v>2</v>
      </c>
      <c r="E15" s="42"/>
    </row>
    <row r="16" spans="1:9" x14ac:dyDescent="0.25">
      <c r="C16" s="41"/>
      <c r="D16" s="43">
        <v>2</v>
      </c>
      <c r="E16" s="42"/>
    </row>
    <row r="17" spans="2:5" x14ac:dyDescent="0.25">
      <c r="C17" s="41"/>
      <c r="D17" s="43">
        <v>2</v>
      </c>
      <c r="E17" s="42"/>
    </row>
    <row r="18" spans="2:5" x14ac:dyDescent="0.25">
      <c r="C18" s="41"/>
      <c r="D18" s="43">
        <v>2</v>
      </c>
      <c r="E18" s="42"/>
    </row>
    <row r="19" spans="2:5" x14ac:dyDescent="0.25"/>
    <row r="20" spans="2:5" ht="14.45" customHeight="1" x14ac:dyDescent="0.25">
      <c r="B20" t="s">
        <v>266</v>
      </c>
      <c r="C20" s="109">
        <v>0</v>
      </c>
      <c r="D20" s="110"/>
      <c r="E20" s="111"/>
    </row>
    <row r="21" spans="2:5" x14ac:dyDescent="0.25">
      <c r="B21" t="s">
        <v>267</v>
      </c>
      <c r="C21" s="109">
        <v>0</v>
      </c>
      <c r="D21" s="110"/>
      <c r="E21" s="111"/>
    </row>
    <row r="22" spans="2:5" x14ac:dyDescent="0.25"/>
  </sheetData>
  <mergeCells count="12">
    <mergeCell ref="C2:E2"/>
    <mergeCell ref="C3:E3"/>
    <mergeCell ref="C5:E5"/>
    <mergeCell ref="C6:E6"/>
    <mergeCell ref="C21:E21"/>
    <mergeCell ref="C4:E4"/>
    <mergeCell ref="C20:E20"/>
    <mergeCell ref="C7:E7"/>
    <mergeCell ref="C10:E10"/>
    <mergeCell ref="C11:E11"/>
    <mergeCell ref="C8:E8"/>
    <mergeCell ref="C9:E9"/>
  </mergeCells>
  <dataValidations count="7">
    <dataValidation type="list" showInputMessage="1" showErrorMessage="1" sqref="C5" xr:uid="{249D1BF8-29D2-47ED-B7F5-3945E5812E48}">
      <formula1>"CAPEX,OPEX,CAPEX AND OPEX,None"</formula1>
    </dataValidation>
    <dataValidation type="date" allowBlank="1" showInputMessage="1" showErrorMessage="1" errorTitle="Data Type Error" error="Should be Data" sqref="C10:E11" xr:uid="{DD057F8D-D0DD-4C84-B93F-6C209D5D1B60}">
      <formula1>16438</formula1>
      <formula2>401769</formula2>
    </dataValidation>
    <dataValidation showInputMessage="1" showErrorMessage="1" sqref="C2:E2" xr:uid="{CB4E7E80-5CF3-4B6B-9537-D98EB0ACB387}"/>
    <dataValidation type="whole" operator="lessThanOrEqual" allowBlank="1" showInputMessage="1" showErrorMessage="1" errorTitle="Maimum Number" error="Maximum GSA is 20" sqref="C12:C18" xr:uid="{712D2BFD-3D7A-46DF-8776-1E2D351DAE89}">
      <formula1>10</formula1>
    </dataValidation>
    <dataValidation type="whole" allowBlank="1" showInputMessage="1" showErrorMessage="1" errorTitle="Data Type" error="Should be integer" sqref="C3:E3" xr:uid="{6A39EE01-CF99-4150-962D-1B6FBB413D72}">
      <formula1>0</formula1>
      <formula2>99999</formula2>
    </dataValidation>
    <dataValidation type="date" allowBlank="1" showInputMessage="1" showErrorMessage="1" errorTitle="Data Type" error="Should be short date format" sqref="C6:E7 C8:E9" xr:uid="{B79AECBC-3119-45C7-9374-6C0167E1399F}">
      <formula1>16438</formula1>
      <formula2>401769</formula2>
    </dataValidation>
    <dataValidation type="decimal" allowBlank="1" showInputMessage="1" showErrorMessage="1" errorTitle="Data Type" error="Should be integer" sqref="C4:E4 C20:E21" xr:uid="{44EC628A-CE61-43D2-96A9-10235EA6A9DA}">
      <formula1>0</formula1>
      <formula2>1</formula2>
    </dataValidation>
  </dataValidations>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Check Box 3">
              <controlPr defaultSize="0" autoFill="0" autoLine="0" autoPict="0" macro="[0]!ThisWorkbook.ShowSheetOil">
                <anchor moveWithCells="1">
                  <from>
                    <xdr:col>2</xdr:col>
                    <xdr:colOff>38100</xdr:colOff>
                    <xdr:row>11</xdr:row>
                    <xdr:rowOff>19050</xdr:rowOff>
                  </from>
                  <to>
                    <xdr:col>2</xdr:col>
                    <xdr:colOff>514350</xdr:colOff>
                    <xdr:row>12</xdr:row>
                    <xdr:rowOff>0</xdr:rowOff>
                  </to>
                </anchor>
              </controlPr>
            </control>
          </mc:Choice>
        </mc:AlternateContent>
        <mc:AlternateContent xmlns:mc="http://schemas.openxmlformats.org/markup-compatibility/2006">
          <mc:Choice Requires="x14">
            <control shapeId="2065" r:id="rId5" name="Check Box 17">
              <controlPr defaultSize="0" autoFill="0" autoLine="0" autoPict="0" macro="[0]!ThisWorkbook.ShowSheetGas">
                <anchor moveWithCells="1">
                  <from>
                    <xdr:col>2</xdr:col>
                    <xdr:colOff>38100</xdr:colOff>
                    <xdr:row>12</xdr:row>
                    <xdr:rowOff>19050</xdr:rowOff>
                  </from>
                  <to>
                    <xdr:col>2</xdr:col>
                    <xdr:colOff>514350</xdr:colOff>
                    <xdr:row>12</xdr:row>
                    <xdr:rowOff>171450</xdr:rowOff>
                  </to>
                </anchor>
              </controlPr>
            </control>
          </mc:Choice>
        </mc:AlternateContent>
        <mc:AlternateContent xmlns:mc="http://schemas.openxmlformats.org/markup-compatibility/2006">
          <mc:Choice Requires="x14">
            <control shapeId="2066" r:id="rId6" name="Check Box 18">
              <controlPr defaultSize="0" autoFill="0" autoLine="0" autoPict="0" macro="[0]!ThisWorkbook.ShowSheetLPGPropane">
                <anchor moveWithCells="1">
                  <from>
                    <xdr:col>2</xdr:col>
                    <xdr:colOff>38100</xdr:colOff>
                    <xdr:row>13</xdr:row>
                    <xdr:rowOff>9525</xdr:rowOff>
                  </from>
                  <to>
                    <xdr:col>3</xdr:col>
                    <xdr:colOff>276225</xdr:colOff>
                    <xdr:row>13</xdr:row>
                    <xdr:rowOff>171450</xdr:rowOff>
                  </to>
                </anchor>
              </controlPr>
            </control>
          </mc:Choice>
        </mc:AlternateContent>
        <mc:AlternateContent xmlns:mc="http://schemas.openxmlformats.org/markup-compatibility/2006">
          <mc:Choice Requires="x14">
            <control shapeId="2067" r:id="rId7" name="Check Box 19">
              <controlPr defaultSize="0" autoFill="0" autoLine="0" autoPict="0" macro="[0]!ThisWorkbook.ShowSheetLPGButane">
                <anchor moveWithCells="1">
                  <from>
                    <xdr:col>2</xdr:col>
                    <xdr:colOff>38100</xdr:colOff>
                    <xdr:row>14</xdr:row>
                    <xdr:rowOff>19050</xdr:rowOff>
                  </from>
                  <to>
                    <xdr:col>3</xdr:col>
                    <xdr:colOff>352425</xdr:colOff>
                    <xdr:row>14</xdr:row>
                    <xdr:rowOff>171450</xdr:rowOff>
                  </to>
                </anchor>
              </controlPr>
            </control>
          </mc:Choice>
        </mc:AlternateContent>
        <mc:AlternateContent xmlns:mc="http://schemas.openxmlformats.org/markup-compatibility/2006">
          <mc:Choice Requires="x14">
            <control shapeId="2068" r:id="rId8" name="Check Box 20">
              <controlPr defaultSize="0" autoFill="0" autoLine="0" autoPict="0" macro="[0]!ThisWorkbook.ShowSheetSulfur">
                <anchor moveWithCells="1">
                  <from>
                    <xdr:col>2</xdr:col>
                    <xdr:colOff>38100</xdr:colOff>
                    <xdr:row>16</xdr:row>
                    <xdr:rowOff>19050</xdr:rowOff>
                  </from>
                  <to>
                    <xdr:col>2</xdr:col>
                    <xdr:colOff>514350</xdr:colOff>
                    <xdr:row>16</xdr:row>
                    <xdr:rowOff>171450</xdr:rowOff>
                  </to>
                </anchor>
              </controlPr>
            </control>
          </mc:Choice>
        </mc:AlternateContent>
        <mc:AlternateContent xmlns:mc="http://schemas.openxmlformats.org/markup-compatibility/2006">
          <mc:Choice Requires="x14">
            <control shapeId="2069" r:id="rId9" name="Check Box 21">
              <controlPr defaultSize="0" autoFill="0" autoLine="0" autoPict="0" macro="[0]!ThisWorkbook.ShowSheetCO2">
                <anchor moveWithCells="1">
                  <from>
                    <xdr:col>2</xdr:col>
                    <xdr:colOff>38100</xdr:colOff>
                    <xdr:row>15</xdr:row>
                    <xdr:rowOff>9525</xdr:rowOff>
                  </from>
                  <to>
                    <xdr:col>2</xdr:col>
                    <xdr:colOff>514350</xdr:colOff>
                    <xdr:row>15</xdr:row>
                    <xdr:rowOff>171450</xdr:rowOff>
                  </to>
                </anchor>
              </controlPr>
            </control>
          </mc:Choice>
        </mc:AlternateContent>
        <mc:AlternateContent xmlns:mc="http://schemas.openxmlformats.org/markup-compatibility/2006">
          <mc:Choice Requires="x14">
            <control shapeId="2072" r:id="rId10" name="Spinner 24">
              <controlPr defaultSize="0" autoPict="0" macro="[0]!ThisWorkbook.NewSheetOil">
                <anchor moveWithCells="1" sizeWithCells="1">
                  <from>
                    <xdr:col>4</xdr:col>
                    <xdr:colOff>333375</xdr:colOff>
                    <xdr:row>11</xdr:row>
                    <xdr:rowOff>9525</xdr:rowOff>
                  </from>
                  <to>
                    <xdr:col>4</xdr:col>
                    <xdr:colOff>504825</xdr:colOff>
                    <xdr:row>11</xdr:row>
                    <xdr:rowOff>171450</xdr:rowOff>
                  </to>
                </anchor>
              </controlPr>
            </control>
          </mc:Choice>
        </mc:AlternateContent>
        <mc:AlternateContent xmlns:mc="http://schemas.openxmlformats.org/markup-compatibility/2006">
          <mc:Choice Requires="x14">
            <control shapeId="2073" r:id="rId11" name="Spinner 25">
              <controlPr defaultSize="0" autoPict="0" macro="[0]!ThisWorkbook.NewSheetGas">
                <anchor moveWithCells="1" sizeWithCells="1">
                  <from>
                    <xdr:col>4</xdr:col>
                    <xdr:colOff>333375</xdr:colOff>
                    <xdr:row>12</xdr:row>
                    <xdr:rowOff>9525</xdr:rowOff>
                  </from>
                  <to>
                    <xdr:col>4</xdr:col>
                    <xdr:colOff>504825</xdr:colOff>
                    <xdr:row>12</xdr:row>
                    <xdr:rowOff>171450</xdr:rowOff>
                  </to>
                </anchor>
              </controlPr>
            </control>
          </mc:Choice>
        </mc:AlternateContent>
        <mc:AlternateContent xmlns:mc="http://schemas.openxmlformats.org/markup-compatibility/2006">
          <mc:Choice Requires="x14">
            <control shapeId="2074" r:id="rId12" name="Spinner 26">
              <controlPr defaultSize="0" autoPict="0" macro="[0]!ThisWorkbook.NewSheetLPGPropane">
                <anchor moveWithCells="1" sizeWithCells="1">
                  <from>
                    <xdr:col>4</xdr:col>
                    <xdr:colOff>333375</xdr:colOff>
                    <xdr:row>13</xdr:row>
                    <xdr:rowOff>9525</xdr:rowOff>
                  </from>
                  <to>
                    <xdr:col>4</xdr:col>
                    <xdr:colOff>504825</xdr:colOff>
                    <xdr:row>13</xdr:row>
                    <xdr:rowOff>171450</xdr:rowOff>
                  </to>
                </anchor>
              </controlPr>
            </control>
          </mc:Choice>
        </mc:AlternateContent>
        <mc:AlternateContent xmlns:mc="http://schemas.openxmlformats.org/markup-compatibility/2006">
          <mc:Choice Requires="x14">
            <control shapeId="2075" r:id="rId13" name="Spinner 27">
              <controlPr defaultSize="0" autoPict="0" macro="[0]!ThisWorkbook.NewSheetLPGButane">
                <anchor moveWithCells="1" sizeWithCells="1">
                  <from>
                    <xdr:col>4</xdr:col>
                    <xdr:colOff>333375</xdr:colOff>
                    <xdr:row>14</xdr:row>
                    <xdr:rowOff>9525</xdr:rowOff>
                  </from>
                  <to>
                    <xdr:col>4</xdr:col>
                    <xdr:colOff>504825</xdr:colOff>
                    <xdr:row>14</xdr:row>
                    <xdr:rowOff>171450</xdr:rowOff>
                  </to>
                </anchor>
              </controlPr>
            </control>
          </mc:Choice>
        </mc:AlternateContent>
        <mc:AlternateContent xmlns:mc="http://schemas.openxmlformats.org/markup-compatibility/2006">
          <mc:Choice Requires="x14">
            <control shapeId="2076" r:id="rId14" name="Spinner 28">
              <controlPr defaultSize="0" autoPict="0" macro="[0]!ThisWorkbook.NewSheetCO2">
                <anchor moveWithCells="1" sizeWithCells="1">
                  <from>
                    <xdr:col>4</xdr:col>
                    <xdr:colOff>333375</xdr:colOff>
                    <xdr:row>15</xdr:row>
                    <xdr:rowOff>9525</xdr:rowOff>
                  </from>
                  <to>
                    <xdr:col>4</xdr:col>
                    <xdr:colOff>504825</xdr:colOff>
                    <xdr:row>15</xdr:row>
                    <xdr:rowOff>171450</xdr:rowOff>
                  </to>
                </anchor>
              </controlPr>
            </control>
          </mc:Choice>
        </mc:AlternateContent>
        <mc:AlternateContent xmlns:mc="http://schemas.openxmlformats.org/markup-compatibility/2006">
          <mc:Choice Requires="x14">
            <control shapeId="2077" r:id="rId15" name="Spinner 29">
              <controlPr defaultSize="0" autoPict="0" macro="[0]!ThisWorkbook.NewSheetSulfur">
                <anchor moveWithCells="1" sizeWithCells="1">
                  <from>
                    <xdr:col>4</xdr:col>
                    <xdr:colOff>333375</xdr:colOff>
                    <xdr:row>16</xdr:row>
                    <xdr:rowOff>9525</xdr:rowOff>
                  </from>
                  <to>
                    <xdr:col>4</xdr:col>
                    <xdr:colOff>504825</xdr:colOff>
                    <xdr:row>16</xdr:row>
                    <xdr:rowOff>171450</xdr:rowOff>
                  </to>
                </anchor>
              </controlPr>
            </control>
          </mc:Choice>
        </mc:AlternateContent>
        <mc:AlternateContent xmlns:mc="http://schemas.openxmlformats.org/markup-compatibility/2006">
          <mc:Choice Requires="x14">
            <control shapeId="2079" r:id="rId16" name="Spinner 31">
              <controlPr defaultSize="0" autoPict="0" macro="[0]!ThisWorkbook.SetContractType">
                <anchor moveWithCells="1" sizeWithCells="1">
                  <from>
                    <xdr:col>4</xdr:col>
                    <xdr:colOff>333375</xdr:colOff>
                    <xdr:row>1</xdr:row>
                    <xdr:rowOff>9525</xdr:rowOff>
                  </from>
                  <to>
                    <xdr:col>4</xdr:col>
                    <xdr:colOff>504825</xdr:colOff>
                    <xdr:row>1</xdr:row>
                    <xdr:rowOff>171450</xdr:rowOff>
                  </to>
                </anchor>
              </controlPr>
            </control>
          </mc:Choice>
        </mc:AlternateContent>
        <mc:AlternateContent xmlns:mc="http://schemas.openxmlformats.org/markup-compatibility/2006">
          <mc:Choice Requires="x14">
            <control shapeId="2086" r:id="rId17" name="Spinner 38">
              <controlPr defaultSize="0" autoPict="0" macro="[0]!ThisWorkbook.GSANumberHandler">
                <anchor moveWithCells="1" sizeWithCells="1">
                  <from>
                    <xdr:col>8</xdr:col>
                    <xdr:colOff>190500</xdr:colOff>
                    <xdr:row>12</xdr:row>
                    <xdr:rowOff>9525</xdr:rowOff>
                  </from>
                  <to>
                    <xdr:col>8</xdr:col>
                    <xdr:colOff>361950</xdr:colOff>
                    <xdr:row>12</xdr:row>
                    <xdr:rowOff>171450</xdr:rowOff>
                  </to>
                </anchor>
              </controlPr>
            </control>
          </mc:Choice>
        </mc:AlternateContent>
        <mc:AlternateContent xmlns:mc="http://schemas.openxmlformats.org/markup-compatibility/2006">
          <mc:Choice Requires="x14">
            <control shapeId="2090" r:id="rId18" name="Check Box 42">
              <controlPr defaultSize="0" autoFill="0" autoLine="0" autoPict="0" macro="[0]!ThisWorkbook.ShowSheetElectricity">
                <anchor moveWithCells="1">
                  <from>
                    <xdr:col>2</xdr:col>
                    <xdr:colOff>38100</xdr:colOff>
                    <xdr:row>17</xdr:row>
                    <xdr:rowOff>19050</xdr:rowOff>
                  </from>
                  <to>
                    <xdr:col>2</xdr:col>
                    <xdr:colOff>514350</xdr:colOff>
                    <xdr:row>17</xdr:row>
                    <xdr:rowOff>171450</xdr:rowOff>
                  </to>
                </anchor>
              </controlPr>
            </control>
          </mc:Choice>
        </mc:AlternateContent>
        <mc:AlternateContent xmlns:mc="http://schemas.openxmlformats.org/markup-compatibility/2006">
          <mc:Choice Requires="x14">
            <control shapeId="2091" r:id="rId19" name="Spinner 43">
              <controlPr defaultSize="0" autoPict="0" macro="[0]!ThisWorkbook.NewSheetElectricity">
                <anchor moveWithCells="1" sizeWithCells="1">
                  <from>
                    <xdr:col>4</xdr:col>
                    <xdr:colOff>333375</xdr:colOff>
                    <xdr:row>17</xdr:row>
                    <xdr:rowOff>9525</xdr:rowOff>
                  </from>
                  <to>
                    <xdr:col>4</xdr:col>
                    <xdr:colOff>504825</xdr:colOff>
                    <xdr:row>17</xdr:row>
                    <xdr:rowOff>171450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3D2879-C6EC-4E2B-AA6F-2B18B8D3D660}">
  <sheetPr codeName="Sheet23">
    <tabColor rgb="FF435259"/>
  </sheetPr>
  <dimension ref="A1:Q21"/>
  <sheetViews>
    <sheetView showGridLines="0" showRowColHeaders="0" zoomScaleNormal="100" workbookViewId="0">
      <selection activeCell="D2" sqref="D2"/>
    </sheetView>
  </sheetViews>
  <sheetFormatPr defaultColWidth="0" defaultRowHeight="15" zeroHeight="1" x14ac:dyDescent="0.25"/>
  <cols>
    <col min="1" max="1" width="3.140625" customWidth="1"/>
    <col min="2" max="2" width="20" bestFit="1" customWidth="1"/>
    <col min="3" max="3" width="8.85546875" customWidth="1"/>
    <col min="4" max="4" width="9.28515625" style="25" bestFit="1" customWidth="1"/>
    <col min="5" max="5" width="8.28515625" style="25" customWidth="1"/>
    <col min="6" max="8" width="8.85546875" customWidth="1"/>
    <col min="9" max="9" width="4.7109375" customWidth="1"/>
    <col min="10" max="10" width="0" hidden="1" customWidth="1"/>
    <col min="11" max="11" width="6" customWidth="1"/>
    <col min="12" max="12" width="3.42578125" customWidth="1"/>
    <col min="13" max="13" width="4.28515625" customWidth="1"/>
    <col min="14" max="14" width="20" bestFit="1" customWidth="1"/>
    <col min="15" max="16" width="8.85546875" customWidth="1"/>
    <col min="17" max="17" width="4.28515625" customWidth="1"/>
    <col min="18" max="16384" width="8.85546875" hidden="1"/>
  </cols>
  <sheetData>
    <row r="1" spans="1:16" x14ac:dyDescent="0.25">
      <c r="A1" s="9" t="s">
        <v>337</v>
      </c>
      <c r="M1" s="9" t="s">
        <v>340</v>
      </c>
    </row>
    <row r="2" spans="1:16" x14ac:dyDescent="0.25">
      <c r="B2" t="s">
        <v>211</v>
      </c>
      <c r="D2" s="29" t="s">
        <v>338</v>
      </c>
      <c r="E2" s="73" t="s">
        <v>339</v>
      </c>
      <c r="F2" s="76">
        <v>0.15</v>
      </c>
      <c r="N2" t="str">
        <f>CONCATENATE(D2," ","Result")</f>
        <v>IRR Result</v>
      </c>
      <c r="P2" s="74"/>
    </row>
    <row r="3" spans="1:16" x14ac:dyDescent="0.25"/>
    <row r="4" spans="1:16" hidden="1" x14ac:dyDescent="0.25">
      <c r="A4" s="9" t="s">
        <v>325</v>
      </c>
      <c r="D4" s="71" t="s">
        <v>331</v>
      </c>
      <c r="E4" s="71" t="s">
        <v>332</v>
      </c>
      <c r="F4" s="72" t="s">
        <v>334</v>
      </c>
      <c r="G4" s="72" t="s">
        <v>333</v>
      </c>
      <c r="H4" s="72" t="s">
        <v>335</v>
      </c>
      <c r="J4" s="25">
        <v>0</v>
      </c>
      <c r="M4" s="9" t="s">
        <v>341</v>
      </c>
    </row>
    <row r="5" spans="1:16" hidden="1" x14ac:dyDescent="0.25">
      <c r="B5" t="s">
        <v>112</v>
      </c>
      <c r="D5" s="29"/>
      <c r="E5" s="70"/>
      <c r="F5" s="75">
        <f>'Cost Recovery Config'!C11</f>
        <v>0.34722219999999998</v>
      </c>
      <c r="G5" s="29"/>
      <c r="H5" s="29"/>
      <c r="N5" t="s">
        <v>112</v>
      </c>
      <c r="P5" s="74"/>
    </row>
    <row r="6" spans="1:16" hidden="1" x14ac:dyDescent="0.25">
      <c r="B6" t="s">
        <v>111</v>
      </c>
      <c r="D6" s="29"/>
      <c r="E6" s="70"/>
      <c r="F6" s="75">
        <f>'Cost Recovery Config'!C12</f>
        <v>0.52083299999999999</v>
      </c>
      <c r="G6" s="29"/>
      <c r="H6" s="29"/>
      <c r="N6" t="s">
        <v>111</v>
      </c>
      <c r="P6" s="74"/>
    </row>
    <row r="7" spans="1:16" hidden="1" x14ac:dyDescent="0.25">
      <c r="B7" t="s">
        <v>108</v>
      </c>
      <c r="D7" s="29"/>
      <c r="E7" s="70"/>
      <c r="F7" s="75">
        <f>'Cost Recovery Config'!C4</f>
        <v>0.24</v>
      </c>
      <c r="G7" s="29"/>
      <c r="H7" s="29"/>
      <c r="N7" t="s">
        <v>108</v>
      </c>
      <c r="P7" s="74"/>
    </row>
    <row r="8" spans="1:16" hidden="1" x14ac:dyDescent="0.25">
      <c r="B8" t="s">
        <v>113</v>
      </c>
      <c r="D8" s="29"/>
      <c r="E8" s="70"/>
      <c r="F8" s="75">
        <f>'Cost Recovery Config'!C16</f>
        <v>0</v>
      </c>
      <c r="G8" s="29"/>
      <c r="H8" s="29"/>
      <c r="N8" t="s">
        <v>113</v>
      </c>
      <c r="P8" s="74"/>
    </row>
    <row r="9" spans="1:16" hidden="1" x14ac:dyDescent="0.25">
      <c r="B9" t="s">
        <v>115</v>
      </c>
      <c r="D9" s="29"/>
      <c r="E9" s="70"/>
      <c r="F9" s="75">
        <f>'Cost Recovery Config'!C17</f>
        <v>0</v>
      </c>
      <c r="G9" s="29"/>
      <c r="H9" s="29"/>
      <c r="N9" t="s">
        <v>115</v>
      </c>
      <c r="P9" s="74"/>
    </row>
    <row r="10" spans="1:16" hidden="1" x14ac:dyDescent="0.25">
      <c r="B10" t="s">
        <v>326</v>
      </c>
      <c r="D10" s="29"/>
      <c r="E10" s="70"/>
      <c r="F10" s="75">
        <f>'Cost Recovery Config'!C31</f>
        <v>0.25</v>
      </c>
      <c r="G10" s="29"/>
      <c r="H10" s="29"/>
      <c r="N10" t="s">
        <v>326</v>
      </c>
      <c r="P10" s="74"/>
    </row>
    <row r="11" spans="1:16" hidden="1" x14ac:dyDescent="0.25">
      <c r="B11" t="s">
        <v>327</v>
      </c>
      <c r="D11" s="29"/>
      <c r="E11" s="70"/>
      <c r="F11" s="75">
        <f>'Gross Split Config'!C33</f>
        <v>1</v>
      </c>
      <c r="G11" s="29"/>
      <c r="H11" s="29"/>
      <c r="N11" t="s">
        <v>327</v>
      </c>
      <c r="P11" s="74"/>
    </row>
    <row r="12" spans="1:16" hidden="1" x14ac:dyDescent="0.25">
      <c r="B12" t="s">
        <v>266</v>
      </c>
      <c r="D12" s="29"/>
      <c r="E12" s="70"/>
      <c r="F12" s="75">
        <f>'General Config'!C20</f>
        <v>0</v>
      </c>
      <c r="G12" s="29"/>
      <c r="H12" s="29"/>
      <c r="N12" t="s">
        <v>266</v>
      </c>
      <c r="P12" s="74"/>
    </row>
    <row r="13" spans="1:16" hidden="1" x14ac:dyDescent="0.25">
      <c r="B13" t="s">
        <v>328</v>
      </c>
      <c r="D13" s="29"/>
      <c r="E13" s="70"/>
      <c r="F13" s="75">
        <f>'Fiscal Config'!C3</f>
        <v>0.42399999999999999</v>
      </c>
      <c r="G13" s="29"/>
      <c r="H13" s="29"/>
      <c r="N13" t="s">
        <v>328</v>
      </c>
      <c r="P13" s="74"/>
    </row>
    <row r="14" spans="1:16" x14ac:dyDescent="0.25"/>
    <row r="15" spans="1:16" x14ac:dyDescent="0.25">
      <c r="A15" s="9" t="s">
        <v>329</v>
      </c>
      <c r="D15" s="71" t="s">
        <v>331</v>
      </c>
      <c r="E15" s="71" t="s">
        <v>332</v>
      </c>
      <c r="F15" s="72" t="s">
        <v>334</v>
      </c>
      <c r="G15" s="71" t="s">
        <v>333</v>
      </c>
      <c r="H15" s="71" t="s">
        <v>335</v>
      </c>
      <c r="J15" s="70">
        <v>3</v>
      </c>
      <c r="M15" s="9" t="s">
        <v>342</v>
      </c>
    </row>
    <row r="16" spans="1:16" x14ac:dyDescent="0.25">
      <c r="B16" t="s">
        <v>330</v>
      </c>
      <c r="D16" s="29"/>
      <c r="E16" s="25">
        <v>1</v>
      </c>
      <c r="F16" s="75">
        <f>'Gross Split Config'!C13</f>
        <v>0.08</v>
      </c>
      <c r="G16" s="29"/>
      <c r="H16" s="29"/>
      <c r="N16" t="s">
        <v>330</v>
      </c>
      <c r="P16" s="74"/>
    </row>
    <row r="17" spans="2:16" x14ac:dyDescent="0.25">
      <c r="B17" t="s">
        <v>266</v>
      </c>
      <c r="D17" s="29"/>
      <c r="E17" s="25">
        <v>2</v>
      </c>
      <c r="F17" s="75">
        <f>'General Config'!C20</f>
        <v>0</v>
      </c>
      <c r="G17" s="29"/>
      <c r="H17" s="29"/>
      <c r="N17" t="s">
        <v>266</v>
      </c>
      <c r="P17" s="74"/>
    </row>
    <row r="18" spans="2:16" x14ac:dyDescent="0.25">
      <c r="B18" t="s">
        <v>328</v>
      </c>
      <c r="D18" s="29"/>
      <c r="E18" s="25">
        <v>3</v>
      </c>
      <c r="F18" s="75">
        <f>'Fiscal Config'!C3</f>
        <v>0.42399999999999999</v>
      </c>
      <c r="G18" s="29"/>
      <c r="H18" s="29"/>
      <c r="N18" t="s">
        <v>328</v>
      </c>
      <c r="P18" s="74"/>
    </row>
    <row r="20" spans="2:16" x14ac:dyDescent="0.25"/>
    <row r="21" spans="2:16" x14ac:dyDescent="0.25"/>
  </sheetData>
  <dataValidations count="1">
    <dataValidation type="list" allowBlank="1" showInputMessage="1" showErrorMessage="1" sqref="D2" xr:uid="{9C1F6AB7-91A2-44ED-9F11-B135B9884B9C}">
      <formula1>"IRR,NPV,PV Ratio"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6177" r:id="rId3" name="Check Box 1">
              <controlPr defaultSize="0" autoFill="0" autoLine="0" autoPict="0" macro="[0]!ThisWorkbook.ResetPriorityOilPreTax">
                <anchor moveWithCells="1">
                  <from>
                    <xdr:col>3</xdr:col>
                    <xdr:colOff>219075</xdr:colOff>
                    <xdr:row>3</xdr:row>
                    <xdr:rowOff>161925</xdr:rowOff>
                  </from>
                  <to>
                    <xdr:col>3</xdr:col>
                    <xdr:colOff>438150</xdr:colOff>
                    <xdr:row>14</xdr:row>
                    <xdr:rowOff>47625</xdr:rowOff>
                  </to>
                </anchor>
              </controlPr>
            </control>
          </mc:Choice>
        </mc:AlternateContent>
        <mc:AlternateContent xmlns:mc="http://schemas.openxmlformats.org/markup-compatibility/2006">
          <mc:Choice Requires="x14">
            <control shapeId="306178" r:id="rId4" name="Check Box 2">
              <controlPr defaultSize="0" autoFill="0" autoLine="0" autoPict="0" macro="[0]!ThisWorkbook.ResetPriorityGasPreTax">
                <anchor moveWithCells="1">
                  <from>
                    <xdr:col>3</xdr:col>
                    <xdr:colOff>219075</xdr:colOff>
                    <xdr:row>4</xdr:row>
                    <xdr:rowOff>171450</xdr:rowOff>
                  </from>
                  <to>
                    <xdr:col>3</xdr:col>
                    <xdr:colOff>438150</xdr:colOff>
                    <xdr:row>14</xdr:row>
                    <xdr:rowOff>38100</xdr:rowOff>
                  </to>
                </anchor>
              </controlPr>
            </control>
          </mc:Choice>
        </mc:AlternateContent>
        <mc:AlternateContent xmlns:mc="http://schemas.openxmlformats.org/markup-compatibility/2006">
          <mc:Choice Requires="x14">
            <control shapeId="306180" r:id="rId5" name="Check Box 4">
              <controlPr defaultSize="0" autoFill="0" autoLine="0" autoPict="0" macro="[0]!ThisWorkbook.ResetPriorityFTPPortion">
                <anchor moveWithCells="1">
                  <from>
                    <xdr:col>3</xdr:col>
                    <xdr:colOff>219075</xdr:colOff>
                    <xdr:row>5</xdr:row>
                    <xdr:rowOff>171450</xdr:rowOff>
                  </from>
                  <to>
                    <xdr:col>3</xdr:col>
                    <xdr:colOff>438150</xdr:colOff>
                    <xdr:row>14</xdr:row>
                    <xdr:rowOff>38100</xdr:rowOff>
                  </to>
                </anchor>
              </controlPr>
            </control>
          </mc:Choice>
        </mc:AlternateContent>
        <mc:AlternateContent xmlns:mc="http://schemas.openxmlformats.org/markup-compatibility/2006">
          <mc:Choice Requires="x14">
            <control shapeId="306181" r:id="rId6" name="Check Box 5">
              <controlPr defaultSize="0" autoFill="0" autoLine="0" autoPict="0" macro="[0]!ThisWorkbook.ResetPriorityOilIC">
                <anchor moveWithCells="1">
                  <from>
                    <xdr:col>3</xdr:col>
                    <xdr:colOff>219075</xdr:colOff>
                    <xdr:row>6</xdr:row>
                    <xdr:rowOff>171450</xdr:rowOff>
                  </from>
                  <to>
                    <xdr:col>3</xdr:col>
                    <xdr:colOff>438150</xdr:colOff>
                    <xdr:row>14</xdr:row>
                    <xdr:rowOff>38100</xdr:rowOff>
                  </to>
                </anchor>
              </controlPr>
            </control>
          </mc:Choice>
        </mc:AlternateContent>
        <mc:AlternateContent xmlns:mc="http://schemas.openxmlformats.org/markup-compatibility/2006">
          <mc:Choice Requires="x14">
            <control shapeId="306182" r:id="rId7" name="Check Box 6">
              <controlPr defaultSize="0" autoFill="0" autoLine="0" autoPict="0" macro="[0]!ThisWorkbook.ResetPriorityGasIC">
                <anchor moveWithCells="1">
                  <from>
                    <xdr:col>3</xdr:col>
                    <xdr:colOff>219075</xdr:colOff>
                    <xdr:row>7</xdr:row>
                    <xdr:rowOff>171450</xdr:rowOff>
                  </from>
                  <to>
                    <xdr:col>3</xdr:col>
                    <xdr:colOff>438150</xdr:colOff>
                    <xdr:row>14</xdr:row>
                    <xdr:rowOff>38100</xdr:rowOff>
                  </to>
                </anchor>
              </controlPr>
            </control>
          </mc:Choice>
        </mc:AlternateContent>
        <mc:AlternateContent xmlns:mc="http://schemas.openxmlformats.org/markup-compatibility/2006">
          <mc:Choice Requires="x14">
            <control shapeId="306183" r:id="rId8" name="Check Box 7">
              <controlPr defaultSize="0" autoFill="0" autoLine="0" autoPict="0" macro="[0]!ThisWorkbook.ResetPriorityOilDMO">
                <anchor moveWithCells="1">
                  <from>
                    <xdr:col>3</xdr:col>
                    <xdr:colOff>219075</xdr:colOff>
                    <xdr:row>8</xdr:row>
                    <xdr:rowOff>171450</xdr:rowOff>
                  </from>
                  <to>
                    <xdr:col>3</xdr:col>
                    <xdr:colOff>438150</xdr:colOff>
                    <xdr:row>14</xdr:row>
                    <xdr:rowOff>38100</xdr:rowOff>
                  </to>
                </anchor>
              </controlPr>
            </control>
          </mc:Choice>
        </mc:AlternateContent>
        <mc:AlternateContent xmlns:mc="http://schemas.openxmlformats.org/markup-compatibility/2006">
          <mc:Choice Requires="x14">
            <control shapeId="306184" r:id="rId9" name="Check Box 8">
              <controlPr defaultSize="0" autoFill="0" autoLine="0" autoPict="0" macro="[0]!ThisWorkbook.ResetPriorityGasDMO">
                <anchor moveWithCells="1">
                  <from>
                    <xdr:col>3</xdr:col>
                    <xdr:colOff>219075</xdr:colOff>
                    <xdr:row>9</xdr:row>
                    <xdr:rowOff>171450</xdr:rowOff>
                  </from>
                  <to>
                    <xdr:col>3</xdr:col>
                    <xdr:colOff>438150</xdr:colOff>
                    <xdr:row>14</xdr:row>
                    <xdr:rowOff>38100</xdr:rowOff>
                  </to>
                </anchor>
              </controlPr>
            </control>
          </mc:Choice>
        </mc:AlternateContent>
        <mc:AlternateContent xmlns:mc="http://schemas.openxmlformats.org/markup-compatibility/2006">
          <mc:Choice Requires="x14">
            <control shapeId="306185" r:id="rId10" name="Check Box 9">
              <controlPr defaultSize="0" autoFill="0" autoLine="0" autoPict="0" macro="[0]!ThisWorkbook.ResetPriorityVATDisc">
                <anchor moveWithCells="1">
                  <from>
                    <xdr:col>3</xdr:col>
                    <xdr:colOff>219075</xdr:colOff>
                    <xdr:row>10</xdr:row>
                    <xdr:rowOff>171450</xdr:rowOff>
                  </from>
                  <to>
                    <xdr:col>3</xdr:col>
                    <xdr:colOff>438150</xdr:colOff>
                    <xdr:row>14</xdr:row>
                    <xdr:rowOff>38100</xdr:rowOff>
                  </to>
                </anchor>
              </controlPr>
            </control>
          </mc:Choice>
        </mc:AlternateContent>
        <mc:AlternateContent xmlns:mc="http://schemas.openxmlformats.org/markup-compatibility/2006">
          <mc:Choice Requires="x14">
            <control shapeId="306186" r:id="rId11" name="Check Box 10">
              <controlPr defaultSize="0" autoFill="0" autoLine="0" autoPict="0" macro="[0]!ThisWorkbook.ResetPriorityEffectiveTax">
                <anchor moveWithCells="1">
                  <from>
                    <xdr:col>3</xdr:col>
                    <xdr:colOff>219075</xdr:colOff>
                    <xdr:row>11</xdr:row>
                    <xdr:rowOff>171450</xdr:rowOff>
                  </from>
                  <to>
                    <xdr:col>3</xdr:col>
                    <xdr:colOff>438150</xdr:colOff>
                    <xdr:row>14</xdr:row>
                    <xdr:rowOff>38100</xdr:rowOff>
                  </to>
                </anchor>
              </controlPr>
            </control>
          </mc:Choice>
        </mc:AlternateContent>
        <mc:AlternateContent xmlns:mc="http://schemas.openxmlformats.org/markup-compatibility/2006">
          <mc:Choice Requires="x14">
            <control shapeId="306191" r:id="rId12" name="Check Box 15">
              <controlPr defaultSize="0" autoFill="0" autoLine="0" autoPict="0" macro="[0]!ThisWorkbook.ResetPriorityMinestrial">
                <anchor moveWithCells="1">
                  <from>
                    <xdr:col>3</xdr:col>
                    <xdr:colOff>219075</xdr:colOff>
                    <xdr:row>12</xdr:row>
                    <xdr:rowOff>152400</xdr:rowOff>
                  </from>
                  <to>
                    <xdr:col>3</xdr:col>
                    <xdr:colOff>438150</xdr:colOff>
                    <xdr:row>14</xdr:row>
                    <xdr:rowOff>38100</xdr:rowOff>
                  </to>
                </anchor>
              </controlPr>
            </control>
          </mc:Choice>
        </mc:AlternateContent>
        <mc:AlternateContent xmlns:mc="http://schemas.openxmlformats.org/markup-compatibility/2006">
          <mc:Choice Requires="x14">
            <control shapeId="306192" r:id="rId13" name="Check Box 16">
              <controlPr defaultSize="0" autoFill="0" autoLine="0" autoPict="0" macro="[0]!ThisWorkbook.ResetPriorityVATDiscGS">
                <anchor moveWithCells="1">
                  <from>
                    <xdr:col>3</xdr:col>
                    <xdr:colOff>219075</xdr:colOff>
                    <xdr:row>12</xdr:row>
                    <xdr:rowOff>152400</xdr:rowOff>
                  </from>
                  <to>
                    <xdr:col>3</xdr:col>
                    <xdr:colOff>438150</xdr:colOff>
                    <xdr:row>14</xdr:row>
                    <xdr:rowOff>38100</xdr:rowOff>
                  </to>
                </anchor>
              </controlPr>
            </control>
          </mc:Choice>
        </mc:AlternateContent>
        <mc:AlternateContent xmlns:mc="http://schemas.openxmlformats.org/markup-compatibility/2006">
          <mc:Choice Requires="x14">
            <control shapeId="306193" r:id="rId14" name="Check Box 17">
              <controlPr defaultSize="0" autoFill="0" autoLine="0" autoPict="0" macro="[0]!ThisWorkbook.ResetPriorityeFffectiveTaxGS">
                <anchor moveWithCells="1">
                  <from>
                    <xdr:col>3</xdr:col>
                    <xdr:colOff>219075</xdr:colOff>
                    <xdr:row>12</xdr:row>
                    <xdr:rowOff>152400</xdr:rowOff>
                  </from>
                  <to>
                    <xdr:col>3</xdr:col>
                    <xdr:colOff>438150</xdr:colOff>
                    <xdr:row>14</xdr:row>
                    <xdr:rowOff>38100</xdr:rowOff>
                  </to>
                </anchor>
              </controlPr>
            </control>
          </mc:Choice>
        </mc:AlternateContent>
        <mc:AlternateContent xmlns:mc="http://schemas.openxmlformats.org/markup-compatibility/2006">
          <mc:Choice Requires="x14">
            <control shapeId="306196" r:id="rId15" name="Check Box 20">
              <controlPr locked="0" defaultSize="0" autoFill="0" autoLine="0" autoPict="0" macro="[0]!ThisWorkbook.ResetPriorityMinestrial">
                <anchor moveWithCells="1">
                  <from>
                    <xdr:col>3</xdr:col>
                    <xdr:colOff>219075</xdr:colOff>
                    <xdr:row>15</xdr:row>
                    <xdr:rowOff>19050</xdr:rowOff>
                  </from>
                  <to>
                    <xdr:col>3</xdr:col>
                    <xdr:colOff>438150</xdr:colOff>
                    <xdr:row>15</xdr:row>
                    <xdr:rowOff>180975</xdr:rowOff>
                  </to>
                </anchor>
              </controlPr>
            </control>
          </mc:Choice>
        </mc:AlternateContent>
        <mc:AlternateContent xmlns:mc="http://schemas.openxmlformats.org/markup-compatibility/2006">
          <mc:Choice Requires="x14">
            <control shapeId="306197" r:id="rId16" name="Check Box 21">
              <controlPr locked="0" defaultSize="0" autoFill="0" autoLine="0" autoPict="0" macro="[0]!ThisWorkbook.ResetPriorityVATDiscGS">
                <anchor moveWithCells="1">
                  <from>
                    <xdr:col>3</xdr:col>
                    <xdr:colOff>219075</xdr:colOff>
                    <xdr:row>16</xdr:row>
                    <xdr:rowOff>9525</xdr:rowOff>
                  </from>
                  <to>
                    <xdr:col>3</xdr:col>
                    <xdr:colOff>438150</xdr:colOff>
                    <xdr:row>16</xdr:row>
                    <xdr:rowOff>171450</xdr:rowOff>
                  </to>
                </anchor>
              </controlPr>
            </control>
          </mc:Choice>
        </mc:AlternateContent>
        <mc:AlternateContent xmlns:mc="http://schemas.openxmlformats.org/markup-compatibility/2006">
          <mc:Choice Requires="x14">
            <control shapeId="306198" r:id="rId17" name="Check Box 22">
              <controlPr locked="0" defaultSize="0" autoFill="0" autoLine="0" autoPict="0" macro="[0]!ThisWorkbook.ResetPriorityeFffectiveTaxGS">
                <anchor moveWithCells="1">
                  <from>
                    <xdr:col>3</xdr:col>
                    <xdr:colOff>219075</xdr:colOff>
                    <xdr:row>17</xdr:row>
                    <xdr:rowOff>19050</xdr:rowOff>
                  </from>
                  <to>
                    <xdr:col>3</xdr:col>
                    <xdr:colOff>438150</xdr:colOff>
                    <xdr:row>17</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F1B886-21E9-45B0-AB35-A3013ACAEF45}">
  <sheetPr codeName="Sheet26"/>
  <dimension ref="A1"/>
  <sheetViews>
    <sheetView workbookViewId="0">
      <selection activeCell="G20" sqref="G20"/>
    </sheetView>
  </sheetViews>
  <sheetFormatPr defaultRowHeight="15" x14ac:dyDescent="0.25"/>
  <sheetData>
    <row r="1" spans="1:1" x14ac:dyDescent="0.25">
      <c r="A1" s="82" t="s">
        <v>367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8B38B-9B46-4D2F-8B82-C785744851EB}">
  <sheetPr codeName="Sheet25">
    <tabColor rgb="FF435259"/>
  </sheetPr>
  <dimension ref="A1:S71"/>
  <sheetViews>
    <sheetView showGridLines="0" workbookViewId="0">
      <selection activeCell="E3" sqref="E3"/>
    </sheetView>
  </sheetViews>
  <sheetFormatPr defaultColWidth="0" defaultRowHeight="15" zeroHeight="1" x14ac:dyDescent="0.25"/>
  <cols>
    <col min="1" max="1" width="5.42578125" customWidth="1"/>
    <col min="2" max="2" width="21.28515625" bestFit="1" customWidth="1"/>
    <col min="3" max="3" width="9.7109375" customWidth="1"/>
    <col min="4" max="7" width="8.85546875" customWidth="1"/>
    <col min="8" max="8" width="14" bestFit="1" customWidth="1"/>
    <col min="9" max="9" width="5.140625" customWidth="1"/>
    <col min="10" max="10" width="5" customWidth="1"/>
    <col min="11" max="19" width="8.85546875" customWidth="1"/>
    <col min="20" max="16384" width="8.85546875" hidden="1"/>
  </cols>
  <sheetData>
    <row r="1" spans="1:18" x14ac:dyDescent="0.25">
      <c r="A1" s="9" t="s">
        <v>378</v>
      </c>
      <c r="J1" s="9" t="s">
        <v>361</v>
      </c>
    </row>
    <row r="2" spans="1:18" x14ac:dyDescent="0.25">
      <c r="B2" s="81" t="s">
        <v>49</v>
      </c>
      <c r="C2" s="81" t="s">
        <v>362</v>
      </c>
      <c r="E2" s="81" t="s">
        <v>333</v>
      </c>
      <c r="F2" s="81" t="s">
        <v>334</v>
      </c>
      <c r="G2" s="81" t="s">
        <v>335</v>
      </c>
      <c r="H2" s="81" t="s">
        <v>364</v>
      </c>
      <c r="I2" s="81"/>
      <c r="K2" s="9" t="s">
        <v>348</v>
      </c>
    </row>
    <row r="3" spans="1:18" x14ac:dyDescent="0.25">
      <c r="B3" t="s">
        <v>358</v>
      </c>
      <c r="C3" s="25" t="s">
        <v>363</v>
      </c>
      <c r="E3" s="76"/>
      <c r="F3" s="25">
        <f>Sensitivity!D7</f>
        <v>66.34615384615384</v>
      </c>
      <c r="G3" s="76"/>
      <c r="H3" s="76"/>
      <c r="K3" s="78"/>
      <c r="L3" s="78"/>
      <c r="M3" s="78"/>
      <c r="N3" s="78"/>
      <c r="O3" s="78"/>
      <c r="P3" s="78"/>
      <c r="Q3" s="78"/>
      <c r="R3" s="78"/>
    </row>
    <row r="4" spans="1:18" x14ac:dyDescent="0.25">
      <c r="B4" t="s">
        <v>359</v>
      </c>
      <c r="C4" s="25" t="s">
        <v>363</v>
      </c>
      <c r="E4" s="76"/>
      <c r="F4" s="25">
        <f>Sensitivity!D8</f>
        <v>71.15384615384616</v>
      </c>
      <c r="G4" s="76"/>
      <c r="H4" s="76"/>
      <c r="K4" s="78"/>
      <c r="L4" s="78"/>
      <c r="M4" s="78"/>
      <c r="N4" s="78"/>
      <c r="O4" s="78"/>
      <c r="P4" s="78"/>
      <c r="Q4" s="78"/>
      <c r="R4" s="78"/>
    </row>
    <row r="5" spans="1:18" x14ac:dyDescent="0.25">
      <c r="B5" t="s">
        <v>228</v>
      </c>
      <c r="C5" s="25" t="s">
        <v>363</v>
      </c>
      <c r="E5" s="76"/>
      <c r="F5" s="25">
        <f>Sensitivity!D9</f>
        <v>726</v>
      </c>
      <c r="G5" s="76"/>
      <c r="H5" s="76"/>
      <c r="K5" s="78"/>
      <c r="L5" s="78"/>
      <c r="M5" s="78"/>
      <c r="N5" s="78"/>
      <c r="O5" s="78"/>
      <c r="P5" s="78"/>
      <c r="Q5" s="78"/>
      <c r="R5" s="78"/>
    </row>
    <row r="6" spans="1:18" x14ac:dyDescent="0.25">
      <c r="B6" t="s">
        <v>254</v>
      </c>
      <c r="C6" s="25" t="s">
        <v>363</v>
      </c>
      <c r="E6" s="76"/>
      <c r="F6" s="25">
        <f>Sensitivity!D10</f>
        <v>851</v>
      </c>
      <c r="G6" s="76"/>
      <c r="H6" s="76"/>
      <c r="K6" s="78"/>
      <c r="L6" s="78"/>
      <c r="M6" s="78"/>
      <c r="N6" s="78"/>
      <c r="O6" s="78"/>
      <c r="P6" s="78"/>
      <c r="Q6" s="78"/>
      <c r="R6" s="78"/>
    </row>
    <row r="7" spans="1:18" x14ac:dyDescent="0.25">
      <c r="B7" t="s">
        <v>360</v>
      </c>
      <c r="C7" s="25" t="s">
        <v>363</v>
      </c>
      <c r="E7" s="76"/>
      <c r="F7" s="25">
        <f>Sensitivity!D11</f>
        <v>1787.5</v>
      </c>
      <c r="G7" s="76"/>
      <c r="H7" s="76"/>
      <c r="K7" s="78"/>
      <c r="L7" s="78"/>
      <c r="M7" s="78"/>
      <c r="N7" s="78"/>
      <c r="O7" s="78"/>
      <c r="P7" s="78"/>
      <c r="Q7" s="78"/>
      <c r="R7" s="78"/>
    </row>
    <row r="8" spans="1:18" x14ac:dyDescent="0.25">
      <c r="K8" s="78"/>
      <c r="L8" s="78"/>
      <c r="M8" s="78"/>
      <c r="N8" s="78"/>
      <c r="O8" s="78"/>
      <c r="P8" s="78"/>
      <c r="Q8" s="78"/>
      <c r="R8" s="78"/>
    </row>
    <row r="9" spans="1:18" x14ac:dyDescent="0.25">
      <c r="K9" s="78"/>
      <c r="L9" s="78"/>
      <c r="M9" s="78"/>
      <c r="N9" s="78"/>
      <c r="O9" s="78"/>
      <c r="P9" s="78"/>
      <c r="Q9" s="78"/>
      <c r="R9" s="78"/>
    </row>
    <row r="10" spans="1:18" x14ac:dyDescent="0.25">
      <c r="K10" s="78"/>
      <c r="L10" s="78"/>
      <c r="M10" s="78"/>
      <c r="N10" s="78"/>
      <c r="O10" s="78"/>
      <c r="P10" s="78"/>
      <c r="Q10" s="78"/>
      <c r="R10" s="78"/>
    </row>
    <row r="11" spans="1:18" x14ac:dyDescent="0.25">
      <c r="K11" s="78"/>
      <c r="L11" s="78"/>
      <c r="M11" s="78"/>
      <c r="N11" s="78"/>
      <c r="O11" s="78"/>
      <c r="P11" s="78"/>
      <c r="Q11" s="78"/>
      <c r="R11" s="78"/>
    </row>
    <row r="12" spans="1:18" x14ac:dyDescent="0.25">
      <c r="K12" s="78"/>
      <c r="L12" s="78"/>
      <c r="M12" s="78"/>
      <c r="N12" s="78"/>
      <c r="O12" s="78"/>
      <c r="P12" s="78"/>
      <c r="Q12" s="78"/>
      <c r="R12" s="78"/>
    </row>
    <row r="13" spans="1:18" x14ac:dyDescent="0.25">
      <c r="K13" s="78"/>
      <c r="L13" s="78"/>
      <c r="M13" s="78"/>
      <c r="N13" s="78"/>
      <c r="O13" s="78"/>
      <c r="P13" s="78"/>
      <c r="Q13" s="78"/>
      <c r="R13" s="78"/>
    </row>
    <row r="14" spans="1:18" x14ac:dyDescent="0.25">
      <c r="K14" s="78"/>
      <c r="L14" s="78"/>
      <c r="M14" s="78"/>
      <c r="N14" s="78"/>
      <c r="O14" s="78"/>
      <c r="P14" s="78"/>
      <c r="Q14" s="78"/>
      <c r="R14" s="78"/>
    </row>
    <row r="15" spans="1:18" x14ac:dyDescent="0.25"/>
    <row r="16" spans="1:18" x14ac:dyDescent="0.25">
      <c r="K16" s="9" t="s">
        <v>338</v>
      </c>
    </row>
    <row r="17" spans="11:18" x14ac:dyDescent="0.25">
      <c r="K17" s="78"/>
      <c r="L17" s="78"/>
      <c r="M17" s="78"/>
      <c r="N17" s="78"/>
      <c r="O17" s="78"/>
      <c r="P17" s="78"/>
      <c r="Q17" s="78"/>
      <c r="R17" s="78"/>
    </row>
    <row r="18" spans="11:18" x14ac:dyDescent="0.25">
      <c r="K18" s="78"/>
      <c r="L18" s="78"/>
      <c r="M18" s="78"/>
      <c r="N18" s="78"/>
      <c r="O18" s="78"/>
      <c r="P18" s="78"/>
      <c r="Q18" s="78"/>
      <c r="R18" s="78"/>
    </row>
    <row r="19" spans="11:18" x14ac:dyDescent="0.25">
      <c r="K19" s="78"/>
      <c r="L19" s="78"/>
      <c r="M19" s="78"/>
      <c r="N19" s="78"/>
      <c r="O19" s="78"/>
      <c r="P19" s="78"/>
      <c r="Q19" s="78"/>
      <c r="R19" s="78"/>
    </row>
    <row r="20" spans="11:18" x14ac:dyDescent="0.25">
      <c r="K20" s="78"/>
      <c r="L20" s="78"/>
      <c r="M20" s="78"/>
      <c r="N20" s="78"/>
      <c r="O20" s="78"/>
      <c r="P20" s="78"/>
      <c r="Q20" s="78"/>
      <c r="R20" s="78"/>
    </row>
    <row r="21" spans="11:18" x14ac:dyDescent="0.25">
      <c r="K21" s="78"/>
      <c r="L21" s="78"/>
      <c r="M21" s="78"/>
      <c r="N21" s="78"/>
      <c r="O21" s="78"/>
      <c r="P21" s="78"/>
      <c r="Q21" s="78"/>
      <c r="R21" s="78"/>
    </row>
    <row r="22" spans="11:18" x14ac:dyDescent="0.25">
      <c r="K22" s="78"/>
      <c r="L22" s="78"/>
      <c r="M22" s="78"/>
      <c r="N22" s="78"/>
      <c r="O22" s="78"/>
      <c r="P22" s="78"/>
      <c r="Q22" s="78"/>
      <c r="R22" s="78"/>
    </row>
    <row r="23" spans="11:18" x14ac:dyDescent="0.25">
      <c r="K23" s="78"/>
      <c r="L23" s="78"/>
      <c r="M23" s="78"/>
      <c r="N23" s="78"/>
      <c r="O23" s="78"/>
      <c r="P23" s="78"/>
      <c r="Q23" s="78"/>
      <c r="R23" s="78"/>
    </row>
    <row r="24" spans="11:18" x14ac:dyDescent="0.25">
      <c r="K24" s="78"/>
      <c r="L24" s="78"/>
      <c r="M24" s="78"/>
      <c r="N24" s="78"/>
      <c r="O24" s="78"/>
      <c r="P24" s="78"/>
      <c r="Q24" s="78"/>
      <c r="R24" s="78"/>
    </row>
    <row r="25" spans="11:18" x14ac:dyDescent="0.25">
      <c r="K25" s="78"/>
      <c r="L25" s="78"/>
      <c r="M25" s="78"/>
      <c r="N25" s="78"/>
      <c r="O25" s="78"/>
      <c r="P25" s="78"/>
      <c r="Q25" s="78"/>
      <c r="R25" s="78"/>
    </row>
    <row r="26" spans="11:18" x14ac:dyDescent="0.25">
      <c r="K26" s="78"/>
      <c r="L26" s="78"/>
      <c r="M26" s="78"/>
      <c r="N26" s="78"/>
      <c r="O26" s="78"/>
      <c r="P26" s="78"/>
      <c r="Q26" s="78"/>
      <c r="R26" s="78"/>
    </row>
    <row r="27" spans="11:18" x14ac:dyDescent="0.25">
      <c r="K27" s="78"/>
      <c r="L27" s="78"/>
      <c r="M27" s="78"/>
      <c r="N27" s="78"/>
      <c r="O27" s="78"/>
      <c r="P27" s="78"/>
      <c r="Q27" s="78"/>
      <c r="R27" s="78"/>
    </row>
    <row r="28" spans="11:18" x14ac:dyDescent="0.25">
      <c r="K28" s="78"/>
      <c r="L28" s="78"/>
      <c r="M28" s="78"/>
      <c r="N28" s="78"/>
      <c r="O28" s="78"/>
      <c r="P28" s="78"/>
      <c r="Q28" s="78"/>
      <c r="R28" s="78"/>
    </row>
    <row r="29" spans="11:18" x14ac:dyDescent="0.25"/>
    <row r="30" spans="11:18" x14ac:dyDescent="0.25">
      <c r="K30" s="9" t="s">
        <v>349</v>
      </c>
    </row>
    <row r="31" spans="11:18" x14ac:dyDescent="0.25">
      <c r="K31" s="78"/>
      <c r="L31" s="78"/>
      <c r="M31" s="78"/>
      <c r="N31" s="78"/>
      <c r="O31" s="78"/>
      <c r="P31" s="78"/>
      <c r="Q31" s="78"/>
      <c r="R31" s="78"/>
    </row>
    <row r="32" spans="11:18" x14ac:dyDescent="0.25">
      <c r="K32" s="78"/>
      <c r="L32" s="78"/>
      <c r="M32" s="78"/>
      <c r="N32" s="78"/>
      <c r="O32" s="78"/>
      <c r="P32" s="78"/>
      <c r="Q32" s="78"/>
      <c r="R32" s="78"/>
    </row>
    <row r="33" spans="11:18" x14ac:dyDescent="0.25">
      <c r="K33" s="78"/>
      <c r="L33" s="78"/>
      <c r="M33" s="78"/>
      <c r="N33" s="78"/>
      <c r="O33" s="78"/>
      <c r="P33" s="78"/>
      <c r="Q33" s="78"/>
      <c r="R33" s="78"/>
    </row>
    <row r="34" spans="11:18" x14ac:dyDescent="0.25">
      <c r="K34" s="78"/>
      <c r="L34" s="78"/>
      <c r="M34" s="78"/>
      <c r="N34" s="78"/>
      <c r="O34" s="78"/>
      <c r="P34" s="78"/>
      <c r="Q34" s="78"/>
      <c r="R34" s="78"/>
    </row>
    <row r="35" spans="11:18" x14ac:dyDescent="0.25">
      <c r="K35" s="78"/>
      <c r="L35" s="78"/>
      <c r="M35" s="78"/>
      <c r="N35" s="78"/>
      <c r="O35" s="78"/>
      <c r="P35" s="78"/>
      <c r="Q35" s="78"/>
      <c r="R35" s="78"/>
    </row>
    <row r="36" spans="11:18" x14ac:dyDescent="0.25">
      <c r="K36" s="78"/>
      <c r="L36" s="78"/>
      <c r="M36" s="78"/>
      <c r="N36" s="78"/>
      <c r="O36" s="78"/>
      <c r="P36" s="78"/>
      <c r="Q36" s="78"/>
      <c r="R36" s="78"/>
    </row>
    <row r="37" spans="11:18" x14ac:dyDescent="0.25">
      <c r="K37" s="78"/>
      <c r="L37" s="78"/>
      <c r="M37" s="78"/>
      <c r="N37" s="78"/>
      <c r="O37" s="78"/>
      <c r="P37" s="78"/>
      <c r="Q37" s="78"/>
      <c r="R37" s="78"/>
    </row>
    <row r="38" spans="11:18" x14ac:dyDescent="0.25">
      <c r="K38" s="78"/>
      <c r="L38" s="78"/>
      <c r="M38" s="78"/>
      <c r="N38" s="78"/>
      <c r="O38" s="78"/>
      <c r="P38" s="78"/>
      <c r="Q38" s="78"/>
      <c r="R38" s="78"/>
    </row>
    <row r="39" spans="11:18" x14ac:dyDescent="0.25">
      <c r="K39" s="78"/>
      <c r="L39" s="78"/>
      <c r="M39" s="78"/>
      <c r="N39" s="78"/>
      <c r="O39" s="78"/>
      <c r="P39" s="78"/>
      <c r="Q39" s="78"/>
      <c r="R39" s="78"/>
    </row>
    <row r="40" spans="11:18" x14ac:dyDescent="0.25">
      <c r="K40" s="78"/>
      <c r="L40" s="78"/>
      <c r="M40" s="78"/>
      <c r="N40" s="78"/>
      <c r="O40" s="78"/>
      <c r="P40" s="78"/>
      <c r="Q40" s="78"/>
      <c r="R40" s="78"/>
    </row>
    <row r="41" spans="11:18" x14ac:dyDescent="0.25">
      <c r="K41" s="78"/>
      <c r="L41" s="78"/>
      <c r="M41" s="78"/>
      <c r="N41" s="78"/>
      <c r="O41" s="78"/>
      <c r="P41" s="78"/>
      <c r="Q41" s="78"/>
      <c r="R41" s="78"/>
    </row>
    <row r="42" spans="11:18" x14ac:dyDescent="0.25">
      <c r="K42" s="78"/>
      <c r="L42" s="78"/>
      <c r="M42" s="78"/>
      <c r="N42" s="78"/>
      <c r="O42" s="78"/>
      <c r="P42" s="78"/>
      <c r="Q42" s="78"/>
      <c r="R42" s="78"/>
    </row>
    <row r="43" spans="11:18" x14ac:dyDescent="0.25"/>
    <row r="44" spans="11:18" x14ac:dyDescent="0.25">
      <c r="K44" s="9" t="s">
        <v>323</v>
      </c>
    </row>
    <row r="45" spans="11:18" x14ac:dyDescent="0.25">
      <c r="K45" s="78"/>
      <c r="L45" s="78"/>
      <c r="M45" s="78"/>
      <c r="N45" s="78"/>
      <c r="O45" s="78"/>
      <c r="P45" s="78"/>
      <c r="Q45" s="78"/>
      <c r="R45" s="78"/>
    </row>
    <row r="46" spans="11:18" x14ac:dyDescent="0.25">
      <c r="K46" s="78"/>
      <c r="L46" s="78"/>
      <c r="M46" s="78"/>
      <c r="N46" s="78"/>
      <c r="O46" s="78"/>
      <c r="P46" s="78"/>
      <c r="Q46" s="78"/>
      <c r="R46" s="78"/>
    </row>
    <row r="47" spans="11:18" x14ac:dyDescent="0.25">
      <c r="K47" s="78"/>
      <c r="L47" s="78"/>
      <c r="M47" s="78"/>
      <c r="N47" s="78"/>
      <c r="O47" s="78"/>
      <c r="P47" s="78"/>
      <c r="Q47" s="78"/>
      <c r="R47" s="78"/>
    </row>
    <row r="48" spans="11:18" x14ac:dyDescent="0.25">
      <c r="K48" s="78"/>
      <c r="L48" s="78"/>
      <c r="M48" s="78"/>
      <c r="N48" s="78"/>
      <c r="O48" s="78"/>
      <c r="P48" s="78"/>
      <c r="Q48" s="78"/>
      <c r="R48" s="78"/>
    </row>
    <row r="49" spans="11:18" x14ac:dyDescent="0.25">
      <c r="K49" s="78"/>
      <c r="L49" s="78"/>
      <c r="M49" s="78"/>
      <c r="N49" s="78"/>
      <c r="O49" s="78"/>
      <c r="P49" s="78"/>
      <c r="Q49" s="78"/>
      <c r="R49" s="78"/>
    </row>
    <row r="50" spans="11:18" x14ac:dyDescent="0.25">
      <c r="K50" s="78"/>
      <c r="L50" s="78"/>
      <c r="M50" s="78"/>
      <c r="N50" s="78"/>
      <c r="O50" s="78"/>
      <c r="P50" s="78"/>
      <c r="Q50" s="78"/>
      <c r="R50" s="78"/>
    </row>
    <row r="51" spans="11:18" x14ac:dyDescent="0.25">
      <c r="K51" s="78"/>
      <c r="L51" s="78"/>
      <c r="M51" s="78"/>
      <c r="N51" s="78"/>
      <c r="O51" s="78"/>
      <c r="P51" s="78"/>
      <c r="Q51" s="78"/>
      <c r="R51" s="78"/>
    </row>
    <row r="52" spans="11:18" x14ac:dyDescent="0.25">
      <c r="K52" s="78"/>
      <c r="L52" s="78"/>
      <c r="M52" s="78"/>
      <c r="N52" s="78"/>
      <c r="O52" s="78"/>
      <c r="P52" s="78"/>
      <c r="Q52" s="78"/>
      <c r="R52" s="78"/>
    </row>
    <row r="53" spans="11:18" x14ac:dyDescent="0.25">
      <c r="K53" s="78"/>
      <c r="L53" s="78"/>
      <c r="M53" s="78"/>
      <c r="N53" s="78"/>
      <c r="O53" s="78"/>
      <c r="P53" s="78"/>
      <c r="Q53" s="78"/>
      <c r="R53" s="78"/>
    </row>
    <row r="54" spans="11:18" x14ac:dyDescent="0.25">
      <c r="K54" s="78"/>
      <c r="L54" s="78"/>
      <c r="M54" s="78"/>
      <c r="N54" s="78"/>
      <c r="O54" s="78"/>
      <c r="P54" s="78"/>
      <c r="Q54" s="78"/>
      <c r="R54" s="78"/>
    </row>
    <row r="55" spans="11:18" x14ac:dyDescent="0.25">
      <c r="K55" s="78"/>
      <c r="L55" s="78"/>
      <c r="M55" s="78"/>
      <c r="N55" s="78"/>
      <c r="O55" s="78"/>
      <c r="P55" s="78"/>
      <c r="Q55" s="78"/>
      <c r="R55" s="78"/>
    </row>
    <row r="56" spans="11:18" x14ac:dyDescent="0.25">
      <c r="K56" s="78"/>
      <c r="L56" s="78"/>
      <c r="M56" s="78"/>
      <c r="N56" s="78"/>
      <c r="O56" s="78"/>
      <c r="P56" s="78"/>
      <c r="Q56" s="78"/>
      <c r="R56" s="78"/>
    </row>
    <row r="57" spans="11:18" x14ac:dyDescent="0.25"/>
    <row r="58" spans="11:18" x14ac:dyDescent="0.25">
      <c r="K58" s="9" t="s">
        <v>302</v>
      </c>
    </row>
    <row r="59" spans="11:18" x14ac:dyDescent="0.25">
      <c r="K59" s="78"/>
      <c r="L59" s="78"/>
      <c r="M59" s="78"/>
      <c r="N59" s="78"/>
      <c r="O59" s="78"/>
      <c r="P59" s="78"/>
      <c r="Q59" s="78"/>
      <c r="R59" s="78"/>
    </row>
    <row r="60" spans="11:18" x14ac:dyDescent="0.25">
      <c r="K60" s="78"/>
      <c r="L60" s="78"/>
      <c r="M60" s="78"/>
      <c r="N60" s="78"/>
      <c r="O60" s="78"/>
      <c r="P60" s="78"/>
      <c r="Q60" s="78"/>
      <c r="R60" s="78"/>
    </row>
    <row r="61" spans="11:18" x14ac:dyDescent="0.25">
      <c r="K61" s="78"/>
      <c r="L61" s="78"/>
      <c r="M61" s="78"/>
      <c r="N61" s="78"/>
      <c r="O61" s="78"/>
      <c r="P61" s="78"/>
      <c r="Q61" s="78"/>
      <c r="R61" s="78"/>
    </row>
    <row r="62" spans="11:18" x14ac:dyDescent="0.25">
      <c r="K62" s="78"/>
      <c r="L62" s="78"/>
      <c r="M62" s="78"/>
      <c r="N62" s="78"/>
      <c r="O62" s="78"/>
      <c r="P62" s="78"/>
      <c r="Q62" s="78"/>
      <c r="R62" s="78"/>
    </row>
    <row r="63" spans="11:18" x14ac:dyDescent="0.25">
      <c r="K63" s="78"/>
      <c r="L63" s="78"/>
      <c r="M63" s="78"/>
      <c r="N63" s="78"/>
      <c r="O63" s="78"/>
      <c r="P63" s="78"/>
      <c r="Q63" s="78"/>
      <c r="R63" s="78"/>
    </row>
    <row r="64" spans="11:18" x14ac:dyDescent="0.25">
      <c r="K64" s="78"/>
      <c r="L64" s="78"/>
      <c r="M64" s="78"/>
      <c r="N64" s="78"/>
      <c r="O64" s="78"/>
      <c r="P64" s="78"/>
      <c r="Q64" s="78"/>
      <c r="R64" s="78"/>
    </row>
    <row r="65" spans="11:18" x14ac:dyDescent="0.25">
      <c r="K65" s="78"/>
      <c r="L65" s="78"/>
      <c r="M65" s="78"/>
      <c r="N65" s="78"/>
      <c r="O65" s="78"/>
      <c r="P65" s="78"/>
      <c r="Q65" s="78"/>
      <c r="R65" s="78"/>
    </row>
    <row r="66" spans="11:18" x14ac:dyDescent="0.25">
      <c r="K66" s="78"/>
      <c r="L66" s="78"/>
      <c r="M66" s="78"/>
      <c r="N66" s="78"/>
      <c r="O66" s="78"/>
      <c r="P66" s="78"/>
      <c r="Q66" s="78"/>
      <c r="R66" s="78"/>
    </row>
    <row r="67" spans="11:18" x14ac:dyDescent="0.25">
      <c r="K67" s="78"/>
      <c r="L67" s="78"/>
      <c r="M67" s="78"/>
      <c r="N67" s="78"/>
      <c r="O67" s="78"/>
      <c r="P67" s="78"/>
      <c r="Q67" s="78"/>
      <c r="R67" s="78"/>
    </row>
    <row r="68" spans="11:18" x14ac:dyDescent="0.25">
      <c r="K68" s="78"/>
      <c r="L68" s="78"/>
      <c r="M68" s="78"/>
      <c r="N68" s="78"/>
      <c r="O68" s="78"/>
      <c r="P68" s="78"/>
      <c r="Q68" s="78"/>
      <c r="R68" s="78"/>
    </row>
    <row r="69" spans="11:18" x14ac:dyDescent="0.25">
      <c r="K69" s="78"/>
      <c r="L69" s="78"/>
      <c r="M69" s="78"/>
      <c r="N69" s="78"/>
      <c r="O69" s="78"/>
      <c r="P69" s="78"/>
      <c r="Q69" s="78"/>
      <c r="R69" s="78"/>
    </row>
    <row r="70" spans="11:18" x14ac:dyDescent="0.25">
      <c r="K70" s="78"/>
      <c r="L70" s="78"/>
      <c r="M70" s="78"/>
      <c r="N70" s="78"/>
      <c r="O70" s="78"/>
      <c r="P70" s="78"/>
      <c r="Q70" s="78"/>
      <c r="R70" s="78"/>
    </row>
    <row r="71" spans="11:18" x14ac:dyDescent="0.25"/>
  </sheetData>
  <dataValidations count="1">
    <dataValidation type="list" allowBlank="1" showInputMessage="1" showErrorMessage="1" sqref="C3:C7" xr:uid="{CEC10C70-4B29-4154-BF49-6D9D44FF38F1}">
      <formula1>"Uniform,Triangular,Normal,Fixed"</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D6A202-3CD0-4C04-ACFC-D4410C99CE79}">
  <sheetPr codeName="Sheet21">
    <tabColor rgb="FFB3FF03"/>
  </sheetPr>
  <dimension ref="B3:AB162"/>
  <sheetViews>
    <sheetView showGridLines="0" showRowColHeaders="0" topLeftCell="A10" workbookViewId="0">
      <selection activeCell="B5" sqref="B5"/>
    </sheetView>
  </sheetViews>
  <sheetFormatPr defaultRowHeight="15" x14ac:dyDescent="0.25"/>
  <cols>
    <col min="1" max="1" width="6" customWidth="1"/>
    <col min="5" max="5" width="8" bestFit="1" customWidth="1"/>
    <col min="6" max="6" width="8.7109375" bestFit="1" customWidth="1"/>
    <col min="7" max="7" width="11.5703125" bestFit="1" customWidth="1"/>
    <col min="8" max="8" width="14.28515625" bestFit="1" customWidth="1"/>
    <col min="9" max="9" width="13.85546875" bestFit="1" customWidth="1"/>
    <col min="10" max="10" width="15" bestFit="1" customWidth="1"/>
    <col min="11" max="11" width="16.28515625" bestFit="1" customWidth="1"/>
    <col min="12" max="12" width="11.42578125" bestFit="1" customWidth="1"/>
    <col min="13" max="13" width="10.7109375" bestFit="1" customWidth="1"/>
    <col min="14" max="14" width="13.28515625" bestFit="1" customWidth="1"/>
    <col min="15" max="15" width="17.7109375" bestFit="1" customWidth="1"/>
    <col min="16" max="16" width="19.140625" bestFit="1" customWidth="1"/>
    <col min="17" max="17" width="13.85546875" bestFit="1" customWidth="1"/>
    <col min="18" max="18" width="16.7109375" bestFit="1" customWidth="1"/>
    <col min="19" max="19" width="23.7109375" bestFit="1" customWidth="1"/>
    <col min="20" max="20" width="21.85546875" bestFit="1" customWidth="1"/>
    <col min="21" max="21" width="27.28515625" bestFit="1" customWidth="1"/>
    <col min="22" max="22" width="11.85546875" bestFit="1" customWidth="1"/>
    <col min="23" max="23" width="10.5703125" bestFit="1" customWidth="1"/>
    <col min="24" max="24" width="15" bestFit="1" customWidth="1"/>
    <col min="25" max="25" width="11.42578125" customWidth="1"/>
    <col min="26" max="26" width="18.5703125" bestFit="1" customWidth="1"/>
    <col min="27" max="27" width="18.140625" bestFit="1" customWidth="1"/>
    <col min="28" max="28" width="15.5703125" bestFit="1" customWidth="1"/>
  </cols>
  <sheetData>
    <row r="3" spans="2:28" x14ac:dyDescent="0.25">
      <c r="B3" s="9" t="s">
        <v>305</v>
      </c>
    </row>
    <row r="4" spans="2:28" x14ac:dyDescent="0.25">
      <c r="B4" s="67" t="s">
        <v>0</v>
      </c>
      <c r="C4" s="67" t="s">
        <v>277</v>
      </c>
      <c r="D4" s="67" t="s">
        <v>278</v>
      </c>
      <c r="E4" s="67" t="s">
        <v>279</v>
      </c>
      <c r="F4" s="67" t="s">
        <v>309</v>
      </c>
      <c r="G4" s="67" t="s">
        <v>310</v>
      </c>
      <c r="H4" s="67" t="s">
        <v>311</v>
      </c>
      <c r="I4" s="67" t="s">
        <v>312</v>
      </c>
      <c r="J4" s="67" t="s">
        <v>296</v>
      </c>
      <c r="K4" s="67" t="s">
        <v>297</v>
      </c>
      <c r="L4" s="67" t="s">
        <v>281</v>
      </c>
      <c r="M4" s="67" t="s">
        <v>313</v>
      </c>
      <c r="N4" s="67" t="s">
        <v>314</v>
      </c>
      <c r="O4" s="67" t="s">
        <v>315</v>
      </c>
      <c r="P4" s="67" t="s">
        <v>316</v>
      </c>
      <c r="Q4" s="67" t="s">
        <v>230</v>
      </c>
      <c r="R4" s="67" t="s">
        <v>318</v>
      </c>
      <c r="S4" s="67" t="s">
        <v>317</v>
      </c>
      <c r="T4" s="67" t="s">
        <v>319</v>
      </c>
      <c r="U4" s="67" t="s">
        <v>320</v>
      </c>
      <c r="V4" s="67" t="s">
        <v>298</v>
      </c>
      <c r="W4" s="67" t="s">
        <v>299</v>
      </c>
      <c r="X4" s="67" t="s">
        <v>301</v>
      </c>
      <c r="Y4" s="67" t="s">
        <v>241</v>
      </c>
      <c r="Z4" s="67" t="s">
        <v>321</v>
      </c>
      <c r="AA4" s="67" t="s">
        <v>322</v>
      </c>
      <c r="AB4" s="67" t="s">
        <v>323</v>
      </c>
    </row>
    <row r="5" spans="2:28" x14ac:dyDescent="0.25">
      <c r="B5" s="20"/>
      <c r="C5" s="20"/>
      <c r="D5" s="20"/>
      <c r="E5" s="20"/>
      <c r="F5" s="20"/>
      <c r="G5" s="20"/>
      <c r="H5" s="20"/>
      <c r="I5" s="20"/>
      <c r="J5" s="20"/>
      <c r="K5" s="20"/>
      <c r="L5" s="20"/>
      <c r="M5" s="20"/>
      <c r="N5" s="20"/>
      <c r="O5" s="20"/>
      <c r="P5" s="20"/>
      <c r="Q5" s="20"/>
      <c r="R5" s="20"/>
      <c r="S5" s="20"/>
      <c r="T5" s="20"/>
      <c r="U5" s="20"/>
      <c r="V5" s="20"/>
      <c r="W5" s="20"/>
      <c r="X5" s="20"/>
      <c r="Y5" s="20"/>
      <c r="Z5" s="20"/>
      <c r="AA5" s="20"/>
      <c r="AB5" s="20"/>
    </row>
    <row r="6" spans="2:28" x14ac:dyDescent="0.25">
      <c r="B6" s="20"/>
      <c r="C6" s="20"/>
      <c r="D6" s="20"/>
      <c r="E6" s="20"/>
      <c r="F6" s="20"/>
      <c r="G6" s="20"/>
      <c r="H6" s="20"/>
      <c r="I6" s="20"/>
      <c r="J6" s="20"/>
      <c r="K6" s="20"/>
      <c r="L6" s="20"/>
      <c r="M6" s="20"/>
      <c r="N6" s="20"/>
      <c r="O6" s="20"/>
      <c r="P6" s="20"/>
      <c r="Q6" s="20"/>
      <c r="R6" s="20"/>
      <c r="S6" s="20"/>
      <c r="T6" s="20"/>
      <c r="U6" s="20"/>
      <c r="V6" s="20"/>
      <c r="W6" s="20"/>
      <c r="X6" s="20"/>
      <c r="Y6" s="20"/>
      <c r="Z6" s="20"/>
      <c r="AA6" s="20"/>
      <c r="AB6" s="20"/>
    </row>
    <row r="7" spans="2:28" x14ac:dyDescent="0.25">
      <c r="B7" s="20"/>
      <c r="C7" s="20"/>
      <c r="D7" s="20"/>
      <c r="E7" s="20"/>
      <c r="F7" s="20"/>
      <c r="G7" s="20"/>
      <c r="H7" s="20"/>
      <c r="I7" s="20"/>
      <c r="J7" s="20"/>
      <c r="K7" s="20"/>
      <c r="L7" s="20"/>
      <c r="M7" s="20"/>
      <c r="N7" s="20"/>
      <c r="O7" s="20"/>
      <c r="P7" s="20"/>
      <c r="Q7" s="20"/>
      <c r="R7" s="20"/>
      <c r="S7" s="20"/>
      <c r="T7" s="20"/>
      <c r="U7" s="20"/>
      <c r="V7" s="20"/>
      <c r="W7" s="20"/>
      <c r="X7" s="20"/>
      <c r="Y7" s="20"/>
      <c r="Z7" s="20"/>
      <c r="AA7" s="20"/>
      <c r="AB7" s="20"/>
    </row>
    <row r="8" spans="2:28" x14ac:dyDescent="0.25">
      <c r="B8" s="20"/>
      <c r="C8" s="20"/>
      <c r="D8" s="20"/>
      <c r="E8" s="20"/>
      <c r="F8" s="20"/>
      <c r="G8" s="20"/>
      <c r="H8" s="20"/>
      <c r="I8" s="20"/>
      <c r="J8" s="20"/>
      <c r="K8" s="20"/>
      <c r="L8" s="20"/>
      <c r="M8" s="20"/>
      <c r="N8" s="20"/>
      <c r="O8" s="20"/>
      <c r="P8" s="20"/>
      <c r="Q8" s="20"/>
      <c r="R8" s="20"/>
      <c r="S8" s="20"/>
      <c r="T8" s="20"/>
      <c r="U8" s="20"/>
      <c r="V8" s="20"/>
      <c r="W8" s="20"/>
      <c r="X8" s="20"/>
      <c r="Y8" s="20"/>
      <c r="Z8" s="20"/>
      <c r="AA8" s="20"/>
      <c r="AB8" s="20"/>
    </row>
    <row r="9" spans="2:28" x14ac:dyDescent="0.25">
      <c r="B9" s="20"/>
      <c r="C9" s="20"/>
      <c r="D9" s="20"/>
      <c r="E9" s="20"/>
      <c r="F9" s="20"/>
      <c r="G9" s="20"/>
      <c r="H9" s="20"/>
      <c r="I9" s="20"/>
      <c r="J9" s="20"/>
      <c r="K9" s="20"/>
      <c r="L9" s="20"/>
      <c r="M9" s="20"/>
      <c r="N9" s="20"/>
      <c r="O9" s="20"/>
      <c r="P9" s="20"/>
      <c r="Q9" s="20"/>
      <c r="R9" s="20"/>
      <c r="S9" s="20"/>
      <c r="T9" s="20"/>
      <c r="U9" s="20"/>
      <c r="V9" s="20"/>
      <c r="W9" s="20"/>
      <c r="X9" s="20"/>
      <c r="Y9" s="20"/>
      <c r="Z9" s="20"/>
      <c r="AA9" s="20"/>
      <c r="AB9" s="20"/>
    </row>
    <row r="10" spans="2:28" x14ac:dyDescent="0.25">
      <c r="B10" s="20"/>
      <c r="C10" s="20"/>
      <c r="D10" s="20"/>
      <c r="E10" s="20"/>
      <c r="F10" s="20"/>
      <c r="G10" s="20"/>
      <c r="H10" s="20"/>
      <c r="I10" s="20"/>
      <c r="J10" s="20"/>
      <c r="K10" s="20"/>
      <c r="L10" s="20"/>
      <c r="M10" s="20"/>
      <c r="N10" s="20"/>
      <c r="O10" s="20"/>
      <c r="P10" s="20"/>
      <c r="Q10" s="20"/>
      <c r="R10" s="20"/>
      <c r="S10" s="20"/>
      <c r="T10" s="20"/>
      <c r="U10" s="20"/>
      <c r="V10" s="20"/>
      <c r="W10" s="20"/>
      <c r="X10" s="20"/>
      <c r="Y10" s="20"/>
      <c r="Z10" s="20"/>
      <c r="AA10" s="20"/>
      <c r="AB10" s="20"/>
    </row>
    <row r="11" spans="2:28" x14ac:dyDescent="0.25">
      <c r="B11" s="20"/>
      <c r="C11" s="20"/>
      <c r="D11" s="20"/>
      <c r="E11" s="20"/>
      <c r="F11" s="20"/>
      <c r="G11" s="20"/>
      <c r="H11" s="20"/>
      <c r="I11" s="20"/>
      <c r="J11" s="20"/>
      <c r="K11" s="20"/>
      <c r="L11" s="20"/>
      <c r="M11" s="20"/>
      <c r="N11" s="20"/>
      <c r="O11" s="20"/>
      <c r="P11" s="20"/>
      <c r="Q11" s="20"/>
      <c r="R11" s="20"/>
      <c r="S11" s="20"/>
      <c r="T11" s="20"/>
      <c r="U11" s="20"/>
      <c r="V11" s="20"/>
      <c r="W11" s="20"/>
      <c r="X11" s="20"/>
      <c r="Y11" s="20"/>
      <c r="Z11" s="20"/>
      <c r="AA11" s="20"/>
      <c r="AB11" s="20"/>
    </row>
    <row r="12" spans="2:28" x14ac:dyDescent="0.25">
      <c r="B12" s="20"/>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row>
    <row r="13" spans="2:28" x14ac:dyDescent="0.25">
      <c r="B13" s="20"/>
      <c r="C13" s="20"/>
      <c r="D13" s="20"/>
      <c r="E13" s="20"/>
      <c r="F13" s="20"/>
      <c r="G13" s="20"/>
      <c r="H13" s="20"/>
      <c r="I13" s="20"/>
      <c r="J13" s="20"/>
      <c r="K13" s="20"/>
      <c r="L13" s="20"/>
      <c r="M13" s="20"/>
      <c r="N13" s="20"/>
      <c r="O13" s="20"/>
      <c r="P13" s="20"/>
      <c r="Q13" s="20"/>
      <c r="R13" s="20"/>
      <c r="S13" s="20"/>
      <c r="T13" s="20"/>
      <c r="U13" s="20"/>
      <c r="V13" s="20"/>
      <c r="W13" s="20"/>
      <c r="X13" s="20"/>
      <c r="Y13" s="20"/>
      <c r="Z13" s="20"/>
      <c r="AA13" s="20"/>
      <c r="AB13" s="20"/>
    </row>
    <row r="14" spans="2:28" x14ac:dyDescent="0.25">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row>
    <row r="15" spans="2:28" x14ac:dyDescent="0.25">
      <c r="B15" s="20"/>
      <c r="C15" s="20"/>
      <c r="D15" s="20"/>
      <c r="E15" s="20"/>
      <c r="F15" s="20"/>
      <c r="G15" s="20"/>
      <c r="H15" s="20"/>
      <c r="I15" s="20"/>
      <c r="J15" s="20"/>
      <c r="K15" s="20"/>
      <c r="L15" s="20"/>
      <c r="M15" s="20"/>
      <c r="N15" s="20"/>
      <c r="O15" s="20"/>
      <c r="P15" s="20"/>
      <c r="Q15" s="20"/>
      <c r="R15" s="20"/>
      <c r="S15" s="20"/>
      <c r="T15" s="20"/>
      <c r="U15" s="20"/>
      <c r="V15" s="20"/>
      <c r="W15" s="20"/>
      <c r="X15" s="20"/>
      <c r="Y15" s="20"/>
      <c r="Z15" s="20"/>
      <c r="AA15" s="20"/>
      <c r="AB15" s="20"/>
    </row>
    <row r="16" spans="2:28" x14ac:dyDescent="0.25">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row>
    <row r="17" spans="2:28" x14ac:dyDescent="0.25">
      <c r="B17" s="20"/>
      <c r="C17" s="20"/>
      <c r="D17" s="20"/>
      <c r="E17" s="20"/>
      <c r="F17" s="20"/>
      <c r="G17" s="20"/>
      <c r="H17" s="20"/>
      <c r="I17" s="20"/>
      <c r="J17" s="20"/>
      <c r="K17" s="20"/>
      <c r="L17" s="20"/>
      <c r="M17" s="20"/>
      <c r="N17" s="20"/>
      <c r="O17" s="20"/>
      <c r="P17" s="20"/>
      <c r="Q17" s="20"/>
      <c r="R17" s="20"/>
      <c r="S17" s="20"/>
      <c r="T17" s="20"/>
      <c r="U17" s="20"/>
      <c r="V17" s="20"/>
      <c r="W17" s="20"/>
      <c r="X17" s="20"/>
      <c r="Y17" s="20"/>
      <c r="Z17" s="20"/>
      <c r="AA17" s="20"/>
      <c r="AB17" s="20"/>
    </row>
    <row r="18" spans="2:28" x14ac:dyDescent="0.25">
      <c r="B18" s="20"/>
      <c r="C18" s="20"/>
      <c r="D18" s="20"/>
      <c r="E18" s="20"/>
      <c r="F18" s="20"/>
      <c r="G18" s="20"/>
      <c r="H18" s="20"/>
      <c r="I18" s="20"/>
      <c r="J18" s="20"/>
      <c r="K18" s="20"/>
      <c r="L18" s="20"/>
      <c r="M18" s="20"/>
      <c r="N18" s="20"/>
      <c r="O18" s="20"/>
      <c r="P18" s="20"/>
      <c r="Q18" s="20"/>
      <c r="R18" s="20"/>
      <c r="S18" s="20"/>
      <c r="T18" s="20"/>
      <c r="U18" s="20"/>
      <c r="V18" s="20"/>
      <c r="W18" s="20"/>
      <c r="X18" s="20"/>
      <c r="Y18" s="20"/>
      <c r="Z18" s="20"/>
      <c r="AA18" s="20"/>
      <c r="AB18" s="20"/>
    </row>
    <row r="19" spans="2:28" x14ac:dyDescent="0.25">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row>
    <row r="20" spans="2:28" x14ac:dyDescent="0.25">
      <c r="B20" s="20"/>
      <c r="C20" s="20"/>
      <c r="D20" s="20"/>
      <c r="E20" s="20"/>
      <c r="F20" s="20"/>
      <c r="G20" s="20"/>
      <c r="H20" s="20"/>
      <c r="I20" s="20"/>
      <c r="J20" s="20"/>
      <c r="K20" s="20"/>
      <c r="L20" s="20"/>
      <c r="M20" s="20"/>
      <c r="N20" s="20"/>
      <c r="O20" s="20"/>
      <c r="P20" s="20"/>
      <c r="Q20" s="20"/>
      <c r="R20" s="20"/>
      <c r="S20" s="20"/>
      <c r="T20" s="20"/>
      <c r="U20" s="20"/>
      <c r="V20" s="20"/>
      <c r="W20" s="20"/>
      <c r="X20" s="20"/>
      <c r="Y20" s="20"/>
      <c r="Z20" s="20"/>
      <c r="AA20" s="20"/>
      <c r="AB20" s="20"/>
    </row>
    <row r="21" spans="2:28" x14ac:dyDescent="0.25">
      <c r="B21" s="20"/>
      <c r="C21" s="20"/>
      <c r="D21" s="20"/>
      <c r="E21" s="20"/>
      <c r="F21" s="20"/>
      <c r="G21" s="20"/>
      <c r="H21" s="20"/>
      <c r="I21" s="20"/>
      <c r="J21" s="20"/>
      <c r="K21" s="20"/>
      <c r="L21" s="20"/>
      <c r="M21" s="20"/>
      <c r="N21" s="20"/>
      <c r="O21" s="20"/>
      <c r="P21" s="20"/>
      <c r="Q21" s="20"/>
      <c r="R21" s="20"/>
      <c r="S21" s="20"/>
      <c r="T21" s="20"/>
      <c r="U21" s="20"/>
      <c r="V21" s="20"/>
      <c r="W21" s="20"/>
      <c r="X21" s="20"/>
      <c r="Y21" s="20"/>
      <c r="Z21" s="20"/>
      <c r="AA21" s="20"/>
      <c r="AB21" s="20"/>
    </row>
    <row r="22" spans="2:28" x14ac:dyDescent="0.25">
      <c r="B22" s="20"/>
      <c r="C22" s="20"/>
      <c r="D22" s="20"/>
      <c r="E22" s="20"/>
      <c r="F22" s="20"/>
      <c r="G22" s="20"/>
      <c r="H22" s="20"/>
      <c r="I22" s="20"/>
      <c r="J22" s="20"/>
      <c r="K22" s="20"/>
      <c r="L22" s="20"/>
      <c r="M22" s="20"/>
      <c r="N22" s="20"/>
      <c r="O22" s="20"/>
      <c r="P22" s="20"/>
      <c r="Q22" s="20"/>
      <c r="R22" s="20"/>
      <c r="S22" s="20"/>
      <c r="T22" s="20"/>
      <c r="U22" s="20"/>
      <c r="V22" s="20"/>
      <c r="W22" s="20"/>
      <c r="X22" s="20"/>
      <c r="Y22" s="20"/>
      <c r="Z22" s="20"/>
      <c r="AA22" s="20"/>
      <c r="AB22" s="20"/>
    </row>
    <row r="23" spans="2:28" x14ac:dyDescent="0.25">
      <c r="B23" s="20"/>
      <c r="C23" s="20"/>
      <c r="D23" s="20"/>
      <c r="E23" s="20"/>
      <c r="F23" s="20"/>
      <c r="G23" s="20"/>
      <c r="H23" s="20"/>
      <c r="I23" s="20"/>
      <c r="J23" s="20"/>
      <c r="K23" s="20"/>
      <c r="L23" s="20"/>
      <c r="M23" s="20"/>
      <c r="N23" s="20"/>
      <c r="O23" s="20"/>
      <c r="P23" s="20"/>
      <c r="Q23" s="20"/>
      <c r="R23" s="20"/>
      <c r="S23" s="20"/>
      <c r="T23" s="20"/>
      <c r="U23" s="20"/>
      <c r="V23" s="20"/>
      <c r="W23" s="20"/>
      <c r="X23" s="20"/>
      <c r="Y23" s="20"/>
      <c r="Z23" s="20"/>
      <c r="AA23" s="20"/>
      <c r="AB23" s="20"/>
    </row>
    <row r="24" spans="2:28" x14ac:dyDescent="0.25">
      <c r="B24" s="20"/>
      <c r="C24" s="20"/>
      <c r="D24" s="20"/>
      <c r="E24" s="20"/>
      <c r="F24" s="20"/>
      <c r="G24" s="20"/>
      <c r="H24" s="20"/>
      <c r="I24" s="20"/>
      <c r="J24" s="20"/>
      <c r="K24" s="20"/>
      <c r="L24" s="20"/>
      <c r="M24" s="20"/>
      <c r="N24" s="20"/>
      <c r="O24" s="20"/>
      <c r="P24" s="20"/>
      <c r="Q24" s="20"/>
      <c r="R24" s="20"/>
      <c r="S24" s="20"/>
      <c r="T24" s="20"/>
      <c r="U24" s="20"/>
      <c r="V24" s="20"/>
      <c r="W24" s="20"/>
      <c r="X24" s="20"/>
      <c r="Y24" s="20"/>
      <c r="Z24" s="20"/>
      <c r="AA24" s="20"/>
      <c r="AB24" s="20"/>
    </row>
    <row r="25" spans="2:28" x14ac:dyDescent="0.25">
      <c r="B25" s="20"/>
      <c r="C25" s="20"/>
      <c r="D25" s="20"/>
      <c r="E25" s="20"/>
      <c r="F25" s="20"/>
      <c r="G25" s="20"/>
      <c r="H25" s="20"/>
      <c r="I25" s="20"/>
      <c r="J25" s="20"/>
      <c r="K25" s="20"/>
      <c r="L25" s="20"/>
      <c r="M25" s="20"/>
      <c r="N25" s="20"/>
      <c r="O25" s="20"/>
      <c r="P25" s="20"/>
      <c r="Q25" s="20"/>
      <c r="R25" s="20"/>
      <c r="S25" s="20"/>
      <c r="T25" s="20"/>
      <c r="U25" s="20"/>
      <c r="V25" s="20"/>
      <c r="W25" s="20"/>
      <c r="X25" s="20"/>
      <c r="Y25" s="20"/>
      <c r="Z25" s="20"/>
      <c r="AA25" s="20"/>
      <c r="AB25" s="20"/>
    </row>
    <row r="26" spans="2:28" x14ac:dyDescent="0.25">
      <c r="B26" s="20"/>
      <c r="C26" s="20"/>
      <c r="D26" s="20"/>
      <c r="E26" s="20"/>
      <c r="F26" s="20"/>
      <c r="G26" s="20"/>
      <c r="H26" s="20"/>
      <c r="I26" s="20"/>
      <c r="J26" s="20"/>
      <c r="K26" s="20"/>
      <c r="L26" s="20"/>
      <c r="M26" s="20"/>
      <c r="N26" s="20"/>
      <c r="O26" s="20"/>
      <c r="P26" s="20"/>
      <c r="Q26" s="20"/>
      <c r="R26" s="20"/>
      <c r="S26" s="20"/>
      <c r="T26" s="20"/>
      <c r="U26" s="20"/>
      <c r="V26" s="20"/>
      <c r="W26" s="20"/>
      <c r="X26" s="20"/>
      <c r="Y26" s="20"/>
      <c r="Z26" s="20"/>
      <c r="AA26" s="20"/>
      <c r="AB26" s="20"/>
    </row>
    <row r="27" spans="2:28" x14ac:dyDescent="0.25">
      <c r="B27" s="20"/>
      <c r="C27" s="20"/>
      <c r="D27" s="20"/>
      <c r="E27" s="20"/>
      <c r="F27" s="20"/>
      <c r="G27" s="20"/>
      <c r="H27" s="20"/>
      <c r="I27" s="20"/>
      <c r="J27" s="20"/>
      <c r="K27" s="20"/>
      <c r="L27" s="20"/>
      <c r="M27" s="20"/>
      <c r="N27" s="20"/>
      <c r="O27" s="20"/>
      <c r="P27" s="20"/>
      <c r="Q27" s="20"/>
      <c r="R27" s="20"/>
      <c r="S27" s="20"/>
      <c r="T27" s="20"/>
      <c r="U27" s="20"/>
      <c r="V27" s="20"/>
      <c r="W27" s="20"/>
      <c r="X27" s="20"/>
      <c r="Y27" s="20"/>
      <c r="Z27" s="20"/>
      <c r="AA27" s="20"/>
      <c r="AB27" s="20"/>
    </row>
    <row r="28" spans="2:28" x14ac:dyDescent="0.25">
      <c r="B28" s="20"/>
      <c r="C28" s="20"/>
      <c r="D28" s="20"/>
      <c r="E28" s="20"/>
      <c r="F28" s="20"/>
      <c r="G28" s="20"/>
      <c r="H28" s="20"/>
      <c r="I28" s="20"/>
      <c r="J28" s="20"/>
      <c r="K28" s="20"/>
      <c r="L28" s="20"/>
      <c r="M28" s="20"/>
      <c r="N28" s="20"/>
      <c r="O28" s="20"/>
      <c r="P28" s="20"/>
      <c r="Q28" s="20"/>
      <c r="R28" s="20"/>
      <c r="S28" s="20"/>
      <c r="T28" s="20"/>
      <c r="U28" s="20"/>
      <c r="V28" s="20"/>
      <c r="W28" s="20"/>
      <c r="X28" s="20"/>
      <c r="Y28" s="20"/>
      <c r="Z28" s="20"/>
      <c r="AA28" s="20"/>
      <c r="AB28" s="20"/>
    </row>
    <row r="29" spans="2:28" x14ac:dyDescent="0.25">
      <c r="B29" s="20"/>
      <c r="C29" s="20"/>
      <c r="D29" s="20"/>
      <c r="E29" s="20"/>
      <c r="F29" s="20"/>
      <c r="G29" s="20"/>
      <c r="H29" s="20"/>
      <c r="I29" s="20"/>
      <c r="J29" s="20"/>
      <c r="K29" s="20"/>
      <c r="L29" s="20"/>
      <c r="M29" s="20"/>
      <c r="N29" s="20"/>
      <c r="O29" s="20"/>
      <c r="P29" s="20"/>
      <c r="Q29" s="20"/>
      <c r="R29" s="20"/>
      <c r="S29" s="20"/>
      <c r="T29" s="20"/>
      <c r="U29" s="20"/>
      <c r="V29" s="20"/>
      <c r="W29" s="20"/>
      <c r="X29" s="20"/>
      <c r="Y29" s="20"/>
      <c r="Z29" s="20"/>
      <c r="AA29" s="20"/>
      <c r="AB29" s="20"/>
    </row>
    <row r="30" spans="2:28" x14ac:dyDescent="0.25">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row>
    <row r="31" spans="2:28" x14ac:dyDescent="0.25">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row>
    <row r="32" spans="2:28" x14ac:dyDescent="0.25">
      <c r="B32" s="20"/>
      <c r="C32" s="20"/>
      <c r="D32" s="20"/>
      <c r="E32" s="20"/>
      <c r="F32" s="20"/>
      <c r="G32" s="20"/>
      <c r="H32" s="20"/>
      <c r="I32" s="20"/>
      <c r="J32" s="20"/>
      <c r="K32" s="20"/>
      <c r="L32" s="20"/>
      <c r="M32" s="20"/>
      <c r="N32" s="20"/>
      <c r="O32" s="20"/>
      <c r="P32" s="20"/>
      <c r="Q32" s="20"/>
      <c r="R32" s="20"/>
      <c r="S32" s="20"/>
      <c r="T32" s="20"/>
      <c r="U32" s="20"/>
      <c r="V32" s="20"/>
      <c r="W32" s="20"/>
      <c r="X32" s="20"/>
      <c r="Y32" s="20"/>
      <c r="Z32" s="20"/>
      <c r="AA32" s="20"/>
      <c r="AB32" s="20"/>
    </row>
    <row r="33" spans="2:28" x14ac:dyDescent="0.25">
      <c r="B33" s="20"/>
      <c r="C33" s="20"/>
      <c r="D33" s="20"/>
      <c r="E33" s="20"/>
      <c r="F33" s="20"/>
      <c r="G33" s="20"/>
      <c r="H33" s="20"/>
      <c r="I33" s="20"/>
      <c r="J33" s="20"/>
      <c r="K33" s="20"/>
      <c r="L33" s="20"/>
      <c r="M33" s="20"/>
      <c r="N33" s="20"/>
      <c r="O33" s="20"/>
      <c r="P33" s="20"/>
      <c r="Q33" s="20"/>
      <c r="R33" s="20"/>
      <c r="S33" s="20"/>
      <c r="T33" s="20"/>
      <c r="U33" s="20"/>
      <c r="V33" s="20"/>
      <c r="W33" s="20"/>
      <c r="X33" s="20"/>
      <c r="Y33" s="20"/>
      <c r="Z33" s="20"/>
      <c r="AA33" s="20"/>
      <c r="AB33" s="20"/>
    </row>
    <row r="34" spans="2:28" x14ac:dyDescent="0.25">
      <c r="B34" s="20"/>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row>
    <row r="35" spans="2:28" x14ac:dyDescent="0.25">
      <c r="B35" s="20"/>
      <c r="C35" s="20"/>
      <c r="D35" s="20"/>
      <c r="E35" s="20"/>
      <c r="F35" s="20"/>
      <c r="G35" s="20"/>
      <c r="H35" s="20"/>
      <c r="I35" s="20"/>
      <c r="J35" s="20"/>
      <c r="K35" s="20"/>
      <c r="L35" s="20"/>
      <c r="M35" s="20"/>
      <c r="N35" s="20"/>
      <c r="O35" s="20"/>
      <c r="P35" s="20"/>
      <c r="Q35" s="20"/>
      <c r="R35" s="20"/>
      <c r="S35" s="20"/>
      <c r="T35" s="20"/>
      <c r="U35" s="20"/>
      <c r="V35" s="20"/>
      <c r="W35" s="20"/>
      <c r="X35" s="20"/>
      <c r="Y35" s="20"/>
      <c r="Z35" s="20"/>
      <c r="AA35" s="20"/>
      <c r="AB35" s="20"/>
    </row>
    <row r="36" spans="2:28" x14ac:dyDescent="0.25">
      <c r="B36" s="20"/>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row>
    <row r="37" spans="2:28" x14ac:dyDescent="0.25">
      <c r="B37" s="20"/>
      <c r="C37" s="20"/>
      <c r="D37" s="20"/>
      <c r="E37" s="20"/>
      <c r="F37" s="20"/>
      <c r="G37" s="20"/>
      <c r="H37" s="20"/>
      <c r="I37" s="20"/>
      <c r="J37" s="20"/>
      <c r="K37" s="20"/>
      <c r="L37" s="20"/>
      <c r="M37" s="20"/>
      <c r="N37" s="20"/>
      <c r="O37" s="20"/>
      <c r="P37" s="20"/>
      <c r="Q37" s="20"/>
      <c r="R37" s="20"/>
      <c r="S37" s="20"/>
      <c r="T37" s="20"/>
      <c r="U37" s="20"/>
      <c r="V37" s="20"/>
      <c r="W37" s="20"/>
      <c r="X37" s="20"/>
      <c r="Y37" s="20"/>
      <c r="Z37" s="20"/>
      <c r="AA37" s="20"/>
      <c r="AB37" s="20"/>
    </row>
    <row r="38" spans="2:28" x14ac:dyDescent="0.25">
      <c r="B38" s="20"/>
      <c r="C38" s="20"/>
      <c r="D38" s="20"/>
      <c r="E38" s="20"/>
      <c r="F38" s="20"/>
      <c r="G38" s="20"/>
      <c r="H38" s="20"/>
      <c r="I38" s="20"/>
      <c r="J38" s="20"/>
      <c r="K38" s="20"/>
      <c r="L38" s="20"/>
      <c r="M38" s="20"/>
      <c r="N38" s="20"/>
      <c r="O38" s="20"/>
      <c r="P38" s="20"/>
      <c r="Q38" s="20"/>
      <c r="R38" s="20"/>
      <c r="S38" s="20"/>
      <c r="T38" s="20"/>
      <c r="U38" s="20"/>
      <c r="V38" s="20"/>
      <c r="W38" s="20"/>
      <c r="X38" s="20"/>
      <c r="Y38" s="20"/>
      <c r="Z38" s="20"/>
      <c r="AA38" s="20"/>
      <c r="AB38" s="20"/>
    </row>
    <row r="39" spans="2:28" x14ac:dyDescent="0.25">
      <c r="B39" s="20"/>
      <c r="C39" s="20"/>
      <c r="D39" s="20"/>
      <c r="E39" s="20"/>
      <c r="F39" s="20"/>
      <c r="G39" s="20"/>
      <c r="H39" s="20"/>
      <c r="I39" s="20"/>
      <c r="J39" s="20"/>
      <c r="K39" s="20"/>
      <c r="L39" s="20"/>
      <c r="M39" s="20"/>
      <c r="N39" s="20"/>
      <c r="O39" s="20"/>
      <c r="P39" s="20"/>
      <c r="Q39" s="20"/>
      <c r="R39" s="20"/>
      <c r="S39" s="20"/>
      <c r="T39" s="20"/>
      <c r="U39" s="20"/>
      <c r="V39" s="20"/>
      <c r="W39" s="20"/>
      <c r="X39" s="20"/>
      <c r="Y39" s="20"/>
      <c r="Z39" s="20"/>
      <c r="AA39" s="20"/>
      <c r="AB39" s="20"/>
    </row>
    <row r="40" spans="2:28" x14ac:dyDescent="0.25">
      <c r="B40" s="20"/>
      <c r="C40" s="20"/>
      <c r="D40" s="20"/>
      <c r="E40" s="20"/>
      <c r="F40" s="20"/>
      <c r="G40" s="20"/>
      <c r="H40" s="20"/>
      <c r="I40" s="20"/>
      <c r="J40" s="20"/>
      <c r="K40" s="20"/>
      <c r="L40" s="20"/>
      <c r="M40" s="20"/>
      <c r="N40" s="20"/>
      <c r="O40" s="20"/>
      <c r="P40" s="20"/>
      <c r="Q40" s="20"/>
      <c r="R40" s="20"/>
      <c r="S40" s="20"/>
      <c r="T40" s="20"/>
      <c r="U40" s="20"/>
      <c r="V40" s="20"/>
      <c r="W40" s="20"/>
      <c r="X40" s="20"/>
      <c r="Y40" s="20"/>
      <c r="Z40" s="20"/>
      <c r="AA40" s="20"/>
      <c r="AB40" s="20"/>
    </row>
    <row r="41" spans="2:28" x14ac:dyDescent="0.25">
      <c r="B41" s="20"/>
      <c r="C41" s="20"/>
      <c r="D41" s="20"/>
      <c r="E41" s="20"/>
      <c r="F41" s="20"/>
      <c r="G41" s="20"/>
      <c r="H41" s="20"/>
      <c r="I41" s="20"/>
      <c r="J41" s="20"/>
      <c r="K41" s="20"/>
      <c r="L41" s="20"/>
      <c r="M41" s="20"/>
      <c r="N41" s="20"/>
      <c r="O41" s="20"/>
      <c r="P41" s="20"/>
      <c r="Q41" s="20"/>
      <c r="R41" s="20"/>
      <c r="S41" s="20"/>
      <c r="T41" s="20"/>
      <c r="U41" s="20"/>
      <c r="V41" s="20"/>
      <c r="W41" s="20"/>
      <c r="X41" s="20"/>
      <c r="Y41" s="20"/>
      <c r="Z41" s="20"/>
      <c r="AA41" s="20"/>
      <c r="AB41" s="20"/>
    </row>
    <row r="42" spans="2:28" x14ac:dyDescent="0.25">
      <c r="B42" s="20"/>
      <c r="C42" s="20"/>
      <c r="D42" s="20"/>
      <c r="E42" s="20"/>
      <c r="F42" s="20"/>
      <c r="G42" s="20"/>
      <c r="H42" s="20"/>
      <c r="I42" s="20"/>
      <c r="J42" s="20"/>
      <c r="K42" s="20"/>
      <c r="L42" s="20"/>
      <c r="M42" s="20"/>
      <c r="N42" s="20"/>
      <c r="O42" s="20"/>
      <c r="P42" s="20"/>
      <c r="Q42" s="20"/>
      <c r="R42" s="20"/>
      <c r="S42" s="20"/>
      <c r="T42" s="20"/>
      <c r="U42" s="20"/>
      <c r="V42" s="20"/>
      <c r="W42" s="20"/>
      <c r="X42" s="20"/>
      <c r="Y42" s="20"/>
      <c r="Z42" s="20"/>
      <c r="AA42" s="20"/>
      <c r="AB42" s="20"/>
    </row>
    <row r="43" spans="2:28" x14ac:dyDescent="0.25">
      <c r="B43" s="20"/>
      <c r="C43" s="20"/>
      <c r="D43" s="20"/>
      <c r="E43" s="20"/>
      <c r="F43" s="20"/>
      <c r="G43" s="20"/>
      <c r="H43" s="20"/>
      <c r="I43" s="20"/>
      <c r="J43" s="20"/>
      <c r="K43" s="20"/>
      <c r="L43" s="20"/>
      <c r="M43" s="20"/>
      <c r="N43" s="20"/>
      <c r="O43" s="20"/>
      <c r="P43" s="20"/>
      <c r="Q43" s="20"/>
      <c r="R43" s="20"/>
      <c r="S43" s="20"/>
      <c r="T43" s="20"/>
      <c r="U43" s="20"/>
      <c r="V43" s="20"/>
      <c r="W43" s="20"/>
      <c r="X43" s="20"/>
      <c r="Y43" s="20"/>
      <c r="Z43" s="20"/>
      <c r="AA43" s="20"/>
      <c r="AB43" s="20"/>
    </row>
    <row r="44" spans="2:28" x14ac:dyDescent="0.25">
      <c r="B44" s="20"/>
      <c r="C44" s="20"/>
      <c r="D44" s="20"/>
      <c r="E44" s="20"/>
      <c r="F44" s="20"/>
      <c r="G44" s="20"/>
      <c r="H44" s="20"/>
      <c r="I44" s="20"/>
      <c r="J44" s="20"/>
      <c r="K44" s="20"/>
      <c r="L44" s="20"/>
      <c r="M44" s="20"/>
      <c r="N44" s="20"/>
      <c r="O44" s="20"/>
      <c r="P44" s="20"/>
      <c r="Q44" s="20"/>
      <c r="R44" s="20"/>
      <c r="S44" s="20"/>
      <c r="T44" s="20"/>
      <c r="U44" s="20"/>
      <c r="V44" s="20"/>
      <c r="W44" s="20"/>
      <c r="X44" s="20"/>
      <c r="Y44" s="20"/>
      <c r="Z44" s="20"/>
      <c r="AA44" s="20"/>
      <c r="AB44" s="20"/>
    </row>
    <row r="45" spans="2:28" x14ac:dyDescent="0.25">
      <c r="B45" s="20"/>
      <c r="C45" s="20"/>
      <c r="D45" s="20"/>
      <c r="E45" s="20"/>
      <c r="F45" s="20"/>
      <c r="G45" s="20"/>
      <c r="H45" s="20"/>
      <c r="I45" s="20"/>
      <c r="J45" s="20"/>
      <c r="K45" s="20"/>
      <c r="L45" s="20"/>
      <c r="M45" s="20"/>
      <c r="N45" s="20"/>
      <c r="O45" s="20"/>
      <c r="P45" s="20"/>
      <c r="Q45" s="20"/>
      <c r="R45" s="20"/>
      <c r="S45" s="20"/>
      <c r="T45" s="20"/>
      <c r="U45" s="20"/>
      <c r="V45" s="20"/>
      <c r="W45" s="20"/>
      <c r="X45" s="20"/>
      <c r="Y45" s="20"/>
      <c r="Z45" s="20"/>
      <c r="AA45" s="20"/>
      <c r="AB45" s="20"/>
    </row>
    <row r="46" spans="2:28" x14ac:dyDescent="0.25">
      <c r="B46" s="20"/>
      <c r="C46" s="20"/>
      <c r="D46" s="20"/>
      <c r="E46" s="20"/>
      <c r="F46" s="20"/>
      <c r="G46" s="20"/>
      <c r="H46" s="20"/>
      <c r="I46" s="20"/>
      <c r="J46" s="20"/>
      <c r="K46" s="20"/>
      <c r="L46" s="20"/>
      <c r="M46" s="20"/>
      <c r="N46" s="20"/>
      <c r="O46" s="20"/>
      <c r="P46" s="20"/>
      <c r="Q46" s="20"/>
      <c r="R46" s="20"/>
      <c r="S46" s="20"/>
      <c r="T46" s="20"/>
      <c r="U46" s="20"/>
      <c r="V46" s="20"/>
      <c r="W46" s="20"/>
      <c r="X46" s="20"/>
      <c r="Y46" s="20"/>
      <c r="Z46" s="20"/>
      <c r="AA46" s="20"/>
      <c r="AB46" s="20"/>
    </row>
    <row r="47" spans="2:28" x14ac:dyDescent="0.25">
      <c r="B47" s="20"/>
      <c r="C47" s="20"/>
      <c r="D47" s="20"/>
      <c r="E47" s="20"/>
      <c r="F47" s="20"/>
      <c r="G47" s="20"/>
      <c r="H47" s="20"/>
      <c r="I47" s="20"/>
      <c r="J47" s="20"/>
      <c r="K47" s="20"/>
      <c r="L47" s="20"/>
      <c r="M47" s="20"/>
      <c r="N47" s="20"/>
      <c r="O47" s="20"/>
      <c r="P47" s="20"/>
      <c r="Q47" s="20"/>
      <c r="R47" s="20"/>
      <c r="S47" s="20"/>
      <c r="T47" s="20"/>
      <c r="U47" s="20"/>
      <c r="V47" s="20"/>
      <c r="W47" s="20"/>
      <c r="X47" s="20"/>
      <c r="Y47" s="20"/>
      <c r="Z47" s="20"/>
      <c r="AA47" s="20"/>
      <c r="AB47" s="20"/>
    </row>
    <row r="48" spans="2:28" x14ac:dyDescent="0.25">
      <c r="B48" s="20"/>
      <c r="C48" s="20"/>
      <c r="D48" s="20"/>
      <c r="E48" s="20"/>
      <c r="F48" s="20"/>
      <c r="G48" s="20"/>
      <c r="H48" s="20"/>
      <c r="I48" s="20"/>
      <c r="J48" s="20"/>
      <c r="K48" s="20"/>
      <c r="L48" s="20"/>
      <c r="M48" s="20"/>
      <c r="N48" s="20"/>
      <c r="O48" s="20"/>
      <c r="P48" s="20"/>
      <c r="Q48" s="20"/>
      <c r="R48" s="20"/>
      <c r="S48" s="20"/>
      <c r="T48" s="20"/>
      <c r="U48" s="20"/>
      <c r="V48" s="20"/>
      <c r="W48" s="20"/>
      <c r="X48" s="20"/>
      <c r="Y48" s="20"/>
      <c r="Z48" s="20"/>
      <c r="AA48" s="20"/>
      <c r="AB48" s="20"/>
    </row>
    <row r="49" spans="2:28" x14ac:dyDescent="0.25">
      <c r="B49" s="20"/>
      <c r="C49" s="20"/>
      <c r="D49" s="20"/>
      <c r="E49" s="20"/>
      <c r="F49" s="20"/>
      <c r="G49" s="20"/>
      <c r="H49" s="20"/>
      <c r="I49" s="20"/>
      <c r="J49" s="20"/>
      <c r="K49" s="20"/>
      <c r="L49" s="20"/>
      <c r="M49" s="20"/>
      <c r="N49" s="20"/>
      <c r="O49" s="20"/>
      <c r="P49" s="20"/>
      <c r="Q49" s="20"/>
      <c r="R49" s="20"/>
      <c r="S49" s="20"/>
      <c r="T49" s="20"/>
      <c r="U49" s="20"/>
      <c r="V49" s="20"/>
      <c r="W49" s="20"/>
      <c r="X49" s="20"/>
      <c r="Y49" s="20"/>
      <c r="Z49" s="20"/>
      <c r="AA49" s="20"/>
      <c r="AB49" s="20"/>
    </row>
    <row r="50" spans="2:28" x14ac:dyDescent="0.25">
      <c r="B50" s="20"/>
      <c r="C50" s="20"/>
      <c r="D50" s="20"/>
      <c r="E50" s="20"/>
      <c r="F50" s="20"/>
      <c r="G50" s="20"/>
      <c r="H50" s="20"/>
      <c r="I50" s="20"/>
      <c r="J50" s="20"/>
      <c r="K50" s="20"/>
      <c r="L50" s="20"/>
      <c r="M50" s="20"/>
      <c r="N50" s="20"/>
      <c r="O50" s="20"/>
      <c r="P50" s="20"/>
      <c r="Q50" s="20"/>
      <c r="R50" s="20"/>
      <c r="S50" s="20"/>
      <c r="T50" s="20"/>
      <c r="U50" s="20"/>
      <c r="V50" s="20"/>
      <c r="W50" s="20"/>
      <c r="X50" s="20"/>
      <c r="Y50" s="20"/>
      <c r="Z50" s="20"/>
      <c r="AA50" s="20"/>
      <c r="AB50" s="20"/>
    </row>
    <row r="51" spans="2:28" x14ac:dyDescent="0.25">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row>
    <row r="52" spans="2:28" x14ac:dyDescent="0.25">
      <c r="B52" s="20"/>
      <c r="C52" s="20"/>
      <c r="D52" s="20"/>
      <c r="E52" s="20"/>
      <c r="F52" s="20"/>
      <c r="G52" s="20"/>
      <c r="H52" s="20"/>
      <c r="I52" s="20"/>
      <c r="J52" s="20"/>
      <c r="K52" s="20"/>
      <c r="L52" s="20"/>
      <c r="M52" s="20"/>
      <c r="N52" s="20"/>
      <c r="O52" s="20"/>
      <c r="P52" s="20"/>
      <c r="Q52" s="20"/>
      <c r="R52" s="20"/>
      <c r="S52" s="20"/>
      <c r="T52" s="20"/>
      <c r="U52" s="20"/>
      <c r="V52" s="20"/>
      <c r="W52" s="20"/>
      <c r="X52" s="20"/>
      <c r="Y52" s="20"/>
      <c r="Z52" s="20"/>
      <c r="AA52" s="20"/>
      <c r="AB52" s="20"/>
    </row>
    <row r="53" spans="2:28" x14ac:dyDescent="0.25">
      <c r="B53" s="20"/>
      <c r="C53" s="20"/>
      <c r="D53" s="20"/>
      <c r="E53" s="20"/>
      <c r="F53" s="20"/>
      <c r="G53" s="20"/>
      <c r="H53" s="20"/>
      <c r="I53" s="20"/>
      <c r="J53" s="20"/>
      <c r="K53" s="20"/>
      <c r="L53" s="20"/>
      <c r="M53" s="20"/>
      <c r="N53" s="20"/>
      <c r="O53" s="20"/>
      <c r="P53" s="20"/>
      <c r="Q53" s="20"/>
      <c r="R53" s="20"/>
      <c r="S53" s="20"/>
      <c r="T53" s="20"/>
      <c r="U53" s="20"/>
      <c r="V53" s="20"/>
      <c r="W53" s="20"/>
      <c r="X53" s="20"/>
      <c r="Y53" s="20"/>
      <c r="Z53" s="20"/>
      <c r="AA53" s="20"/>
      <c r="AB53" s="20"/>
    </row>
    <row r="54" spans="2:28" x14ac:dyDescent="0.25">
      <c r="B54" s="20"/>
      <c r="C54" s="20"/>
      <c r="D54" s="20"/>
      <c r="E54" s="20"/>
      <c r="F54" s="20"/>
      <c r="G54" s="20"/>
      <c r="H54" s="20"/>
      <c r="I54" s="20"/>
      <c r="J54" s="20"/>
      <c r="K54" s="20"/>
      <c r="L54" s="20"/>
      <c r="M54" s="20"/>
      <c r="N54" s="20"/>
      <c r="O54" s="20"/>
      <c r="P54" s="20"/>
      <c r="Q54" s="20"/>
      <c r="R54" s="20"/>
      <c r="S54" s="20"/>
      <c r="T54" s="20"/>
      <c r="U54" s="20"/>
      <c r="V54" s="20"/>
      <c r="W54" s="20"/>
      <c r="X54" s="20"/>
      <c r="Y54" s="20"/>
      <c r="Z54" s="20"/>
      <c r="AA54" s="20"/>
      <c r="AB54" s="20"/>
    </row>
    <row r="57" spans="2:28" x14ac:dyDescent="0.25">
      <c r="B57" s="9" t="s">
        <v>306</v>
      </c>
    </row>
    <row r="58" spans="2:28" x14ac:dyDescent="0.25">
      <c r="B58" s="68" t="s">
        <v>0</v>
      </c>
      <c r="C58" s="68" t="s">
        <v>277</v>
      </c>
      <c r="D58" s="68" t="s">
        <v>278</v>
      </c>
      <c r="E58" s="68" t="s">
        <v>279</v>
      </c>
      <c r="F58" s="68" t="s">
        <v>309</v>
      </c>
      <c r="G58" s="68" t="s">
        <v>310</v>
      </c>
      <c r="H58" s="68" t="s">
        <v>311</v>
      </c>
      <c r="I58" s="68" t="s">
        <v>312</v>
      </c>
      <c r="J58" s="68" t="s">
        <v>296</v>
      </c>
      <c r="K58" s="68" t="s">
        <v>297</v>
      </c>
      <c r="L58" s="68" t="s">
        <v>281</v>
      </c>
      <c r="M58" s="68" t="s">
        <v>313</v>
      </c>
      <c r="N58" s="68" t="s">
        <v>314</v>
      </c>
      <c r="O58" s="68" t="s">
        <v>315</v>
      </c>
      <c r="P58" s="68" t="s">
        <v>316</v>
      </c>
      <c r="Q58" s="68" t="s">
        <v>230</v>
      </c>
      <c r="R58" s="68" t="s">
        <v>307</v>
      </c>
      <c r="S58" s="68" t="s">
        <v>317</v>
      </c>
      <c r="T58" s="68" t="s">
        <v>319</v>
      </c>
      <c r="U58" s="68" t="s">
        <v>320</v>
      </c>
      <c r="V58" s="68" t="s">
        <v>298</v>
      </c>
      <c r="W58" s="68" t="s">
        <v>299</v>
      </c>
      <c r="X58" s="68" t="s">
        <v>301</v>
      </c>
      <c r="Y58" s="68" t="s">
        <v>241</v>
      </c>
      <c r="Z58" s="68" t="s">
        <v>321</v>
      </c>
      <c r="AA58" s="68" t="s">
        <v>322</v>
      </c>
      <c r="AB58" s="68" t="s">
        <v>323</v>
      </c>
    </row>
    <row r="59" spans="2:28" x14ac:dyDescent="0.25">
      <c r="B59" s="20"/>
      <c r="C59" s="20"/>
      <c r="D59" s="20"/>
      <c r="E59" s="20"/>
      <c r="F59" s="20"/>
      <c r="G59" s="20"/>
      <c r="H59" s="20"/>
      <c r="I59" s="20"/>
      <c r="J59" s="20"/>
      <c r="K59" s="20"/>
      <c r="L59" s="20"/>
      <c r="M59" s="20"/>
      <c r="N59" s="20"/>
      <c r="O59" s="20"/>
      <c r="P59" s="20"/>
      <c r="Q59" s="20"/>
      <c r="R59" s="20"/>
      <c r="S59" s="20"/>
      <c r="T59" s="20"/>
      <c r="U59" s="20"/>
      <c r="V59" s="20"/>
      <c r="W59" s="20"/>
      <c r="X59" s="20"/>
      <c r="Y59" s="20"/>
      <c r="Z59" s="20"/>
      <c r="AA59" s="20"/>
      <c r="AB59" s="20"/>
    </row>
    <row r="60" spans="2:28" x14ac:dyDescent="0.25">
      <c r="B60" s="20"/>
      <c r="C60" s="20"/>
      <c r="D60" s="20"/>
      <c r="E60" s="20"/>
      <c r="F60" s="20"/>
      <c r="G60" s="20"/>
      <c r="H60" s="20"/>
      <c r="I60" s="20"/>
      <c r="J60" s="20"/>
      <c r="K60" s="20"/>
      <c r="L60" s="20"/>
      <c r="M60" s="20"/>
      <c r="N60" s="20"/>
      <c r="O60" s="20"/>
      <c r="P60" s="20"/>
      <c r="Q60" s="20"/>
      <c r="R60" s="20"/>
      <c r="S60" s="20"/>
      <c r="T60" s="20"/>
      <c r="U60" s="20"/>
      <c r="V60" s="20"/>
      <c r="W60" s="20"/>
      <c r="X60" s="20"/>
      <c r="Y60" s="20"/>
      <c r="Z60" s="20"/>
      <c r="AA60" s="20"/>
      <c r="AB60" s="20"/>
    </row>
    <row r="61" spans="2:28" x14ac:dyDescent="0.25">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row>
    <row r="62" spans="2:28" x14ac:dyDescent="0.25">
      <c r="B62" s="20"/>
      <c r="C62" s="20"/>
      <c r="D62" s="20"/>
      <c r="E62" s="20"/>
      <c r="F62" s="20"/>
      <c r="G62" s="20"/>
      <c r="H62" s="20"/>
      <c r="I62" s="20"/>
      <c r="J62" s="20"/>
      <c r="K62" s="20"/>
      <c r="L62" s="20"/>
      <c r="M62" s="20"/>
      <c r="N62" s="20"/>
      <c r="O62" s="20"/>
      <c r="P62" s="20"/>
      <c r="Q62" s="20"/>
      <c r="R62" s="20"/>
      <c r="S62" s="20"/>
      <c r="T62" s="20"/>
      <c r="U62" s="20"/>
      <c r="V62" s="20"/>
      <c r="W62" s="20"/>
      <c r="X62" s="20"/>
      <c r="Y62" s="20"/>
      <c r="Z62" s="20"/>
      <c r="AA62" s="20"/>
      <c r="AB62" s="20"/>
    </row>
    <row r="63" spans="2:28" x14ac:dyDescent="0.25">
      <c r="B63" s="20"/>
      <c r="C63" s="20"/>
      <c r="D63" s="20"/>
      <c r="E63" s="20"/>
      <c r="F63" s="20"/>
      <c r="G63" s="20"/>
      <c r="H63" s="20"/>
      <c r="I63" s="20"/>
      <c r="J63" s="20"/>
      <c r="K63" s="20"/>
      <c r="L63" s="20"/>
      <c r="M63" s="20"/>
      <c r="N63" s="20"/>
      <c r="O63" s="20"/>
      <c r="P63" s="20"/>
      <c r="Q63" s="20"/>
      <c r="R63" s="20"/>
      <c r="S63" s="20"/>
      <c r="T63" s="20"/>
      <c r="U63" s="20"/>
      <c r="V63" s="20"/>
      <c r="W63" s="20"/>
      <c r="X63" s="20"/>
      <c r="Y63" s="20"/>
      <c r="Z63" s="20"/>
      <c r="AA63" s="20"/>
      <c r="AB63" s="20"/>
    </row>
    <row r="64" spans="2:28" x14ac:dyDescent="0.25">
      <c r="B64" s="20"/>
      <c r="C64" s="20"/>
      <c r="D64" s="20"/>
      <c r="E64" s="20"/>
      <c r="F64" s="20"/>
      <c r="G64" s="20"/>
      <c r="H64" s="20"/>
      <c r="I64" s="20"/>
      <c r="J64" s="20"/>
      <c r="K64" s="20"/>
      <c r="L64" s="20"/>
      <c r="M64" s="20"/>
      <c r="N64" s="20"/>
      <c r="O64" s="20"/>
      <c r="P64" s="20"/>
      <c r="Q64" s="20"/>
      <c r="R64" s="20"/>
      <c r="S64" s="20"/>
      <c r="T64" s="20"/>
      <c r="U64" s="20"/>
      <c r="V64" s="20"/>
      <c r="W64" s="20"/>
      <c r="X64" s="20"/>
      <c r="Y64" s="20"/>
      <c r="Z64" s="20"/>
      <c r="AA64" s="20"/>
      <c r="AB64" s="20"/>
    </row>
    <row r="65" spans="2:28" x14ac:dyDescent="0.25">
      <c r="B65" s="20"/>
      <c r="C65" s="20"/>
      <c r="D65" s="20"/>
      <c r="E65" s="20"/>
      <c r="F65" s="20"/>
      <c r="G65" s="20"/>
      <c r="H65" s="20"/>
      <c r="I65" s="20"/>
      <c r="J65" s="20"/>
      <c r="K65" s="20"/>
      <c r="L65" s="20"/>
      <c r="M65" s="20"/>
      <c r="N65" s="20"/>
      <c r="O65" s="20"/>
      <c r="P65" s="20"/>
      <c r="Q65" s="20"/>
      <c r="R65" s="20"/>
      <c r="S65" s="20"/>
      <c r="T65" s="20"/>
      <c r="U65" s="20"/>
      <c r="V65" s="20"/>
      <c r="W65" s="20"/>
      <c r="X65" s="20"/>
      <c r="Y65" s="20"/>
      <c r="Z65" s="20"/>
      <c r="AA65" s="20"/>
      <c r="AB65" s="20"/>
    </row>
    <row r="66" spans="2:28" x14ac:dyDescent="0.25">
      <c r="B66" s="20"/>
      <c r="C66" s="20"/>
      <c r="D66" s="20"/>
      <c r="E66" s="20"/>
      <c r="F66" s="20"/>
      <c r="G66" s="20"/>
      <c r="H66" s="20"/>
      <c r="I66" s="20"/>
      <c r="J66" s="20"/>
      <c r="K66" s="20"/>
      <c r="L66" s="20"/>
      <c r="M66" s="20"/>
      <c r="N66" s="20"/>
      <c r="O66" s="20"/>
      <c r="P66" s="20"/>
      <c r="Q66" s="20"/>
      <c r="R66" s="20"/>
      <c r="S66" s="20"/>
      <c r="T66" s="20"/>
      <c r="U66" s="20"/>
      <c r="V66" s="20"/>
      <c r="W66" s="20"/>
      <c r="X66" s="20"/>
      <c r="Y66" s="20"/>
      <c r="Z66" s="20"/>
      <c r="AA66" s="20"/>
      <c r="AB66" s="20"/>
    </row>
    <row r="67" spans="2:28" x14ac:dyDescent="0.25">
      <c r="B67" s="20"/>
      <c r="C67" s="20"/>
      <c r="D67" s="20"/>
      <c r="E67" s="20"/>
      <c r="F67" s="20"/>
      <c r="G67" s="20"/>
      <c r="H67" s="20"/>
      <c r="I67" s="20"/>
      <c r="J67" s="20"/>
      <c r="K67" s="20"/>
      <c r="L67" s="20"/>
      <c r="M67" s="20"/>
      <c r="N67" s="20"/>
      <c r="O67" s="20"/>
      <c r="P67" s="20"/>
      <c r="Q67" s="20"/>
      <c r="R67" s="20"/>
      <c r="S67" s="20"/>
      <c r="T67" s="20"/>
      <c r="U67" s="20"/>
      <c r="V67" s="20"/>
      <c r="W67" s="20"/>
      <c r="X67" s="20"/>
      <c r="Y67" s="20"/>
      <c r="Z67" s="20"/>
      <c r="AA67" s="20"/>
      <c r="AB67" s="20"/>
    </row>
    <row r="68" spans="2:28" x14ac:dyDescent="0.25">
      <c r="B68" s="20"/>
      <c r="C68" s="20"/>
      <c r="D68" s="20"/>
      <c r="E68" s="20"/>
      <c r="F68" s="20"/>
      <c r="G68" s="20"/>
      <c r="H68" s="20"/>
      <c r="I68" s="20"/>
      <c r="J68" s="20"/>
      <c r="K68" s="20"/>
      <c r="L68" s="20"/>
      <c r="M68" s="20"/>
      <c r="N68" s="20"/>
      <c r="O68" s="20"/>
      <c r="P68" s="20"/>
      <c r="Q68" s="20"/>
      <c r="R68" s="20"/>
      <c r="S68" s="20"/>
      <c r="T68" s="20"/>
      <c r="U68" s="20"/>
      <c r="V68" s="20"/>
      <c r="W68" s="20"/>
      <c r="X68" s="20"/>
      <c r="Y68" s="20"/>
      <c r="Z68" s="20"/>
      <c r="AA68" s="20"/>
      <c r="AB68" s="20"/>
    </row>
    <row r="69" spans="2:28" x14ac:dyDescent="0.25">
      <c r="B69" s="20"/>
      <c r="C69" s="20"/>
      <c r="D69" s="20"/>
      <c r="E69" s="20"/>
      <c r="F69" s="20"/>
      <c r="G69" s="20"/>
      <c r="H69" s="20"/>
      <c r="I69" s="20"/>
      <c r="J69" s="20"/>
      <c r="K69" s="20"/>
      <c r="L69" s="20"/>
      <c r="M69" s="20"/>
      <c r="N69" s="20"/>
      <c r="O69" s="20"/>
      <c r="P69" s="20"/>
      <c r="Q69" s="20"/>
      <c r="R69" s="20"/>
      <c r="S69" s="20"/>
      <c r="T69" s="20"/>
      <c r="U69" s="20"/>
      <c r="V69" s="20"/>
      <c r="W69" s="20"/>
      <c r="X69" s="20"/>
      <c r="Y69" s="20"/>
      <c r="Z69" s="20"/>
      <c r="AA69" s="20"/>
      <c r="AB69" s="20"/>
    </row>
    <row r="70" spans="2:28" x14ac:dyDescent="0.25">
      <c r="B70" s="20"/>
      <c r="C70" s="20"/>
      <c r="D70" s="20"/>
      <c r="E70" s="20"/>
      <c r="F70" s="20"/>
      <c r="G70" s="20"/>
      <c r="H70" s="20"/>
      <c r="I70" s="20"/>
      <c r="J70" s="20"/>
      <c r="K70" s="20"/>
      <c r="L70" s="20"/>
      <c r="M70" s="20"/>
      <c r="N70" s="20"/>
      <c r="O70" s="20"/>
      <c r="P70" s="20"/>
      <c r="Q70" s="20"/>
      <c r="R70" s="20"/>
      <c r="S70" s="20"/>
      <c r="T70" s="20"/>
      <c r="U70" s="20"/>
      <c r="V70" s="20"/>
      <c r="W70" s="20"/>
      <c r="X70" s="20"/>
      <c r="Y70" s="20"/>
      <c r="Z70" s="20"/>
      <c r="AA70" s="20"/>
      <c r="AB70" s="20"/>
    </row>
    <row r="71" spans="2:28" x14ac:dyDescent="0.25">
      <c r="B71" s="20"/>
      <c r="C71" s="20"/>
      <c r="D71" s="20"/>
      <c r="E71" s="20"/>
      <c r="F71" s="20"/>
      <c r="G71" s="20"/>
      <c r="H71" s="20"/>
      <c r="I71" s="20"/>
      <c r="J71" s="20"/>
      <c r="K71" s="20"/>
      <c r="L71" s="20"/>
      <c r="M71" s="20"/>
      <c r="N71" s="20"/>
      <c r="O71" s="20"/>
      <c r="P71" s="20"/>
      <c r="Q71" s="20"/>
      <c r="R71" s="20"/>
      <c r="S71" s="20"/>
      <c r="T71" s="20"/>
      <c r="U71" s="20"/>
      <c r="V71" s="20"/>
      <c r="W71" s="20"/>
      <c r="X71" s="20"/>
      <c r="Y71" s="20"/>
      <c r="Z71" s="20"/>
      <c r="AA71" s="20"/>
      <c r="AB71" s="20"/>
    </row>
    <row r="72" spans="2:28" x14ac:dyDescent="0.25">
      <c r="B72" s="20"/>
      <c r="C72" s="20"/>
      <c r="D72" s="20"/>
      <c r="E72" s="20"/>
      <c r="F72" s="20"/>
      <c r="G72" s="20"/>
      <c r="H72" s="20"/>
      <c r="I72" s="20"/>
      <c r="J72" s="20"/>
      <c r="K72" s="20"/>
      <c r="L72" s="20"/>
      <c r="M72" s="20"/>
      <c r="N72" s="20"/>
      <c r="O72" s="20"/>
      <c r="P72" s="20"/>
      <c r="Q72" s="20"/>
      <c r="R72" s="20"/>
      <c r="S72" s="20"/>
      <c r="T72" s="20"/>
      <c r="U72" s="20"/>
      <c r="V72" s="20"/>
      <c r="W72" s="20"/>
      <c r="X72" s="20"/>
      <c r="Y72" s="20"/>
      <c r="Z72" s="20"/>
      <c r="AA72" s="20"/>
      <c r="AB72" s="20"/>
    </row>
    <row r="73" spans="2:28" x14ac:dyDescent="0.25">
      <c r="B73" s="20"/>
      <c r="C73" s="20"/>
      <c r="D73" s="20"/>
      <c r="E73" s="20"/>
      <c r="F73" s="20"/>
      <c r="G73" s="20"/>
      <c r="H73" s="20"/>
      <c r="I73" s="20"/>
      <c r="J73" s="20"/>
      <c r="K73" s="20"/>
      <c r="L73" s="20"/>
      <c r="M73" s="20"/>
      <c r="N73" s="20"/>
      <c r="O73" s="20"/>
      <c r="P73" s="20"/>
      <c r="Q73" s="20"/>
      <c r="R73" s="20"/>
      <c r="S73" s="20"/>
      <c r="T73" s="20"/>
      <c r="U73" s="20"/>
      <c r="V73" s="20"/>
      <c r="W73" s="20"/>
      <c r="X73" s="20"/>
      <c r="Y73" s="20"/>
      <c r="Z73" s="20"/>
      <c r="AA73" s="20"/>
      <c r="AB73" s="20"/>
    </row>
    <row r="74" spans="2:28" x14ac:dyDescent="0.25">
      <c r="B74" s="20"/>
      <c r="C74" s="20"/>
      <c r="D74" s="20"/>
      <c r="E74" s="20"/>
      <c r="F74" s="20"/>
      <c r="G74" s="20"/>
      <c r="H74" s="20"/>
      <c r="I74" s="20"/>
      <c r="J74" s="20"/>
      <c r="K74" s="20"/>
      <c r="L74" s="20"/>
      <c r="M74" s="20"/>
      <c r="N74" s="20"/>
      <c r="O74" s="20"/>
      <c r="P74" s="20"/>
      <c r="Q74" s="20"/>
      <c r="R74" s="20"/>
      <c r="S74" s="20"/>
      <c r="T74" s="20"/>
      <c r="U74" s="20"/>
      <c r="V74" s="20"/>
      <c r="W74" s="20"/>
      <c r="X74" s="20"/>
      <c r="Y74" s="20"/>
      <c r="Z74" s="20"/>
      <c r="AA74" s="20"/>
      <c r="AB74" s="20"/>
    </row>
    <row r="75" spans="2:28" x14ac:dyDescent="0.25">
      <c r="B75" s="20"/>
      <c r="C75" s="20"/>
      <c r="D75" s="20"/>
      <c r="E75" s="20"/>
      <c r="F75" s="20"/>
      <c r="G75" s="20"/>
      <c r="H75" s="20"/>
      <c r="I75" s="20"/>
      <c r="J75" s="20"/>
      <c r="K75" s="20"/>
      <c r="L75" s="20"/>
      <c r="M75" s="20"/>
      <c r="N75" s="20"/>
      <c r="O75" s="20"/>
      <c r="P75" s="20"/>
      <c r="Q75" s="20"/>
      <c r="R75" s="20"/>
      <c r="S75" s="20"/>
      <c r="T75" s="20"/>
      <c r="U75" s="20"/>
      <c r="V75" s="20"/>
      <c r="W75" s="20"/>
      <c r="X75" s="20"/>
      <c r="Y75" s="20"/>
      <c r="Z75" s="20"/>
      <c r="AA75" s="20"/>
      <c r="AB75" s="20"/>
    </row>
    <row r="76" spans="2:28" x14ac:dyDescent="0.25">
      <c r="B76" s="20"/>
      <c r="C76" s="20"/>
      <c r="D76" s="20"/>
      <c r="E76" s="20"/>
      <c r="F76" s="20"/>
      <c r="G76" s="20"/>
      <c r="H76" s="20"/>
      <c r="I76" s="20"/>
      <c r="J76" s="20"/>
      <c r="K76" s="20"/>
      <c r="L76" s="20"/>
      <c r="M76" s="20"/>
      <c r="N76" s="20"/>
      <c r="O76" s="20"/>
      <c r="P76" s="20"/>
      <c r="Q76" s="20"/>
      <c r="R76" s="20"/>
      <c r="S76" s="20"/>
      <c r="T76" s="20"/>
      <c r="U76" s="20"/>
      <c r="V76" s="20"/>
      <c r="W76" s="20"/>
      <c r="X76" s="20"/>
      <c r="Y76" s="20"/>
      <c r="Z76" s="20"/>
      <c r="AA76" s="20"/>
      <c r="AB76" s="20"/>
    </row>
    <row r="77" spans="2:28" x14ac:dyDescent="0.25">
      <c r="B77" s="20"/>
      <c r="C77" s="20"/>
      <c r="D77" s="20"/>
      <c r="E77" s="20"/>
      <c r="F77" s="20"/>
      <c r="G77" s="20"/>
      <c r="H77" s="20"/>
      <c r="I77" s="20"/>
      <c r="J77" s="20"/>
      <c r="K77" s="20"/>
      <c r="L77" s="20"/>
      <c r="M77" s="20"/>
      <c r="N77" s="20"/>
      <c r="O77" s="20"/>
      <c r="P77" s="20"/>
      <c r="Q77" s="20"/>
      <c r="R77" s="20"/>
      <c r="S77" s="20"/>
      <c r="T77" s="20"/>
      <c r="U77" s="20"/>
      <c r="V77" s="20"/>
      <c r="W77" s="20"/>
      <c r="X77" s="20"/>
      <c r="Y77" s="20"/>
      <c r="Z77" s="20"/>
      <c r="AA77" s="20"/>
      <c r="AB77" s="20"/>
    </row>
    <row r="78" spans="2:28" x14ac:dyDescent="0.25">
      <c r="B78" s="20"/>
      <c r="C78" s="20"/>
      <c r="D78" s="20"/>
      <c r="E78" s="20"/>
      <c r="F78" s="20"/>
      <c r="G78" s="20"/>
      <c r="H78" s="20"/>
      <c r="I78" s="20"/>
      <c r="J78" s="20"/>
      <c r="K78" s="20"/>
      <c r="L78" s="20"/>
      <c r="M78" s="20"/>
      <c r="N78" s="20"/>
      <c r="O78" s="20"/>
      <c r="P78" s="20"/>
      <c r="Q78" s="20"/>
      <c r="R78" s="20"/>
      <c r="S78" s="20"/>
      <c r="T78" s="20"/>
      <c r="U78" s="20"/>
      <c r="V78" s="20"/>
      <c r="W78" s="20"/>
      <c r="X78" s="20"/>
      <c r="Y78" s="20"/>
      <c r="Z78" s="20"/>
      <c r="AA78" s="20"/>
      <c r="AB78" s="20"/>
    </row>
    <row r="79" spans="2:28" x14ac:dyDescent="0.25">
      <c r="B79" s="20"/>
      <c r="C79" s="20"/>
      <c r="D79" s="20"/>
      <c r="E79" s="20"/>
      <c r="F79" s="20"/>
      <c r="G79" s="20"/>
      <c r="H79" s="20"/>
      <c r="I79" s="20"/>
      <c r="J79" s="20"/>
      <c r="K79" s="20"/>
      <c r="L79" s="20"/>
      <c r="M79" s="20"/>
      <c r="N79" s="20"/>
      <c r="O79" s="20"/>
      <c r="P79" s="20"/>
      <c r="Q79" s="20"/>
      <c r="R79" s="20"/>
      <c r="S79" s="20"/>
      <c r="T79" s="20"/>
      <c r="U79" s="20"/>
      <c r="V79" s="20"/>
      <c r="W79" s="20"/>
      <c r="X79" s="20"/>
      <c r="Y79" s="20"/>
      <c r="Z79" s="20"/>
      <c r="AA79" s="20"/>
      <c r="AB79" s="20"/>
    </row>
    <row r="80" spans="2:28" x14ac:dyDescent="0.25">
      <c r="B80" s="20"/>
      <c r="C80" s="20"/>
      <c r="D80" s="20"/>
      <c r="E80" s="20"/>
      <c r="F80" s="20"/>
      <c r="G80" s="20"/>
      <c r="H80" s="20"/>
      <c r="I80" s="20"/>
      <c r="J80" s="20"/>
      <c r="K80" s="20"/>
      <c r="L80" s="20"/>
      <c r="M80" s="20"/>
      <c r="N80" s="20"/>
      <c r="O80" s="20"/>
      <c r="P80" s="20"/>
      <c r="Q80" s="20"/>
      <c r="R80" s="20"/>
      <c r="S80" s="20"/>
      <c r="T80" s="20"/>
      <c r="U80" s="20"/>
      <c r="V80" s="20"/>
      <c r="W80" s="20"/>
      <c r="X80" s="20"/>
      <c r="Y80" s="20"/>
      <c r="Z80" s="20"/>
      <c r="AA80" s="20"/>
      <c r="AB80" s="20"/>
    </row>
    <row r="81" spans="2:28" x14ac:dyDescent="0.25">
      <c r="B81" s="20"/>
      <c r="C81" s="20"/>
      <c r="D81" s="20"/>
      <c r="E81" s="20"/>
      <c r="F81" s="20"/>
      <c r="G81" s="20"/>
      <c r="H81" s="20"/>
      <c r="I81" s="20"/>
      <c r="J81" s="20"/>
      <c r="K81" s="20"/>
      <c r="L81" s="20"/>
      <c r="M81" s="20"/>
      <c r="N81" s="20"/>
      <c r="O81" s="20"/>
      <c r="P81" s="20"/>
      <c r="Q81" s="20"/>
      <c r="R81" s="20"/>
      <c r="S81" s="20"/>
      <c r="T81" s="20"/>
      <c r="U81" s="20"/>
      <c r="V81" s="20"/>
      <c r="W81" s="20"/>
      <c r="X81" s="20"/>
      <c r="Y81" s="20"/>
      <c r="Z81" s="20"/>
      <c r="AA81" s="20"/>
      <c r="AB81" s="20"/>
    </row>
    <row r="82" spans="2:28" x14ac:dyDescent="0.25">
      <c r="B82" s="20"/>
      <c r="C82" s="20"/>
      <c r="D82" s="20"/>
      <c r="E82" s="20"/>
      <c r="F82" s="20"/>
      <c r="G82" s="20"/>
      <c r="H82" s="20"/>
      <c r="I82" s="20"/>
      <c r="J82" s="20"/>
      <c r="K82" s="20"/>
      <c r="L82" s="20"/>
      <c r="M82" s="20"/>
      <c r="N82" s="20"/>
      <c r="O82" s="20"/>
      <c r="P82" s="20"/>
      <c r="Q82" s="20"/>
      <c r="R82" s="20"/>
      <c r="S82" s="20"/>
      <c r="T82" s="20"/>
      <c r="U82" s="20"/>
      <c r="V82" s="20"/>
      <c r="W82" s="20"/>
      <c r="X82" s="20"/>
      <c r="Y82" s="20"/>
      <c r="Z82" s="20"/>
      <c r="AA82" s="20"/>
      <c r="AB82" s="20"/>
    </row>
    <row r="83" spans="2:28" x14ac:dyDescent="0.25">
      <c r="B83" s="20"/>
      <c r="C83" s="20"/>
      <c r="D83" s="20"/>
      <c r="E83" s="20"/>
      <c r="F83" s="20"/>
      <c r="G83" s="20"/>
      <c r="H83" s="20"/>
      <c r="I83" s="20"/>
      <c r="J83" s="20"/>
      <c r="K83" s="20"/>
      <c r="L83" s="20"/>
      <c r="M83" s="20"/>
      <c r="N83" s="20"/>
      <c r="O83" s="20"/>
      <c r="P83" s="20"/>
      <c r="Q83" s="20"/>
      <c r="R83" s="20"/>
      <c r="S83" s="20"/>
      <c r="T83" s="20"/>
      <c r="U83" s="20"/>
      <c r="V83" s="20"/>
      <c r="W83" s="20"/>
      <c r="X83" s="20"/>
      <c r="Y83" s="20"/>
      <c r="Z83" s="20"/>
      <c r="AA83" s="20"/>
      <c r="AB83" s="20"/>
    </row>
    <row r="84" spans="2:28" x14ac:dyDescent="0.25">
      <c r="B84" s="20"/>
      <c r="C84" s="20"/>
      <c r="D84" s="20"/>
      <c r="E84" s="20"/>
      <c r="F84" s="20"/>
      <c r="G84" s="20"/>
      <c r="H84" s="20"/>
      <c r="I84" s="20"/>
      <c r="J84" s="20"/>
      <c r="K84" s="20"/>
      <c r="L84" s="20"/>
      <c r="M84" s="20"/>
      <c r="N84" s="20"/>
      <c r="O84" s="20"/>
      <c r="P84" s="20"/>
      <c r="Q84" s="20"/>
      <c r="R84" s="20"/>
      <c r="S84" s="20"/>
      <c r="T84" s="20"/>
      <c r="U84" s="20"/>
      <c r="V84" s="20"/>
      <c r="W84" s="20"/>
      <c r="X84" s="20"/>
      <c r="Y84" s="20"/>
      <c r="Z84" s="20"/>
      <c r="AA84" s="20"/>
      <c r="AB84" s="20"/>
    </row>
    <row r="85" spans="2:28" x14ac:dyDescent="0.25">
      <c r="B85" s="20"/>
      <c r="C85" s="20"/>
      <c r="D85" s="20"/>
      <c r="E85" s="20"/>
      <c r="F85" s="20"/>
      <c r="G85" s="20"/>
      <c r="H85" s="20"/>
      <c r="I85" s="20"/>
      <c r="J85" s="20"/>
      <c r="K85" s="20"/>
      <c r="L85" s="20"/>
      <c r="M85" s="20"/>
      <c r="N85" s="20"/>
      <c r="O85" s="20"/>
      <c r="P85" s="20"/>
      <c r="Q85" s="20"/>
      <c r="R85" s="20"/>
      <c r="S85" s="20"/>
      <c r="T85" s="20"/>
      <c r="U85" s="20"/>
      <c r="V85" s="20"/>
      <c r="W85" s="20"/>
      <c r="X85" s="20"/>
      <c r="Y85" s="20"/>
      <c r="Z85" s="20"/>
      <c r="AA85" s="20"/>
      <c r="AB85" s="20"/>
    </row>
    <row r="86" spans="2:28" x14ac:dyDescent="0.25">
      <c r="B86" s="20"/>
      <c r="C86" s="20"/>
      <c r="D86" s="20"/>
      <c r="E86" s="20"/>
      <c r="F86" s="20"/>
      <c r="G86" s="20"/>
      <c r="H86" s="20"/>
      <c r="I86" s="20"/>
      <c r="J86" s="20"/>
      <c r="K86" s="20"/>
      <c r="L86" s="20"/>
      <c r="M86" s="20"/>
      <c r="N86" s="20"/>
      <c r="O86" s="20"/>
      <c r="P86" s="20"/>
      <c r="Q86" s="20"/>
      <c r="R86" s="20"/>
      <c r="S86" s="20"/>
      <c r="T86" s="20"/>
      <c r="U86" s="20"/>
      <c r="V86" s="20"/>
      <c r="W86" s="20"/>
      <c r="X86" s="20"/>
      <c r="Y86" s="20"/>
      <c r="Z86" s="20"/>
      <c r="AA86" s="20"/>
      <c r="AB86" s="20"/>
    </row>
    <row r="87" spans="2:28" x14ac:dyDescent="0.25">
      <c r="B87" s="20"/>
      <c r="C87" s="20"/>
      <c r="D87" s="20"/>
      <c r="E87" s="20"/>
      <c r="F87" s="20"/>
      <c r="G87" s="20"/>
      <c r="H87" s="20"/>
      <c r="I87" s="20"/>
      <c r="J87" s="20"/>
      <c r="K87" s="20"/>
      <c r="L87" s="20"/>
      <c r="M87" s="20"/>
      <c r="N87" s="20"/>
      <c r="O87" s="20"/>
      <c r="P87" s="20"/>
      <c r="Q87" s="20"/>
      <c r="R87" s="20"/>
      <c r="S87" s="20"/>
      <c r="T87" s="20"/>
      <c r="U87" s="20"/>
      <c r="V87" s="20"/>
      <c r="W87" s="20"/>
      <c r="X87" s="20"/>
      <c r="Y87" s="20"/>
      <c r="Z87" s="20"/>
      <c r="AA87" s="20"/>
      <c r="AB87" s="20"/>
    </row>
    <row r="88" spans="2:28" x14ac:dyDescent="0.25">
      <c r="B88" s="20"/>
      <c r="C88" s="20"/>
      <c r="D88" s="20"/>
      <c r="E88" s="20"/>
      <c r="F88" s="20"/>
      <c r="G88" s="20"/>
      <c r="H88" s="20"/>
      <c r="I88" s="20"/>
      <c r="J88" s="20"/>
      <c r="K88" s="20"/>
      <c r="L88" s="20"/>
      <c r="M88" s="20"/>
      <c r="N88" s="20"/>
      <c r="O88" s="20"/>
      <c r="P88" s="20"/>
      <c r="Q88" s="20"/>
      <c r="R88" s="20"/>
      <c r="S88" s="20"/>
      <c r="T88" s="20"/>
      <c r="U88" s="20"/>
      <c r="V88" s="20"/>
      <c r="W88" s="20"/>
      <c r="X88" s="20"/>
      <c r="Y88" s="20"/>
      <c r="Z88" s="20"/>
      <c r="AA88" s="20"/>
      <c r="AB88" s="20"/>
    </row>
    <row r="89" spans="2:28" x14ac:dyDescent="0.25">
      <c r="B89" s="20"/>
      <c r="C89" s="20"/>
      <c r="D89" s="20"/>
      <c r="E89" s="20"/>
      <c r="F89" s="20"/>
      <c r="G89" s="20"/>
      <c r="H89" s="20"/>
      <c r="I89" s="20"/>
      <c r="J89" s="20"/>
      <c r="K89" s="20"/>
      <c r="L89" s="20"/>
      <c r="M89" s="20"/>
      <c r="N89" s="20"/>
      <c r="O89" s="20"/>
      <c r="P89" s="20"/>
      <c r="Q89" s="20"/>
      <c r="R89" s="20"/>
      <c r="S89" s="20"/>
      <c r="T89" s="20"/>
      <c r="U89" s="20"/>
      <c r="V89" s="20"/>
      <c r="W89" s="20"/>
      <c r="X89" s="20"/>
      <c r="Y89" s="20"/>
      <c r="Z89" s="20"/>
      <c r="AA89" s="20"/>
      <c r="AB89" s="20"/>
    </row>
    <row r="90" spans="2:28" x14ac:dyDescent="0.25">
      <c r="B90" s="20"/>
      <c r="C90" s="20"/>
      <c r="D90" s="20"/>
      <c r="E90" s="20"/>
      <c r="F90" s="20"/>
      <c r="G90" s="20"/>
      <c r="H90" s="20"/>
      <c r="I90" s="20"/>
      <c r="J90" s="20"/>
      <c r="K90" s="20"/>
      <c r="L90" s="20"/>
      <c r="M90" s="20"/>
      <c r="N90" s="20"/>
      <c r="O90" s="20"/>
      <c r="P90" s="20"/>
      <c r="Q90" s="20"/>
      <c r="R90" s="20"/>
      <c r="S90" s="20"/>
      <c r="T90" s="20"/>
      <c r="U90" s="20"/>
      <c r="V90" s="20"/>
      <c r="W90" s="20"/>
      <c r="X90" s="20"/>
      <c r="Y90" s="20"/>
      <c r="Z90" s="20"/>
      <c r="AA90" s="20"/>
      <c r="AB90" s="20"/>
    </row>
    <row r="91" spans="2:28" x14ac:dyDescent="0.25">
      <c r="B91" s="20"/>
      <c r="C91" s="20"/>
      <c r="D91" s="20"/>
      <c r="E91" s="20"/>
      <c r="F91" s="20"/>
      <c r="G91" s="20"/>
      <c r="H91" s="20"/>
      <c r="I91" s="20"/>
      <c r="J91" s="20"/>
      <c r="K91" s="20"/>
      <c r="L91" s="20"/>
      <c r="M91" s="20"/>
      <c r="N91" s="20"/>
      <c r="O91" s="20"/>
      <c r="P91" s="20"/>
      <c r="Q91" s="20"/>
      <c r="R91" s="20"/>
      <c r="S91" s="20"/>
      <c r="T91" s="20"/>
      <c r="U91" s="20"/>
      <c r="V91" s="20"/>
      <c r="W91" s="20"/>
      <c r="X91" s="20"/>
      <c r="Y91" s="20"/>
      <c r="Z91" s="20"/>
      <c r="AA91" s="20"/>
      <c r="AB91" s="20"/>
    </row>
    <row r="92" spans="2:28" x14ac:dyDescent="0.25">
      <c r="B92" s="20"/>
      <c r="C92" s="20"/>
      <c r="D92" s="20"/>
      <c r="E92" s="20"/>
      <c r="F92" s="20"/>
      <c r="G92" s="20"/>
      <c r="H92" s="20"/>
      <c r="I92" s="20"/>
      <c r="J92" s="20"/>
      <c r="K92" s="20"/>
      <c r="L92" s="20"/>
      <c r="M92" s="20"/>
      <c r="N92" s="20"/>
      <c r="O92" s="20"/>
      <c r="P92" s="20"/>
      <c r="Q92" s="20"/>
      <c r="R92" s="20"/>
      <c r="S92" s="20"/>
      <c r="T92" s="20"/>
      <c r="U92" s="20"/>
      <c r="V92" s="20"/>
      <c r="W92" s="20"/>
      <c r="X92" s="20"/>
      <c r="Y92" s="20"/>
      <c r="Z92" s="20"/>
      <c r="AA92" s="20"/>
      <c r="AB92" s="20"/>
    </row>
    <row r="93" spans="2:28" x14ac:dyDescent="0.25">
      <c r="B93" s="20"/>
      <c r="C93" s="20"/>
      <c r="D93" s="20"/>
      <c r="E93" s="20"/>
      <c r="F93" s="20"/>
      <c r="G93" s="20"/>
      <c r="H93" s="20"/>
      <c r="I93" s="20"/>
      <c r="J93" s="20"/>
      <c r="K93" s="20"/>
      <c r="L93" s="20"/>
      <c r="M93" s="20"/>
      <c r="N93" s="20"/>
      <c r="O93" s="20"/>
      <c r="P93" s="20"/>
      <c r="Q93" s="20"/>
      <c r="R93" s="20"/>
      <c r="S93" s="20"/>
      <c r="T93" s="20"/>
      <c r="U93" s="20"/>
      <c r="V93" s="20"/>
      <c r="W93" s="20"/>
      <c r="X93" s="20"/>
      <c r="Y93" s="20"/>
      <c r="Z93" s="20"/>
      <c r="AA93" s="20"/>
      <c r="AB93" s="20"/>
    </row>
    <row r="94" spans="2:28" x14ac:dyDescent="0.25">
      <c r="B94" s="20"/>
      <c r="C94" s="20"/>
      <c r="D94" s="20"/>
      <c r="E94" s="20"/>
      <c r="F94" s="20"/>
      <c r="G94" s="20"/>
      <c r="H94" s="20"/>
      <c r="I94" s="20"/>
      <c r="J94" s="20"/>
      <c r="K94" s="20"/>
      <c r="L94" s="20"/>
      <c r="M94" s="20"/>
      <c r="N94" s="20"/>
      <c r="O94" s="20"/>
      <c r="P94" s="20"/>
      <c r="Q94" s="20"/>
      <c r="R94" s="20"/>
      <c r="S94" s="20"/>
      <c r="T94" s="20"/>
      <c r="U94" s="20"/>
      <c r="V94" s="20"/>
      <c r="W94" s="20"/>
      <c r="X94" s="20"/>
      <c r="Y94" s="20"/>
      <c r="Z94" s="20"/>
      <c r="AA94" s="20"/>
      <c r="AB94" s="20"/>
    </row>
    <row r="95" spans="2:28" x14ac:dyDescent="0.25">
      <c r="B95" s="20"/>
      <c r="C95" s="20"/>
      <c r="D95" s="20"/>
      <c r="E95" s="20"/>
      <c r="F95" s="20"/>
      <c r="G95" s="20"/>
      <c r="H95" s="20"/>
      <c r="I95" s="20"/>
      <c r="J95" s="20"/>
      <c r="K95" s="20"/>
      <c r="L95" s="20"/>
      <c r="M95" s="20"/>
      <c r="N95" s="20"/>
      <c r="O95" s="20"/>
      <c r="P95" s="20"/>
      <c r="Q95" s="20"/>
      <c r="R95" s="20"/>
      <c r="S95" s="20"/>
      <c r="T95" s="20"/>
      <c r="U95" s="20"/>
      <c r="V95" s="20"/>
      <c r="W95" s="20"/>
      <c r="X95" s="20"/>
      <c r="Y95" s="20"/>
      <c r="Z95" s="20"/>
      <c r="AA95" s="20"/>
      <c r="AB95" s="20"/>
    </row>
    <row r="96" spans="2:28" x14ac:dyDescent="0.25">
      <c r="B96" s="20"/>
      <c r="C96" s="20"/>
      <c r="D96" s="20"/>
      <c r="E96" s="20"/>
      <c r="F96" s="20"/>
      <c r="G96" s="20"/>
      <c r="H96" s="20"/>
      <c r="I96" s="20"/>
      <c r="J96" s="20"/>
      <c r="K96" s="20"/>
      <c r="L96" s="20"/>
      <c r="M96" s="20"/>
      <c r="N96" s="20"/>
      <c r="O96" s="20"/>
      <c r="P96" s="20"/>
      <c r="Q96" s="20"/>
      <c r="R96" s="20"/>
      <c r="S96" s="20"/>
      <c r="T96" s="20"/>
      <c r="U96" s="20"/>
      <c r="V96" s="20"/>
      <c r="W96" s="20"/>
      <c r="X96" s="20"/>
      <c r="Y96" s="20"/>
      <c r="Z96" s="20"/>
      <c r="AA96" s="20"/>
      <c r="AB96" s="20"/>
    </row>
    <row r="97" spans="2:28" x14ac:dyDescent="0.25">
      <c r="B97" s="20"/>
      <c r="C97" s="20"/>
      <c r="D97" s="20"/>
      <c r="E97" s="20"/>
      <c r="F97" s="20"/>
      <c r="G97" s="20"/>
      <c r="H97" s="20"/>
      <c r="I97" s="20"/>
      <c r="J97" s="20"/>
      <c r="K97" s="20"/>
      <c r="L97" s="20"/>
      <c r="M97" s="20"/>
      <c r="N97" s="20"/>
      <c r="O97" s="20"/>
      <c r="P97" s="20"/>
      <c r="Q97" s="20"/>
      <c r="R97" s="20"/>
      <c r="S97" s="20"/>
      <c r="T97" s="20"/>
      <c r="U97" s="20"/>
      <c r="V97" s="20"/>
      <c r="W97" s="20"/>
      <c r="X97" s="20"/>
      <c r="Y97" s="20"/>
      <c r="Z97" s="20"/>
      <c r="AA97" s="20"/>
      <c r="AB97" s="20"/>
    </row>
    <row r="98" spans="2:28" x14ac:dyDescent="0.25">
      <c r="B98" s="20"/>
      <c r="C98" s="20"/>
      <c r="D98" s="20"/>
      <c r="E98" s="20"/>
      <c r="F98" s="20"/>
      <c r="G98" s="20"/>
      <c r="H98" s="20"/>
      <c r="I98" s="20"/>
      <c r="J98" s="20"/>
      <c r="K98" s="20"/>
      <c r="L98" s="20"/>
      <c r="M98" s="20"/>
      <c r="N98" s="20"/>
      <c r="O98" s="20"/>
      <c r="P98" s="20"/>
      <c r="Q98" s="20"/>
      <c r="R98" s="20"/>
      <c r="S98" s="20"/>
      <c r="T98" s="20"/>
      <c r="U98" s="20"/>
      <c r="V98" s="20"/>
      <c r="W98" s="20"/>
      <c r="X98" s="20"/>
      <c r="Y98" s="20"/>
      <c r="Z98" s="20"/>
      <c r="AA98" s="20"/>
      <c r="AB98" s="20"/>
    </row>
    <row r="99" spans="2:28" x14ac:dyDescent="0.25">
      <c r="B99" s="20"/>
      <c r="C99" s="20"/>
      <c r="D99" s="20"/>
      <c r="E99" s="20"/>
      <c r="F99" s="20"/>
      <c r="G99" s="20"/>
      <c r="H99" s="20"/>
      <c r="I99" s="20"/>
      <c r="J99" s="20"/>
      <c r="K99" s="20"/>
      <c r="L99" s="20"/>
      <c r="M99" s="20"/>
      <c r="N99" s="20"/>
      <c r="O99" s="20"/>
      <c r="P99" s="20"/>
      <c r="Q99" s="20"/>
      <c r="R99" s="20"/>
      <c r="S99" s="20"/>
      <c r="T99" s="20"/>
      <c r="U99" s="20"/>
      <c r="V99" s="20"/>
      <c r="W99" s="20"/>
      <c r="X99" s="20"/>
      <c r="Y99" s="20"/>
      <c r="Z99" s="20"/>
      <c r="AA99" s="20"/>
      <c r="AB99" s="20"/>
    </row>
    <row r="100" spans="2:28" x14ac:dyDescent="0.25">
      <c r="B100" s="20"/>
      <c r="C100" s="20"/>
      <c r="D100" s="20"/>
      <c r="E100" s="20"/>
      <c r="F100" s="20"/>
      <c r="G100" s="20"/>
      <c r="H100" s="20"/>
      <c r="I100" s="20"/>
      <c r="J100" s="20"/>
      <c r="K100" s="20"/>
      <c r="L100" s="20"/>
      <c r="M100" s="20"/>
      <c r="N100" s="20"/>
      <c r="O100" s="20"/>
      <c r="P100" s="20"/>
      <c r="Q100" s="20"/>
      <c r="R100" s="20"/>
      <c r="S100" s="20"/>
      <c r="T100" s="20"/>
      <c r="U100" s="20"/>
      <c r="V100" s="20"/>
      <c r="W100" s="20"/>
      <c r="X100" s="20"/>
      <c r="Y100" s="20"/>
      <c r="Z100" s="20"/>
      <c r="AA100" s="20"/>
      <c r="AB100" s="20"/>
    </row>
    <row r="101" spans="2:28" x14ac:dyDescent="0.25">
      <c r="B101" s="20"/>
      <c r="C101" s="20"/>
      <c r="D101" s="20"/>
      <c r="E101" s="20"/>
      <c r="F101" s="20"/>
      <c r="G101" s="20"/>
      <c r="H101" s="20"/>
      <c r="I101" s="20"/>
      <c r="J101" s="20"/>
      <c r="K101" s="20"/>
      <c r="L101" s="20"/>
      <c r="M101" s="20"/>
      <c r="N101" s="20"/>
      <c r="O101" s="20"/>
      <c r="P101" s="20"/>
      <c r="Q101" s="20"/>
      <c r="R101" s="20"/>
      <c r="S101" s="20"/>
      <c r="T101" s="20"/>
      <c r="U101" s="20"/>
      <c r="V101" s="20"/>
      <c r="W101" s="20"/>
      <c r="X101" s="20"/>
      <c r="Y101" s="20"/>
      <c r="Z101" s="20"/>
      <c r="AA101" s="20"/>
      <c r="AB101" s="20"/>
    </row>
    <row r="102" spans="2:28" x14ac:dyDescent="0.25">
      <c r="B102" s="20"/>
      <c r="C102" s="20"/>
      <c r="D102" s="20"/>
      <c r="E102" s="20"/>
      <c r="F102" s="20"/>
      <c r="G102" s="20"/>
      <c r="H102" s="20"/>
      <c r="I102" s="20"/>
      <c r="J102" s="20"/>
      <c r="K102" s="20"/>
      <c r="L102" s="20"/>
      <c r="M102" s="20"/>
      <c r="N102" s="20"/>
      <c r="O102" s="20"/>
      <c r="P102" s="20"/>
      <c r="Q102" s="20"/>
      <c r="R102" s="20"/>
      <c r="S102" s="20"/>
      <c r="T102" s="20"/>
      <c r="U102" s="20"/>
      <c r="V102" s="20"/>
      <c r="W102" s="20"/>
      <c r="X102" s="20"/>
      <c r="Y102" s="20"/>
      <c r="Z102" s="20"/>
      <c r="AA102" s="20"/>
      <c r="AB102" s="20"/>
    </row>
    <row r="103" spans="2:28" x14ac:dyDescent="0.25">
      <c r="B103" s="20"/>
      <c r="C103" s="20"/>
      <c r="D103" s="20"/>
      <c r="E103" s="20"/>
      <c r="F103" s="20"/>
      <c r="G103" s="20"/>
      <c r="H103" s="20"/>
      <c r="I103" s="20"/>
      <c r="J103" s="20"/>
      <c r="K103" s="20"/>
      <c r="L103" s="20"/>
      <c r="M103" s="20"/>
      <c r="N103" s="20"/>
      <c r="O103" s="20"/>
      <c r="P103" s="20"/>
      <c r="Q103" s="20"/>
      <c r="R103" s="20"/>
      <c r="S103" s="20"/>
      <c r="T103" s="20"/>
      <c r="U103" s="20"/>
      <c r="V103" s="20"/>
      <c r="W103" s="20"/>
      <c r="X103" s="20"/>
      <c r="Y103" s="20"/>
      <c r="Z103" s="20"/>
      <c r="AA103" s="20"/>
      <c r="AB103" s="20"/>
    </row>
    <row r="104" spans="2:28" x14ac:dyDescent="0.25">
      <c r="B104" s="20"/>
      <c r="C104" s="20"/>
      <c r="D104" s="20"/>
      <c r="E104" s="20"/>
      <c r="F104" s="20"/>
      <c r="G104" s="20"/>
      <c r="H104" s="20"/>
      <c r="I104" s="20"/>
      <c r="J104" s="20"/>
      <c r="K104" s="20"/>
      <c r="L104" s="20"/>
      <c r="M104" s="20"/>
      <c r="N104" s="20"/>
      <c r="O104" s="20"/>
      <c r="P104" s="20"/>
      <c r="Q104" s="20"/>
      <c r="R104" s="20"/>
      <c r="S104" s="20"/>
      <c r="T104" s="20"/>
      <c r="U104" s="20"/>
      <c r="V104" s="20"/>
      <c r="W104" s="20"/>
      <c r="X104" s="20"/>
      <c r="Y104" s="20"/>
      <c r="Z104" s="20"/>
      <c r="AA104" s="20"/>
      <c r="AB104" s="20"/>
    </row>
    <row r="105" spans="2:28" x14ac:dyDescent="0.25">
      <c r="B105" s="20"/>
      <c r="C105" s="20"/>
      <c r="D105" s="20"/>
      <c r="E105" s="20"/>
      <c r="F105" s="20"/>
      <c r="G105" s="20"/>
      <c r="H105" s="20"/>
      <c r="I105" s="20"/>
      <c r="J105" s="20"/>
      <c r="K105" s="20"/>
      <c r="L105" s="20"/>
      <c r="M105" s="20"/>
      <c r="N105" s="20"/>
      <c r="O105" s="20"/>
      <c r="P105" s="20"/>
      <c r="Q105" s="20"/>
      <c r="R105" s="20"/>
      <c r="S105" s="20"/>
      <c r="T105" s="20"/>
      <c r="U105" s="20"/>
      <c r="V105" s="20"/>
      <c r="W105" s="20"/>
      <c r="X105" s="20"/>
      <c r="Y105" s="20"/>
      <c r="Z105" s="20"/>
      <c r="AA105" s="20"/>
      <c r="AB105" s="20"/>
    </row>
    <row r="106" spans="2:28" x14ac:dyDescent="0.25">
      <c r="B106" s="20"/>
      <c r="C106" s="20"/>
      <c r="D106" s="20"/>
      <c r="E106" s="20"/>
      <c r="F106" s="20"/>
      <c r="G106" s="20"/>
      <c r="H106" s="20"/>
      <c r="I106" s="20"/>
      <c r="J106" s="20"/>
      <c r="K106" s="20"/>
      <c r="L106" s="20"/>
      <c r="M106" s="20"/>
      <c r="N106" s="20"/>
      <c r="O106" s="20"/>
      <c r="P106" s="20"/>
      <c r="Q106" s="20"/>
      <c r="R106" s="20"/>
      <c r="S106" s="20"/>
      <c r="T106" s="20"/>
      <c r="U106" s="20"/>
      <c r="V106" s="20"/>
      <c r="W106" s="20"/>
      <c r="X106" s="20"/>
      <c r="Y106" s="20"/>
      <c r="Z106" s="20"/>
      <c r="AA106" s="20"/>
      <c r="AB106" s="20"/>
    </row>
    <row r="107" spans="2:28" x14ac:dyDescent="0.25">
      <c r="B107" s="20"/>
      <c r="C107" s="20"/>
      <c r="D107" s="20"/>
      <c r="E107" s="20"/>
      <c r="F107" s="20"/>
      <c r="G107" s="20"/>
      <c r="H107" s="20"/>
      <c r="I107" s="20"/>
      <c r="J107" s="20"/>
      <c r="K107" s="20"/>
      <c r="L107" s="20"/>
      <c r="M107" s="20"/>
      <c r="N107" s="20"/>
      <c r="O107" s="20"/>
      <c r="P107" s="20"/>
      <c r="Q107" s="20"/>
      <c r="R107" s="20"/>
      <c r="S107" s="20"/>
      <c r="T107" s="20"/>
      <c r="U107" s="20"/>
      <c r="V107" s="20"/>
      <c r="W107" s="20"/>
      <c r="X107" s="20"/>
      <c r="Y107" s="20"/>
      <c r="Z107" s="20"/>
      <c r="AA107" s="20"/>
      <c r="AB107" s="20"/>
    </row>
    <row r="108" spans="2:28" x14ac:dyDescent="0.25">
      <c r="B108" s="20"/>
      <c r="C108" s="20"/>
      <c r="D108" s="20"/>
      <c r="E108" s="20"/>
      <c r="F108" s="20"/>
      <c r="G108" s="20"/>
      <c r="H108" s="20"/>
      <c r="I108" s="20"/>
      <c r="J108" s="20"/>
      <c r="K108" s="20"/>
      <c r="L108" s="20"/>
      <c r="M108" s="20"/>
      <c r="N108" s="20"/>
      <c r="O108" s="20"/>
      <c r="P108" s="20"/>
      <c r="Q108" s="20"/>
      <c r="R108" s="20"/>
      <c r="S108" s="20"/>
      <c r="T108" s="20"/>
      <c r="U108" s="20"/>
      <c r="V108" s="20"/>
      <c r="W108" s="20"/>
      <c r="X108" s="20"/>
      <c r="Y108" s="20"/>
      <c r="Z108" s="20"/>
      <c r="AA108" s="20"/>
      <c r="AB108" s="20"/>
    </row>
    <row r="111" spans="2:28" x14ac:dyDescent="0.25">
      <c r="B111" s="9" t="s">
        <v>308</v>
      </c>
    </row>
    <row r="112" spans="2:28" x14ac:dyDescent="0.25">
      <c r="B112" s="64" t="s">
        <v>0</v>
      </c>
      <c r="C112" s="64" t="s">
        <v>277</v>
      </c>
      <c r="D112" s="64" t="s">
        <v>278</v>
      </c>
      <c r="E112" s="64" t="s">
        <v>279</v>
      </c>
      <c r="F112" s="64" t="s">
        <v>309</v>
      </c>
      <c r="G112" s="64" t="s">
        <v>310</v>
      </c>
      <c r="H112" s="64" t="s">
        <v>311</v>
      </c>
      <c r="I112" s="64" t="s">
        <v>312</v>
      </c>
      <c r="J112" s="64" t="s">
        <v>296</v>
      </c>
      <c r="K112" s="64" t="s">
        <v>297</v>
      </c>
      <c r="L112" s="64" t="s">
        <v>281</v>
      </c>
      <c r="M112" s="64" t="s">
        <v>313</v>
      </c>
      <c r="N112" s="64" t="s">
        <v>314</v>
      </c>
      <c r="O112" s="64" t="s">
        <v>315</v>
      </c>
      <c r="P112" s="64" t="s">
        <v>316</v>
      </c>
      <c r="Q112" s="64" t="s">
        <v>230</v>
      </c>
      <c r="R112" s="64" t="s">
        <v>307</v>
      </c>
      <c r="S112" s="64" t="s">
        <v>317</v>
      </c>
      <c r="T112" s="64" t="s">
        <v>319</v>
      </c>
      <c r="U112" s="64" t="s">
        <v>320</v>
      </c>
      <c r="V112" s="64" t="s">
        <v>298</v>
      </c>
      <c r="W112" s="64" t="s">
        <v>299</v>
      </c>
      <c r="X112" s="64" t="s">
        <v>301</v>
      </c>
      <c r="Y112" s="64" t="s">
        <v>241</v>
      </c>
      <c r="Z112" s="64" t="s">
        <v>321</v>
      </c>
      <c r="AA112" s="64" t="s">
        <v>322</v>
      </c>
      <c r="AB112" s="64" t="s">
        <v>323</v>
      </c>
    </row>
    <row r="113" spans="2:28" x14ac:dyDescent="0.25">
      <c r="B113" s="20">
        <v>1</v>
      </c>
      <c r="C113" s="20"/>
      <c r="D113" s="20"/>
      <c r="E113" s="20"/>
      <c r="F113" s="20"/>
      <c r="G113" s="20"/>
      <c r="H113" s="20"/>
      <c r="I113" s="20"/>
      <c r="J113" s="20"/>
      <c r="K113" s="20"/>
      <c r="L113" s="20"/>
      <c r="M113" s="20"/>
      <c r="N113" s="20"/>
      <c r="O113" s="20"/>
      <c r="P113" s="20"/>
      <c r="Q113" s="20"/>
      <c r="R113" s="20"/>
      <c r="S113" s="20"/>
      <c r="T113" s="20"/>
      <c r="U113" s="20"/>
      <c r="V113" s="20"/>
      <c r="W113" s="20"/>
      <c r="X113" s="20"/>
      <c r="Y113" s="20"/>
      <c r="Z113" s="20"/>
      <c r="AA113" s="20"/>
      <c r="AB113" s="20"/>
    </row>
    <row r="114" spans="2:28" x14ac:dyDescent="0.25">
      <c r="B114" s="20">
        <v>2</v>
      </c>
      <c r="C114" s="20"/>
      <c r="D114" s="20"/>
      <c r="E114" s="20"/>
      <c r="F114" s="20"/>
      <c r="G114" s="20"/>
      <c r="H114" s="20"/>
      <c r="I114" s="20"/>
      <c r="J114" s="20"/>
      <c r="K114" s="20"/>
      <c r="L114" s="20"/>
      <c r="M114" s="20"/>
      <c r="N114" s="20"/>
      <c r="O114" s="20"/>
      <c r="P114" s="20"/>
      <c r="Q114" s="20"/>
      <c r="R114" s="20"/>
      <c r="S114" s="20"/>
      <c r="T114" s="20"/>
      <c r="U114" s="20"/>
      <c r="V114" s="20"/>
      <c r="W114" s="20"/>
      <c r="X114" s="20"/>
      <c r="Y114" s="20"/>
      <c r="Z114" s="20"/>
      <c r="AA114" s="20"/>
      <c r="AB114" s="20"/>
    </row>
    <row r="115" spans="2:28" x14ac:dyDescent="0.25">
      <c r="B115" s="20">
        <v>3</v>
      </c>
      <c r="C115" s="20"/>
      <c r="D115" s="20"/>
      <c r="E115" s="20"/>
      <c r="F115" s="20"/>
      <c r="G115" s="20"/>
      <c r="H115" s="20"/>
      <c r="I115" s="20"/>
      <c r="J115" s="20"/>
      <c r="K115" s="20"/>
      <c r="L115" s="20"/>
      <c r="M115" s="20"/>
      <c r="N115" s="20"/>
      <c r="O115" s="20"/>
      <c r="P115" s="20"/>
      <c r="Q115" s="20"/>
      <c r="R115" s="20"/>
      <c r="S115" s="20"/>
      <c r="T115" s="20"/>
      <c r="U115" s="20"/>
      <c r="V115" s="20"/>
      <c r="W115" s="20"/>
      <c r="X115" s="20"/>
      <c r="Y115" s="20"/>
      <c r="Z115" s="20"/>
      <c r="AA115" s="20"/>
      <c r="AB115" s="20"/>
    </row>
    <row r="116" spans="2:28" x14ac:dyDescent="0.25">
      <c r="B116" s="20">
        <v>4</v>
      </c>
      <c r="C116" s="20"/>
      <c r="D116" s="20"/>
      <c r="E116" s="20"/>
      <c r="F116" s="20"/>
      <c r="G116" s="20"/>
      <c r="H116" s="20"/>
      <c r="I116" s="20"/>
      <c r="J116" s="20"/>
      <c r="K116" s="20"/>
      <c r="L116" s="20"/>
      <c r="M116" s="20"/>
      <c r="N116" s="20"/>
      <c r="O116" s="20"/>
      <c r="P116" s="20"/>
      <c r="Q116" s="20"/>
      <c r="R116" s="20"/>
      <c r="S116" s="20"/>
      <c r="T116" s="20"/>
      <c r="U116" s="20"/>
      <c r="V116" s="20"/>
      <c r="W116" s="20"/>
      <c r="X116" s="20"/>
      <c r="Y116" s="20"/>
      <c r="Z116" s="20"/>
      <c r="AA116" s="20"/>
      <c r="AB116" s="20"/>
    </row>
    <row r="117" spans="2:28" x14ac:dyDescent="0.25">
      <c r="B117" s="20">
        <v>5</v>
      </c>
      <c r="C117" s="20"/>
      <c r="D117" s="20"/>
      <c r="E117" s="20"/>
      <c r="F117" s="20"/>
      <c r="G117" s="20"/>
      <c r="H117" s="20"/>
      <c r="I117" s="20"/>
      <c r="J117" s="20"/>
      <c r="K117" s="20"/>
      <c r="L117" s="20"/>
      <c r="M117" s="20"/>
      <c r="N117" s="20"/>
      <c r="O117" s="20"/>
      <c r="P117" s="20"/>
      <c r="Q117" s="20"/>
      <c r="R117" s="20"/>
      <c r="S117" s="20"/>
      <c r="T117" s="20"/>
      <c r="U117" s="20"/>
      <c r="V117" s="20"/>
      <c r="W117" s="20"/>
      <c r="X117" s="20"/>
      <c r="Y117" s="20"/>
      <c r="Z117" s="20"/>
      <c r="AA117" s="20"/>
      <c r="AB117" s="20"/>
    </row>
    <row r="118" spans="2:28" x14ac:dyDescent="0.25">
      <c r="B118" s="20">
        <v>6</v>
      </c>
      <c r="C118" s="20"/>
      <c r="D118" s="20"/>
      <c r="E118" s="20"/>
      <c r="F118" s="20"/>
      <c r="G118" s="20"/>
      <c r="H118" s="20"/>
      <c r="I118" s="20"/>
      <c r="J118" s="20"/>
      <c r="K118" s="20"/>
      <c r="L118" s="20"/>
      <c r="M118" s="20"/>
      <c r="N118" s="20"/>
      <c r="O118" s="20"/>
      <c r="P118" s="20"/>
      <c r="Q118" s="20"/>
      <c r="R118" s="20"/>
      <c r="S118" s="20"/>
      <c r="T118" s="20"/>
      <c r="U118" s="20"/>
      <c r="V118" s="20"/>
      <c r="W118" s="20"/>
      <c r="X118" s="20"/>
      <c r="Y118" s="20"/>
      <c r="Z118" s="20"/>
      <c r="AA118" s="20"/>
      <c r="AB118" s="20"/>
    </row>
    <row r="119" spans="2:28" x14ac:dyDescent="0.25">
      <c r="B119" s="20">
        <v>7</v>
      </c>
      <c r="C119" s="20"/>
      <c r="D119" s="20"/>
      <c r="E119" s="20"/>
      <c r="F119" s="20"/>
      <c r="G119" s="20"/>
      <c r="H119" s="20"/>
      <c r="I119" s="20"/>
      <c r="J119" s="20"/>
      <c r="K119" s="20"/>
      <c r="L119" s="20"/>
      <c r="M119" s="20"/>
      <c r="N119" s="20"/>
      <c r="O119" s="20"/>
      <c r="P119" s="20"/>
      <c r="Q119" s="20"/>
      <c r="R119" s="20"/>
      <c r="S119" s="20"/>
      <c r="T119" s="20"/>
      <c r="U119" s="20"/>
      <c r="V119" s="20"/>
      <c r="W119" s="20"/>
      <c r="X119" s="20"/>
      <c r="Y119" s="20"/>
      <c r="Z119" s="20"/>
      <c r="AA119" s="20"/>
      <c r="AB119" s="20"/>
    </row>
    <row r="120" spans="2:28" x14ac:dyDescent="0.25">
      <c r="B120" s="20">
        <v>8</v>
      </c>
      <c r="C120" s="20"/>
      <c r="D120" s="20"/>
      <c r="E120" s="20"/>
      <c r="F120" s="20"/>
      <c r="G120" s="20"/>
      <c r="H120" s="20"/>
      <c r="I120" s="20"/>
      <c r="J120" s="20"/>
      <c r="K120" s="20"/>
      <c r="L120" s="20"/>
      <c r="M120" s="20"/>
      <c r="N120" s="20"/>
      <c r="O120" s="20"/>
      <c r="P120" s="20"/>
      <c r="Q120" s="20"/>
      <c r="R120" s="20"/>
      <c r="S120" s="20"/>
      <c r="T120" s="20"/>
      <c r="U120" s="20"/>
      <c r="V120" s="20"/>
      <c r="W120" s="20"/>
      <c r="X120" s="20"/>
      <c r="Y120" s="20"/>
      <c r="Z120" s="20"/>
      <c r="AA120" s="20"/>
      <c r="AB120" s="20"/>
    </row>
    <row r="121" spans="2:28" x14ac:dyDescent="0.25">
      <c r="B121" s="20">
        <v>9</v>
      </c>
      <c r="C121" s="20"/>
      <c r="D121" s="20"/>
      <c r="E121" s="20"/>
      <c r="F121" s="20"/>
      <c r="G121" s="20"/>
      <c r="H121" s="20"/>
      <c r="I121" s="20"/>
      <c r="J121" s="20"/>
      <c r="K121" s="20"/>
      <c r="L121" s="20"/>
      <c r="M121" s="20"/>
      <c r="N121" s="20"/>
      <c r="O121" s="20"/>
      <c r="P121" s="20"/>
      <c r="Q121" s="20"/>
      <c r="R121" s="20"/>
      <c r="S121" s="20"/>
      <c r="T121" s="20"/>
      <c r="U121" s="20"/>
      <c r="V121" s="20"/>
      <c r="W121" s="20"/>
      <c r="X121" s="20"/>
      <c r="Y121" s="20"/>
      <c r="Z121" s="20"/>
      <c r="AA121" s="20"/>
      <c r="AB121" s="20"/>
    </row>
    <row r="122" spans="2:28" x14ac:dyDescent="0.25">
      <c r="B122" s="20">
        <v>10</v>
      </c>
      <c r="C122" s="20"/>
      <c r="D122" s="20"/>
      <c r="E122" s="20"/>
      <c r="F122" s="20"/>
      <c r="G122" s="20"/>
      <c r="H122" s="20"/>
      <c r="I122" s="20"/>
      <c r="J122" s="20"/>
      <c r="K122" s="20"/>
      <c r="L122" s="20"/>
      <c r="M122" s="20"/>
      <c r="N122" s="20"/>
      <c r="O122" s="20"/>
      <c r="P122" s="20"/>
      <c r="Q122" s="20"/>
      <c r="R122" s="20"/>
      <c r="S122" s="20"/>
      <c r="T122" s="20"/>
      <c r="U122" s="20"/>
      <c r="V122" s="20"/>
      <c r="W122" s="20"/>
      <c r="X122" s="20"/>
      <c r="Y122" s="20"/>
      <c r="Z122" s="20"/>
      <c r="AA122" s="20"/>
      <c r="AB122" s="20"/>
    </row>
    <row r="123" spans="2:28" x14ac:dyDescent="0.25">
      <c r="B123" s="20">
        <v>11</v>
      </c>
      <c r="C123" s="20"/>
      <c r="D123" s="20"/>
      <c r="E123" s="20"/>
      <c r="F123" s="20"/>
      <c r="G123" s="20"/>
      <c r="H123" s="20"/>
      <c r="I123" s="20"/>
      <c r="J123" s="20"/>
      <c r="K123" s="20"/>
      <c r="L123" s="20"/>
      <c r="M123" s="20"/>
      <c r="N123" s="20"/>
      <c r="O123" s="20"/>
      <c r="P123" s="20"/>
      <c r="Q123" s="20"/>
      <c r="R123" s="20"/>
      <c r="S123" s="20"/>
      <c r="T123" s="20"/>
      <c r="U123" s="20"/>
      <c r="V123" s="20"/>
      <c r="W123" s="20"/>
      <c r="X123" s="20"/>
      <c r="Y123" s="20"/>
      <c r="Z123" s="20"/>
      <c r="AA123" s="20"/>
      <c r="AB123" s="20"/>
    </row>
    <row r="124" spans="2:28" x14ac:dyDescent="0.25">
      <c r="B124" s="20">
        <v>12</v>
      </c>
      <c r="C124" s="20"/>
      <c r="D124" s="20"/>
      <c r="E124" s="20"/>
      <c r="F124" s="20"/>
      <c r="G124" s="20"/>
      <c r="H124" s="20"/>
      <c r="I124" s="20"/>
      <c r="J124" s="20"/>
      <c r="K124" s="20"/>
      <c r="L124" s="20"/>
      <c r="M124" s="20"/>
      <c r="N124" s="20"/>
      <c r="O124" s="20"/>
      <c r="P124" s="20"/>
      <c r="Q124" s="20"/>
      <c r="R124" s="20"/>
      <c r="S124" s="20"/>
      <c r="T124" s="20"/>
      <c r="U124" s="20"/>
      <c r="V124" s="20"/>
      <c r="W124" s="20"/>
      <c r="X124" s="20"/>
      <c r="Y124" s="20"/>
      <c r="Z124" s="20"/>
      <c r="AA124" s="20"/>
      <c r="AB124" s="20"/>
    </row>
    <row r="125" spans="2:28" x14ac:dyDescent="0.25">
      <c r="B125" s="20">
        <v>13</v>
      </c>
      <c r="C125" s="20"/>
      <c r="D125" s="20"/>
      <c r="E125" s="20"/>
      <c r="F125" s="20"/>
      <c r="G125" s="20"/>
      <c r="H125" s="20"/>
      <c r="I125" s="20"/>
      <c r="J125" s="20"/>
      <c r="K125" s="20"/>
      <c r="L125" s="20"/>
      <c r="M125" s="20"/>
      <c r="N125" s="20"/>
      <c r="O125" s="20"/>
      <c r="P125" s="20"/>
      <c r="Q125" s="20"/>
      <c r="R125" s="20"/>
      <c r="S125" s="20"/>
      <c r="T125" s="20"/>
      <c r="U125" s="20"/>
      <c r="V125" s="20"/>
      <c r="W125" s="20"/>
      <c r="X125" s="20"/>
      <c r="Y125" s="20"/>
      <c r="Z125" s="20"/>
      <c r="AA125" s="20"/>
      <c r="AB125" s="20"/>
    </row>
    <row r="126" spans="2:28" x14ac:dyDescent="0.25">
      <c r="B126" s="20">
        <v>14</v>
      </c>
      <c r="C126" s="20"/>
      <c r="D126" s="20"/>
      <c r="E126" s="20"/>
      <c r="F126" s="20"/>
      <c r="G126" s="20"/>
      <c r="H126" s="20"/>
      <c r="I126" s="20"/>
      <c r="J126" s="20"/>
      <c r="K126" s="20"/>
      <c r="L126" s="20"/>
      <c r="M126" s="20"/>
      <c r="N126" s="20"/>
      <c r="O126" s="20"/>
      <c r="P126" s="20"/>
      <c r="Q126" s="20"/>
      <c r="R126" s="20"/>
      <c r="S126" s="20"/>
      <c r="T126" s="20"/>
      <c r="U126" s="20"/>
      <c r="V126" s="20"/>
      <c r="W126" s="20"/>
      <c r="X126" s="20"/>
      <c r="Y126" s="20"/>
      <c r="Z126" s="20"/>
      <c r="AA126" s="20"/>
      <c r="AB126" s="20"/>
    </row>
    <row r="127" spans="2:28" x14ac:dyDescent="0.25">
      <c r="B127" s="20">
        <v>15</v>
      </c>
      <c r="C127" s="20"/>
      <c r="D127" s="20"/>
      <c r="E127" s="20"/>
      <c r="F127" s="20"/>
      <c r="G127" s="20"/>
      <c r="H127" s="20"/>
      <c r="I127" s="20"/>
      <c r="J127" s="20"/>
      <c r="K127" s="20"/>
      <c r="L127" s="20"/>
      <c r="M127" s="20"/>
      <c r="N127" s="20"/>
      <c r="O127" s="20"/>
      <c r="P127" s="20"/>
      <c r="Q127" s="20"/>
      <c r="R127" s="20"/>
      <c r="S127" s="20"/>
      <c r="T127" s="20"/>
      <c r="U127" s="20"/>
      <c r="V127" s="20"/>
      <c r="W127" s="20"/>
      <c r="X127" s="20"/>
      <c r="Y127" s="20"/>
      <c r="Z127" s="20"/>
      <c r="AA127" s="20"/>
      <c r="AB127" s="20"/>
    </row>
    <row r="128" spans="2:28" x14ac:dyDescent="0.25">
      <c r="B128" s="20">
        <v>16</v>
      </c>
      <c r="C128" s="20"/>
      <c r="D128" s="20"/>
      <c r="E128" s="20"/>
      <c r="F128" s="20"/>
      <c r="G128" s="20"/>
      <c r="H128" s="20"/>
      <c r="I128" s="20"/>
      <c r="J128" s="20"/>
      <c r="K128" s="20"/>
      <c r="L128" s="20"/>
      <c r="M128" s="20"/>
      <c r="N128" s="20"/>
      <c r="O128" s="20"/>
      <c r="P128" s="20"/>
      <c r="Q128" s="20"/>
      <c r="R128" s="20"/>
      <c r="S128" s="20"/>
      <c r="T128" s="20"/>
      <c r="U128" s="20"/>
      <c r="V128" s="20"/>
      <c r="W128" s="20"/>
      <c r="X128" s="20"/>
      <c r="Y128" s="20"/>
      <c r="Z128" s="20"/>
      <c r="AA128" s="20"/>
      <c r="AB128" s="20"/>
    </row>
    <row r="129" spans="2:28" x14ac:dyDescent="0.25">
      <c r="B129" s="20">
        <v>17</v>
      </c>
      <c r="C129" s="20"/>
      <c r="D129" s="20"/>
      <c r="E129" s="20"/>
      <c r="F129" s="20"/>
      <c r="G129" s="20"/>
      <c r="H129" s="20"/>
      <c r="I129" s="20"/>
      <c r="J129" s="20"/>
      <c r="K129" s="20"/>
      <c r="L129" s="20"/>
      <c r="M129" s="20"/>
      <c r="N129" s="20"/>
      <c r="O129" s="20"/>
      <c r="P129" s="20"/>
      <c r="Q129" s="20"/>
      <c r="R129" s="20"/>
      <c r="S129" s="20"/>
      <c r="T129" s="20"/>
      <c r="U129" s="20"/>
      <c r="V129" s="20"/>
      <c r="W129" s="20"/>
      <c r="X129" s="20"/>
      <c r="Y129" s="20"/>
      <c r="Z129" s="20"/>
      <c r="AA129" s="20"/>
      <c r="AB129" s="20"/>
    </row>
    <row r="130" spans="2:28" x14ac:dyDescent="0.25">
      <c r="B130" s="20">
        <v>18</v>
      </c>
      <c r="C130" s="20"/>
      <c r="D130" s="20"/>
      <c r="E130" s="20"/>
      <c r="F130" s="20"/>
      <c r="G130" s="20"/>
      <c r="H130" s="20"/>
      <c r="I130" s="20"/>
      <c r="J130" s="20"/>
      <c r="K130" s="20"/>
      <c r="L130" s="20"/>
      <c r="M130" s="20"/>
      <c r="N130" s="20"/>
      <c r="O130" s="20"/>
      <c r="P130" s="20"/>
      <c r="Q130" s="20"/>
      <c r="R130" s="20"/>
      <c r="S130" s="20"/>
      <c r="T130" s="20"/>
      <c r="U130" s="20"/>
      <c r="V130" s="20"/>
      <c r="W130" s="20"/>
      <c r="X130" s="20"/>
      <c r="Y130" s="20"/>
      <c r="Z130" s="20"/>
      <c r="AA130" s="20"/>
      <c r="AB130" s="20"/>
    </row>
    <row r="131" spans="2:28" x14ac:dyDescent="0.25">
      <c r="B131" s="20">
        <v>19</v>
      </c>
      <c r="C131" s="20"/>
      <c r="D131" s="20"/>
      <c r="E131" s="20"/>
      <c r="F131" s="20"/>
      <c r="G131" s="20"/>
      <c r="H131" s="20"/>
      <c r="I131" s="20"/>
      <c r="J131" s="20"/>
      <c r="K131" s="20"/>
      <c r="L131" s="20"/>
      <c r="M131" s="20"/>
      <c r="N131" s="20"/>
      <c r="O131" s="20"/>
      <c r="P131" s="20"/>
      <c r="Q131" s="20"/>
      <c r="R131" s="20"/>
      <c r="S131" s="20"/>
      <c r="T131" s="20"/>
      <c r="U131" s="20"/>
      <c r="V131" s="20"/>
      <c r="W131" s="20"/>
      <c r="X131" s="20"/>
      <c r="Y131" s="20"/>
      <c r="Z131" s="20"/>
      <c r="AA131" s="20"/>
      <c r="AB131" s="20"/>
    </row>
    <row r="132" spans="2:28" x14ac:dyDescent="0.25">
      <c r="B132" s="20">
        <v>20</v>
      </c>
      <c r="C132" s="20"/>
      <c r="D132" s="20"/>
      <c r="E132" s="20"/>
      <c r="F132" s="20"/>
      <c r="G132" s="20"/>
      <c r="H132" s="20"/>
      <c r="I132" s="20"/>
      <c r="J132" s="20"/>
      <c r="K132" s="20"/>
      <c r="L132" s="20"/>
      <c r="M132" s="20"/>
      <c r="N132" s="20"/>
      <c r="O132" s="20"/>
      <c r="P132" s="20"/>
      <c r="Q132" s="20"/>
      <c r="R132" s="20"/>
      <c r="S132" s="20"/>
      <c r="T132" s="20"/>
      <c r="U132" s="20"/>
      <c r="V132" s="20"/>
      <c r="W132" s="20"/>
      <c r="X132" s="20"/>
      <c r="Y132" s="20"/>
      <c r="Z132" s="20"/>
      <c r="AA132" s="20"/>
      <c r="AB132" s="20"/>
    </row>
    <row r="133" spans="2:28" x14ac:dyDescent="0.25">
      <c r="B133" s="20">
        <v>21</v>
      </c>
      <c r="C133" s="20"/>
      <c r="D133" s="20"/>
      <c r="E133" s="20"/>
      <c r="F133" s="20"/>
      <c r="G133" s="20"/>
      <c r="H133" s="20"/>
      <c r="I133" s="20"/>
      <c r="J133" s="20"/>
      <c r="K133" s="20"/>
      <c r="L133" s="20"/>
      <c r="M133" s="20"/>
      <c r="N133" s="20"/>
      <c r="O133" s="20"/>
      <c r="P133" s="20"/>
      <c r="Q133" s="20"/>
      <c r="R133" s="20"/>
      <c r="S133" s="20"/>
      <c r="T133" s="20"/>
      <c r="U133" s="20"/>
      <c r="V133" s="20"/>
      <c r="W133" s="20"/>
      <c r="X133" s="20"/>
      <c r="Y133" s="20"/>
      <c r="Z133" s="20"/>
      <c r="AA133" s="20"/>
      <c r="AB133" s="20"/>
    </row>
    <row r="134" spans="2:28" x14ac:dyDescent="0.25">
      <c r="B134" s="20">
        <v>22</v>
      </c>
      <c r="C134" s="20"/>
      <c r="D134" s="20"/>
      <c r="E134" s="20"/>
      <c r="F134" s="20"/>
      <c r="G134" s="20"/>
      <c r="H134" s="20"/>
      <c r="I134" s="20"/>
      <c r="J134" s="20"/>
      <c r="K134" s="20"/>
      <c r="L134" s="20"/>
      <c r="M134" s="20"/>
      <c r="N134" s="20"/>
      <c r="O134" s="20"/>
      <c r="P134" s="20"/>
      <c r="Q134" s="20"/>
      <c r="R134" s="20"/>
      <c r="S134" s="20"/>
      <c r="T134" s="20"/>
      <c r="U134" s="20"/>
      <c r="V134" s="20"/>
      <c r="W134" s="20"/>
      <c r="X134" s="20"/>
      <c r="Y134" s="20"/>
      <c r="Z134" s="20"/>
      <c r="AA134" s="20"/>
      <c r="AB134" s="20"/>
    </row>
    <row r="135" spans="2:28" x14ac:dyDescent="0.25">
      <c r="B135" s="20">
        <v>23</v>
      </c>
      <c r="C135" s="20"/>
      <c r="D135" s="20"/>
      <c r="E135" s="20"/>
      <c r="F135" s="20"/>
      <c r="G135" s="20"/>
      <c r="H135" s="20"/>
      <c r="I135" s="20"/>
      <c r="J135" s="20"/>
      <c r="K135" s="20"/>
      <c r="L135" s="20"/>
      <c r="M135" s="20"/>
      <c r="N135" s="20"/>
      <c r="O135" s="20"/>
      <c r="P135" s="20"/>
      <c r="Q135" s="20"/>
      <c r="R135" s="20"/>
      <c r="S135" s="20"/>
      <c r="T135" s="20"/>
      <c r="U135" s="20"/>
      <c r="V135" s="20"/>
      <c r="W135" s="20"/>
      <c r="X135" s="20"/>
      <c r="Y135" s="20"/>
      <c r="Z135" s="20"/>
      <c r="AA135" s="20"/>
      <c r="AB135" s="20"/>
    </row>
    <row r="136" spans="2:28" x14ac:dyDescent="0.25">
      <c r="B136" s="20">
        <v>24</v>
      </c>
      <c r="C136" s="20"/>
      <c r="D136" s="20"/>
      <c r="E136" s="20"/>
      <c r="F136" s="20"/>
      <c r="G136" s="20"/>
      <c r="H136" s="20"/>
      <c r="I136" s="20"/>
      <c r="J136" s="20"/>
      <c r="K136" s="20"/>
      <c r="L136" s="20"/>
      <c r="M136" s="20"/>
      <c r="N136" s="20"/>
      <c r="O136" s="20"/>
      <c r="P136" s="20"/>
      <c r="Q136" s="20"/>
      <c r="R136" s="20"/>
      <c r="S136" s="20"/>
      <c r="T136" s="20"/>
      <c r="U136" s="20"/>
      <c r="V136" s="20"/>
      <c r="W136" s="20"/>
      <c r="X136" s="20"/>
      <c r="Y136" s="20"/>
      <c r="Z136" s="20"/>
      <c r="AA136" s="20"/>
      <c r="AB136" s="20"/>
    </row>
    <row r="137" spans="2:28" x14ac:dyDescent="0.25">
      <c r="B137" s="20">
        <v>25</v>
      </c>
      <c r="C137" s="20"/>
      <c r="D137" s="20"/>
      <c r="E137" s="20"/>
      <c r="F137" s="20"/>
      <c r="G137" s="20"/>
      <c r="H137" s="20"/>
      <c r="I137" s="20"/>
      <c r="J137" s="20"/>
      <c r="K137" s="20"/>
      <c r="L137" s="20"/>
      <c r="M137" s="20"/>
      <c r="N137" s="20"/>
      <c r="O137" s="20"/>
      <c r="P137" s="20"/>
      <c r="Q137" s="20"/>
      <c r="R137" s="20"/>
      <c r="S137" s="20"/>
      <c r="T137" s="20"/>
      <c r="U137" s="20"/>
      <c r="V137" s="20"/>
      <c r="W137" s="20"/>
      <c r="X137" s="20"/>
      <c r="Y137" s="20"/>
      <c r="Z137" s="20"/>
      <c r="AA137" s="20"/>
      <c r="AB137" s="20"/>
    </row>
    <row r="138" spans="2:28" x14ac:dyDescent="0.25">
      <c r="B138" s="20">
        <v>26</v>
      </c>
      <c r="C138" s="20"/>
      <c r="D138" s="20"/>
      <c r="E138" s="20"/>
      <c r="F138" s="20"/>
      <c r="G138" s="20"/>
      <c r="H138" s="20"/>
      <c r="I138" s="20"/>
      <c r="J138" s="20"/>
      <c r="K138" s="20"/>
      <c r="L138" s="20"/>
      <c r="M138" s="20"/>
      <c r="N138" s="20"/>
      <c r="O138" s="20"/>
      <c r="P138" s="20"/>
      <c r="Q138" s="20"/>
      <c r="R138" s="20"/>
      <c r="S138" s="20"/>
      <c r="T138" s="20"/>
      <c r="U138" s="20"/>
      <c r="V138" s="20"/>
      <c r="W138" s="20"/>
      <c r="X138" s="20"/>
      <c r="Y138" s="20"/>
      <c r="Z138" s="20"/>
      <c r="AA138" s="20"/>
      <c r="AB138" s="20"/>
    </row>
    <row r="139" spans="2:28" x14ac:dyDescent="0.25">
      <c r="B139" s="20">
        <v>27</v>
      </c>
      <c r="C139" s="20"/>
      <c r="D139" s="20"/>
      <c r="E139" s="20"/>
      <c r="F139" s="20"/>
      <c r="G139" s="20"/>
      <c r="H139" s="20"/>
      <c r="I139" s="20"/>
      <c r="J139" s="20"/>
      <c r="K139" s="20"/>
      <c r="L139" s="20"/>
      <c r="M139" s="20"/>
      <c r="N139" s="20"/>
      <c r="O139" s="20"/>
      <c r="P139" s="20"/>
      <c r="Q139" s="20"/>
      <c r="R139" s="20"/>
      <c r="S139" s="20"/>
      <c r="T139" s="20"/>
      <c r="U139" s="20"/>
      <c r="V139" s="20"/>
      <c r="W139" s="20"/>
      <c r="X139" s="20"/>
      <c r="Y139" s="20"/>
      <c r="Z139" s="20"/>
      <c r="AA139" s="20"/>
      <c r="AB139" s="20"/>
    </row>
    <row r="140" spans="2:28" x14ac:dyDescent="0.25">
      <c r="B140" s="20">
        <v>28</v>
      </c>
      <c r="C140" s="20"/>
      <c r="D140" s="20"/>
      <c r="E140" s="20"/>
      <c r="F140" s="20"/>
      <c r="G140" s="20"/>
      <c r="H140" s="20"/>
      <c r="I140" s="20"/>
      <c r="J140" s="20"/>
      <c r="K140" s="20"/>
      <c r="L140" s="20"/>
      <c r="M140" s="20"/>
      <c r="N140" s="20"/>
      <c r="O140" s="20"/>
      <c r="P140" s="20"/>
      <c r="Q140" s="20"/>
      <c r="R140" s="20"/>
      <c r="S140" s="20"/>
      <c r="T140" s="20"/>
      <c r="U140" s="20"/>
      <c r="V140" s="20"/>
      <c r="W140" s="20"/>
      <c r="X140" s="20"/>
      <c r="Y140" s="20"/>
      <c r="Z140" s="20"/>
      <c r="AA140" s="20"/>
      <c r="AB140" s="20"/>
    </row>
    <row r="141" spans="2:28" x14ac:dyDescent="0.25">
      <c r="B141" s="20">
        <v>29</v>
      </c>
      <c r="C141" s="20"/>
      <c r="D141" s="20"/>
      <c r="E141" s="20"/>
      <c r="F141" s="20"/>
      <c r="G141" s="20"/>
      <c r="H141" s="20"/>
      <c r="I141" s="20"/>
      <c r="J141" s="20"/>
      <c r="K141" s="20"/>
      <c r="L141" s="20"/>
      <c r="M141" s="20"/>
      <c r="N141" s="20"/>
      <c r="O141" s="20"/>
      <c r="P141" s="20"/>
      <c r="Q141" s="20"/>
      <c r="R141" s="20"/>
      <c r="S141" s="20"/>
      <c r="T141" s="20"/>
      <c r="U141" s="20"/>
      <c r="V141" s="20"/>
      <c r="W141" s="20"/>
      <c r="X141" s="20"/>
      <c r="Y141" s="20"/>
      <c r="Z141" s="20"/>
      <c r="AA141" s="20"/>
      <c r="AB141" s="20"/>
    </row>
    <row r="142" spans="2:28" x14ac:dyDescent="0.25">
      <c r="B142" s="20">
        <v>30</v>
      </c>
      <c r="C142" s="20"/>
      <c r="D142" s="20"/>
      <c r="E142" s="20"/>
      <c r="F142" s="20"/>
      <c r="G142" s="20"/>
      <c r="H142" s="20"/>
      <c r="I142" s="20"/>
      <c r="J142" s="20"/>
      <c r="K142" s="20"/>
      <c r="L142" s="20"/>
      <c r="M142" s="20"/>
      <c r="N142" s="20"/>
      <c r="O142" s="20"/>
      <c r="P142" s="20"/>
      <c r="Q142" s="20"/>
      <c r="R142" s="20"/>
      <c r="S142" s="20"/>
      <c r="T142" s="20"/>
      <c r="U142" s="20"/>
      <c r="V142" s="20"/>
      <c r="W142" s="20"/>
      <c r="X142" s="20"/>
      <c r="Y142" s="20"/>
      <c r="Z142" s="20"/>
      <c r="AA142" s="20"/>
      <c r="AB142" s="20"/>
    </row>
    <row r="143" spans="2:28" x14ac:dyDescent="0.25">
      <c r="B143" s="20">
        <v>31</v>
      </c>
      <c r="C143" s="20"/>
      <c r="D143" s="20"/>
      <c r="E143" s="20"/>
      <c r="F143" s="20"/>
      <c r="G143" s="20"/>
      <c r="H143" s="20"/>
      <c r="I143" s="20"/>
      <c r="J143" s="20"/>
      <c r="K143" s="20"/>
      <c r="L143" s="20"/>
      <c r="M143" s="20"/>
      <c r="N143" s="20"/>
      <c r="O143" s="20"/>
      <c r="P143" s="20"/>
      <c r="Q143" s="20"/>
      <c r="R143" s="20"/>
      <c r="S143" s="20"/>
      <c r="T143" s="20"/>
      <c r="U143" s="20"/>
      <c r="V143" s="20"/>
      <c r="W143" s="20"/>
      <c r="X143" s="20"/>
      <c r="Y143" s="20"/>
      <c r="Z143" s="20"/>
      <c r="AA143" s="20"/>
      <c r="AB143" s="20"/>
    </row>
    <row r="144" spans="2:28" x14ac:dyDescent="0.25">
      <c r="B144" s="20">
        <v>32</v>
      </c>
      <c r="C144" s="20"/>
      <c r="D144" s="20"/>
      <c r="E144" s="20"/>
      <c r="F144" s="20"/>
      <c r="G144" s="20"/>
      <c r="H144" s="20"/>
      <c r="I144" s="20"/>
      <c r="J144" s="20"/>
      <c r="K144" s="20"/>
      <c r="L144" s="20"/>
      <c r="M144" s="20"/>
      <c r="N144" s="20"/>
      <c r="O144" s="20"/>
      <c r="P144" s="20"/>
      <c r="Q144" s="20"/>
      <c r="R144" s="20"/>
      <c r="S144" s="20"/>
      <c r="T144" s="20"/>
      <c r="U144" s="20"/>
      <c r="V144" s="20"/>
      <c r="W144" s="20"/>
      <c r="X144" s="20"/>
      <c r="Y144" s="20"/>
      <c r="Z144" s="20"/>
      <c r="AA144" s="20"/>
      <c r="AB144" s="20"/>
    </row>
    <row r="145" spans="2:28" x14ac:dyDescent="0.25">
      <c r="B145" s="20">
        <v>33</v>
      </c>
      <c r="C145" s="20"/>
      <c r="D145" s="20"/>
      <c r="E145" s="20"/>
      <c r="F145" s="20"/>
      <c r="G145" s="20"/>
      <c r="H145" s="20"/>
      <c r="I145" s="20"/>
      <c r="J145" s="20"/>
      <c r="K145" s="20"/>
      <c r="L145" s="20"/>
      <c r="M145" s="20"/>
      <c r="N145" s="20"/>
      <c r="O145" s="20"/>
      <c r="P145" s="20"/>
      <c r="Q145" s="20"/>
      <c r="R145" s="20"/>
      <c r="S145" s="20"/>
      <c r="T145" s="20"/>
      <c r="U145" s="20"/>
      <c r="V145" s="20"/>
      <c r="W145" s="20"/>
      <c r="X145" s="20"/>
      <c r="Y145" s="20"/>
      <c r="Z145" s="20"/>
      <c r="AA145" s="20"/>
      <c r="AB145" s="20"/>
    </row>
    <row r="146" spans="2:28" x14ac:dyDescent="0.25">
      <c r="B146" s="20">
        <v>34</v>
      </c>
      <c r="C146" s="20"/>
      <c r="D146" s="20"/>
      <c r="E146" s="20"/>
      <c r="F146" s="20"/>
      <c r="G146" s="20"/>
      <c r="H146" s="20"/>
      <c r="I146" s="20"/>
      <c r="J146" s="20"/>
      <c r="K146" s="20"/>
      <c r="L146" s="20"/>
      <c r="M146" s="20"/>
      <c r="N146" s="20"/>
      <c r="O146" s="20"/>
      <c r="P146" s="20"/>
      <c r="Q146" s="20"/>
      <c r="R146" s="20"/>
      <c r="S146" s="20"/>
      <c r="T146" s="20"/>
      <c r="U146" s="20"/>
      <c r="V146" s="20"/>
      <c r="W146" s="20"/>
      <c r="X146" s="20"/>
      <c r="Y146" s="20"/>
      <c r="Z146" s="20"/>
      <c r="AA146" s="20"/>
      <c r="AB146" s="20"/>
    </row>
    <row r="147" spans="2:28" x14ac:dyDescent="0.25">
      <c r="B147" s="20">
        <v>35</v>
      </c>
      <c r="C147" s="20"/>
      <c r="D147" s="20"/>
      <c r="E147" s="20"/>
      <c r="F147" s="20"/>
      <c r="G147" s="20"/>
      <c r="H147" s="20"/>
      <c r="I147" s="20"/>
      <c r="J147" s="20"/>
      <c r="K147" s="20"/>
      <c r="L147" s="20"/>
      <c r="M147" s="20"/>
      <c r="N147" s="20"/>
      <c r="O147" s="20"/>
      <c r="P147" s="20"/>
      <c r="Q147" s="20"/>
      <c r="R147" s="20"/>
      <c r="S147" s="20"/>
      <c r="T147" s="20"/>
      <c r="U147" s="20"/>
      <c r="V147" s="20"/>
      <c r="W147" s="20"/>
      <c r="X147" s="20"/>
      <c r="Y147" s="20"/>
      <c r="Z147" s="20"/>
      <c r="AA147" s="20"/>
      <c r="AB147" s="20"/>
    </row>
    <row r="148" spans="2:28" x14ac:dyDescent="0.25">
      <c r="B148" s="20">
        <v>36</v>
      </c>
      <c r="C148" s="20"/>
      <c r="D148" s="20"/>
      <c r="E148" s="20"/>
      <c r="F148" s="20"/>
      <c r="G148" s="20"/>
      <c r="H148" s="20"/>
      <c r="I148" s="20"/>
      <c r="J148" s="20"/>
      <c r="K148" s="20"/>
      <c r="L148" s="20"/>
      <c r="M148" s="20"/>
      <c r="N148" s="20"/>
      <c r="O148" s="20"/>
      <c r="P148" s="20"/>
      <c r="Q148" s="20"/>
      <c r="R148" s="20"/>
      <c r="S148" s="20"/>
      <c r="T148" s="20"/>
      <c r="U148" s="20"/>
      <c r="V148" s="20"/>
      <c r="W148" s="20"/>
      <c r="X148" s="20"/>
      <c r="Y148" s="20"/>
      <c r="Z148" s="20"/>
      <c r="AA148" s="20"/>
      <c r="AB148" s="20"/>
    </row>
    <row r="149" spans="2:28" x14ac:dyDescent="0.25">
      <c r="B149" s="20">
        <v>37</v>
      </c>
      <c r="C149" s="20"/>
      <c r="D149" s="20"/>
      <c r="E149" s="20"/>
      <c r="F149" s="20"/>
      <c r="G149" s="20"/>
      <c r="H149" s="20"/>
      <c r="I149" s="20"/>
      <c r="J149" s="20"/>
      <c r="K149" s="20"/>
      <c r="L149" s="20"/>
      <c r="M149" s="20"/>
      <c r="N149" s="20"/>
      <c r="O149" s="20"/>
      <c r="P149" s="20"/>
      <c r="Q149" s="20"/>
      <c r="R149" s="20"/>
      <c r="S149" s="20"/>
      <c r="T149" s="20"/>
      <c r="U149" s="20"/>
      <c r="V149" s="20"/>
      <c r="W149" s="20"/>
      <c r="X149" s="20"/>
      <c r="Y149" s="20"/>
      <c r="Z149" s="20"/>
      <c r="AA149" s="20"/>
      <c r="AB149" s="20"/>
    </row>
    <row r="150" spans="2:28" x14ac:dyDescent="0.25">
      <c r="B150" s="20">
        <v>38</v>
      </c>
      <c r="C150" s="20"/>
      <c r="D150" s="20"/>
      <c r="E150" s="20"/>
      <c r="F150" s="20"/>
      <c r="G150" s="20"/>
      <c r="H150" s="20"/>
      <c r="I150" s="20"/>
      <c r="J150" s="20"/>
      <c r="K150" s="20"/>
      <c r="L150" s="20"/>
      <c r="M150" s="20"/>
      <c r="N150" s="20"/>
      <c r="O150" s="20"/>
      <c r="P150" s="20"/>
      <c r="Q150" s="20"/>
      <c r="R150" s="20"/>
      <c r="S150" s="20"/>
      <c r="T150" s="20"/>
      <c r="U150" s="20"/>
      <c r="V150" s="20"/>
      <c r="W150" s="20"/>
      <c r="X150" s="20"/>
      <c r="Y150" s="20"/>
      <c r="Z150" s="20"/>
      <c r="AA150" s="20"/>
      <c r="AB150" s="20"/>
    </row>
    <row r="151" spans="2:28" x14ac:dyDescent="0.25">
      <c r="B151" s="20">
        <v>39</v>
      </c>
      <c r="C151" s="20"/>
      <c r="D151" s="20"/>
      <c r="E151" s="20"/>
      <c r="F151" s="20"/>
      <c r="G151" s="20"/>
      <c r="H151" s="20"/>
      <c r="I151" s="20"/>
      <c r="J151" s="20"/>
      <c r="K151" s="20"/>
      <c r="L151" s="20"/>
      <c r="M151" s="20"/>
      <c r="N151" s="20"/>
      <c r="O151" s="20"/>
      <c r="P151" s="20"/>
      <c r="Q151" s="20"/>
      <c r="R151" s="20"/>
      <c r="S151" s="20"/>
      <c r="T151" s="20"/>
      <c r="U151" s="20"/>
      <c r="V151" s="20"/>
      <c r="W151" s="20"/>
      <c r="X151" s="20"/>
      <c r="Y151" s="20"/>
      <c r="Z151" s="20"/>
      <c r="AA151" s="20"/>
      <c r="AB151" s="20"/>
    </row>
    <row r="152" spans="2:28" x14ac:dyDescent="0.25">
      <c r="B152" s="20">
        <v>40</v>
      </c>
      <c r="C152" s="20"/>
      <c r="D152" s="20"/>
      <c r="E152" s="20"/>
      <c r="F152" s="20"/>
      <c r="G152" s="20"/>
      <c r="H152" s="20"/>
      <c r="I152" s="20"/>
      <c r="J152" s="20"/>
      <c r="K152" s="20"/>
      <c r="L152" s="20"/>
      <c r="M152" s="20"/>
      <c r="N152" s="20"/>
      <c r="O152" s="20"/>
      <c r="P152" s="20"/>
      <c r="Q152" s="20"/>
      <c r="R152" s="20"/>
      <c r="S152" s="20"/>
      <c r="T152" s="20"/>
      <c r="U152" s="20"/>
      <c r="V152" s="20"/>
      <c r="W152" s="20"/>
      <c r="X152" s="20"/>
      <c r="Y152" s="20"/>
      <c r="Z152" s="20"/>
      <c r="AA152" s="20"/>
      <c r="AB152" s="20"/>
    </row>
    <row r="153" spans="2:28" x14ac:dyDescent="0.25">
      <c r="B153" s="20">
        <v>41</v>
      </c>
      <c r="C153" s="20"/>
      <c r="D153" s="20"/>
      <c r="E153" s="20"/>
      <c r="F153" s="20"/>
      <c r="G153" s="20"/>
      <c r="H153" s="20"/>
      <c r="I153" s="20"/>
      <c r="J153" s="20"/>
      <c r="K153" s="20"/>
      <c r="L153" s="20"/>
      <c r="M153" s="20"/>
      <c r="N153" s="20"/>
      <c r="O153" s="20"/>
      <c r="P153" s="20"/>
      <c r="Q153" s="20"/>
      <c r="R153" s="20"/>
      <c r="S153" s="20"/>
      <c r="T153" s="20"/>
      <c r="U153" s="20"/>
      <c r="V153" s="20"/>
      <c r="W153" s="20"/>
      <c r="X153" s="20"/>
      <c r="Y153" s="20"/>
      <c r="Z153" s="20"/>
      <c r="AA153" s="20"/>
      <c r="AB153" s="20"/>
    </row>
    <row r="154" spans="2:28" x14ac:dyDescent="0.25">
      <c r="B154" s="20">
        <v>42</v>
      </c>
      <c r="C154" s="20"/>
      <c r="D154" s="20"/>
      <c r="E154" s="20"/>
      <c r="F154" s="20"/>
      <c r="G154" s="20"/>
      <c r="H154" s="20"/>
      <c r="I154" s="20"/>
      <c r="J154" s="20"/>
      <c r="K154" s="20"/>
      <c r="L154" s="20"/>
      <c r="M154" s="20"/>
      <c r="N154" s="20"/>
      <c r="O154" s="20"/>
      <c r="P154" s="20"/>
      <c r="Q154" s="20"/>
      <c r="R154" s="20"/>
      <c r="S154" s="20"/>
      <c r="T154" s="20"/>
      <c r="U154" s="20"/>
      <c r="V154" s="20"/>
      <c r="W154" s="20"/>
      <c r="X154" s="20"/>
      <c r="Y154" s="20"/>
      <c r="Z154" s="20"/>
      <c r="AA154" s="20"/>
      <c r="AB154" s="20"/>
    </row>
    <row r="155" spans="2:28" x14ac:dyDescent="0.25">
      <c r="B155" s="20">
        <v>43</v>
      </c>
      <c r="C155" s="20"/>
      <c r="D155" s="20"/>
      <c r="E155" s="20"/>
      <c r="F155" s="20"/>
      <c r="G155" s="20"/>
      <c r="H155" s="20"/>
      <c r="I155" s="20"/>
      <c r="J155" s="20"/>
      <c r="K155" s="20"/>
      <c r="L155" s="20"/>
      <c r="M155" s="20"/>
      <c r="N155" s="20"/>
      <c r="O155" s="20"/>
      <c r="P155" s="20"/>
      <c r="Q155" s="20"/>
      <c r="R155" s="20"/>
      <c r="S155" s="20"/>
      <c r="T155" s="20"/>
      <c r="U155" s="20"/>
      <c r="V155" s="20"/>
      <c r="W155" s="20"/>
      <c r="X155" s="20"/>
      <c r="Y155" s="20"/>
      <c r="Z155" s="20"/>
      <c r="AA155" s="20"/>
      <c r="AB155" s="20"/>
    </row>
    <row r="156" spans="2:28" x14ac:dyDescent="0.25">
      <c r="B156" s="20">
        <v>44</v>
      </c>
      <c r="C156" s="20"/>
      <c r="D156" s="20"/>
      <c r="E156" s="20"/>
      <c r="F156" s="20"/>
      <c r="G156" s="20"/>
      <c r="H156" s="20"/>
      <c r="I156" s="20"/>
      <c r="J156" s="20"/>
      <c r="K156" s="20"/>
      <c r="L156" s="20"/>
      <c r="M156" s="20"/>
      <c r="N156" s="20"/>
      <c r="O156" s="20"/>
      <c r="P156" s="20"/>
      <c r="Q156" s="20"/>
      <c r="R156" s="20"/>
      <c r="S156" s="20"/>
      <c r="T156" s="20"/>
      <c r="U156" s="20"/>
      <c r="V156" s="20"/>
      <c r="W156" s="20"/>
      <c r="X156" s="20"/>
      <c r="Y156" s="20"/>
      <c r="Z156" s="20"/>
      <c r="AA156" s="20"/>
      <c r="AB156" s="20"/>
    </row>
    <row r="157" spans="2:28" x14ac:dyDescent="0.25">
      <c r="B157" s="20">
        <v>45</v>
      </c>
      <c r="C157" s="20"/>
      <c r="D157" s="20"/>
      <c r="E157" s="20"/>
      <c r="F157" s="20"/>
      <c r="G157" s="20"/>
      <c r="H157" s="20"/>
      <c r="I157" s="20"/>
      <c r="J157" s="20"/>
      <c r="K157" s="20"/>
      <c r="L157" s="20"/>
      <c r="M157" s="20"/>
      <c r="N157" s="20"/>
      <c r="O157" s="20"/>
      <c r="P157" s="20"/>
      <c r="Q157" s="20"/>
      <c r="R157" s="20"/>
      <c r="S157" s="20"/>
      <c r="T157" s="20"/>
      <c r="U157" s="20"/>
      <c r="V157" s="20"/>
      <c r="W157" s="20"/>
      <c r="X157" s="20"/>
      <c r="Y157" s="20"/>
      <c r="Z157" s="20"/>
      <c r="AA157" s="20"/>
      <c r="AB157" s="20"/>
    </row>
    <row r="158" spans="2:28" x14ac:dyDescent="0.25">
      <c r="B158" s="20">
        <v>46</v>
      </c>
      <c r="C158" s="20"/>
      <c r="D158" s="20"/>
      <c r="E158" s="20"/>
      <c r="F158" s="20"/>
      <c r="G158" s="20"/>
      <c r="H158" s="20"/>
      <c r="I158" s="20"/>
      <c r="J158" s="20"/>
      <c r="K158" s="20"/>
      <c r="L158" s="20"/>
      <c r="M158" s="20"/>
      <c r="N158" s="20"/>
      <c r="O158" s="20"/>
      <c r="P158" s="20"/>
      <c r="Q158" s="20"/>
      <c r="R158" s="20"/>
      <c r="S158" s="20"/>
      <c r="T158" s="20"/>
      <c r="U158" s="20"/>
      <c r="V158" s="20"/>
      <c r="W158" s="20"/>
      <c r="X158" s="20"/>
      <c r="Y158" s="20"/>
      <c r="Z158" s="20"/>
      <c r="AA158" s="20"/>
      <c r="AB158" s="20"/>
    </row>
    <row r="159" spans="2:28" x14ac:dyDescent="0.25">
      <c r="B159" s="20">
        <v>47</v>
      </c>
      <c r="C159" s="20"/>
      <c r="D159" s="20"/>
      <c r="E159" s="20"/>
      <c r="F159" s="20"/>
      <c r="G159" s="20"/>
      <c r="H159" s="20"/>
      <c r="I159" s="20"/>
      <c r="J159" s="20"/>
      <c r="K159" s="20"/>
      <c r="L159" s="20"/>
      <c r="M159" s="20"/>
      <c r="N159" s="20"/>
      <c r="O159" s="20"/>
      <c r="P159" s="20"/>
      <c r="Q159" s="20"/>
      <c r="R159" s="20"/>
      <c r="S159" s="20"/>
      <c r="T159" s="20"/>
      <c r="U159" s="20"/>
      <c r="V159" s="20"/>
      <c r="W159" s="20"/>
      <c r="X159" s="20"/>
      <c r="Y159" s="20"/>
      <c r="Z159" s="20"/>
      <c r="AA159" s="20"/>
      <c r="AB159" s="20"/>
    </row>
    <row r="160" spans="2:28" x14ac:dyDescent="0.25">
      <c r="B160" s="20">
        <v>48</v>
      </c>
      <c r="C160" s="20"/>
      <c r="D160" s="20"/>
      <c r="E160" s="20"/>
      <c r="F160" s="20"/>
      <c r="G160" s="20"/>
      <c r="H160" s="20"/>
      <c r="I160" s="20"/>
      <c r="J160" s="20"/>
      <c r="K160" s="20"/>
      <c r="L160" s="20"/>
      <c r="M160" s="20"/>
      <c r="N160" s="20"/>
      <c r="O160" s="20"/>
      <c r="P160" s="20"/>
      <c r="Q160" s="20"/>
      <c r="R160" s="20"/>
      <c r="S160" s="20"/>
      <c r="T160" s="20"/>
      <c r="U160" s="20"/>
      <c r="V160" s="20"/>
      <c r="W160" s="20"/>
      <c r="X160" s="20"/>
      <c r="Y160" s="20"/>
      <c r="Z160" s="20"/>
      <c r="AA160" s="20"/>
      <c r="AB160" s="20"/>
    </row>
    <row r="161" spans="2:28" x14ac:dyDescent="0.25">
      <c r="B161" s="20">
        <v>49</v>
      </c>
      <c r="C161" s="20"/>
      <c r="D161" s="20"/>
      <c r="E161" s="20"/>
      <c r="F161" s="20"/>
      <c r="G161" s="20"/>
      <c r="H161" s="20"/>
      <c r="I161" s="20"/>
      <c r="J161" s="20"/>
      <c r="K161" s="20"/>
      <c r="L161" s="20"/>
      <c r="M161" s="20"/>
      <c r="N161" s="20"/>
      <c r="O161" s="20"/>
      <c r="P161" s="20"/>
      <c r="Q161" s="20"/>
      <c r="R161" s="20"/>
      <c r="S161" s="20"/>
      <c r="T161" s="20"/>
      <c r="U161" s="20"/>
      <c r="V161" s="20"/>
      <c r="W161" s="20"/>
      <c r="X161" s="20"/>
      <c r="Y161" s="20"/>
      <c r="Z161" s="20"/>
      <c r="AA161" s="20"/>
      <c r="AB161" s="20"/>
    </row>
    <row r="162" spans="2:28" x14ac:dyDescent="0.25">
      <c r="B162" s="20">
        <v>50</v>
      </c>
      <c r="C162" s="20"/>
      <c r="D162" s="20"/>
      <c r="E162" s="20"/>
      <c r="F162" s="20"/>
      <c r="G162" s="20"/>
      <c r="H162" s="20"/>
      <c r="I162" s="20"/>
      <c r="J162" s="20"/>
      <c r="K162" s="20"/>
      <c r="L162" s="20"/>
      <c r="M162" s="20"/>
      <c r="N162" s="20"/>
      <c r="O162" s="20"/>
      <c r="P162" s="20"/>
      <c r="Q162" s="20"/>
      <c r="R162" s="20"/>
      <c r="S162" s="20"/>
      <c r="T162" s="20"/>
      <c r="U162" s="20"/>
      <c r="V162" s="20"/>
      <c r="W162" s="20"/>
      <c r="X162" s="20"/>
      <c r="Y162" s="20"/>
      <c r="Z162" s="20"/>
      <c r="AA162" s="20"/>
      <c r="AB162" s="20"/>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0F6C43-7CEF-4750-8B37-F002743B874C}">
  <sheetPr codeName="Sheet27">
    <tabColor rgb="FFB3FF03"/>
  </sheetPr>
  <dimension ref="B3:AB162"/>
  <sheetViews>
    <sheetView showGridLines="0" showRowColHeaders="0" workbookViewId="0">
      <selection activeCell="D14" sqref="D14"/>
    </sheetView>
  </sheetViews>
  <sheetFormatPr defaultRowHeight="15" x14ac:dyDescent="0.25"/>
  <cols>
    <col min="1" max="1" width="6" customWidth="1"/>
    <col min="5" max="5" width="8" bestFit="1" customWidth="1"/>
    <col min="6" max="6" width="8.7109375" bestFit="1" customWidth="1"/>
    <col min="7" max="7" width="11.5703125" bestFit="1" customWidth="1"/>
    <col min="8" max="8" width="14.28515625" bestFit="1" customWidth="1"/>
    <col min="9" max="9" width="13.85546875" bestFit="1" customWidth="1"/>
    <col min="10" max="10" width="15" bestFit="1" customWidth="1"/>
    <col min="11" max="11" width="16.28515625" bestFit="1" customWidth="1"/>
    <col min="12" max="12" width="11.42578125" bestFit="1" customWidth="1"/>
    <col min="13" max="13" width="10.7109375" bestFit="1" customWidth="1"/>
    <col min="14" max="14" width="13.28515625" bestFit="1" customWidth="1"/>
    <col min="15" max="15" width="17.7109375" bestFit="1" customWidth="1"/>
    <col min="16" max="16" width="19.140625" bestFit="1" customWidth="1"/>
    <col min="17" max="17" width="13.85546875" bestFit="1" customWidth="1"/>
    <col min="18" max="18" width="16.7109375" bestFit="1" customWidth="1"/>
    <col min="19" max="19" width="23.7109375" bestFit="1" customWidth="1"/>
    <col min="20" max="20" width="21.85546875" bestFit="1" customWidth="1"/>
    <col min="21" max="21" width="27.28515625" bestFit="1" customWidth="1"/>
    <col min="22" max="22" width="11.85546875" bestFit="1" customWidth="1"/>
    <col min="23" max="23" width="10.5703125" bestFit="1" customWidth="1"/>
    <col min="24" max="24" width="15" bestFit="1" customWidth="1"/>
    <col min="25" max="25" width="11.42578125" customWidth="1"/>
    <col min="26" max="26" width="18.5703125" bestFit="1" customWidth="1"/>
    <col min="27" max="27" width="18.140625" bestFit="1" customWidth="1"/>
    <col min="28" max="28" width="15.5703125" bestFit="1" customWidth="1"/>
  </cols>
  <sheetData>
    <row r="3" spans="2:28" x14ac:dyDescent="0.25">
      <c r="B3" s="9" t="s">
        <v>305</v>
      </c>
    </row>
    <row r="4" spans="2:28" x14ac:dyDescent="0.25">
      <c r="B4" s="67" t="s">
        <v>0</v>
      </c>
      <c r="C4" s="67" t="s">
        <v>277</v>
      </c>
      <c r="D4" s="67" t="s">
        <v>278</v>
      </c>
      <c r="E4" s="67" t="s">
        <v>279</v>
      </c>
      <c r="F4" s="67" t="s">
        <v>309</v>
      </c>
      <c r="G4" s="67" t="s">
        <v>310</v>
      </c>
      <c r="H4" s="67" t="s">
        <v>311</v>
      </c>
      <c r="I4" s="67" t="s">
        <v>312</v>
      </c>
      <c r="J4" s="67" t="s">
        <v>296</v>
      </c>
      <c r="K4" s="67" t="s">
        <v>297</v>
      </c>
      <c r="L4" s="67" t="s">
        <v>281</v>
      </c>
      <c r="M4" s="67" t="s">
        <v>313</v>
      </c>
      <c r="N4" s="67" t="s">
        <v>314</v>
      </c>
      <c r="O4" s="67" t="s">
        <v>315</v>
      </c>
      <c r="P4" s="67" t="s">
        <v>316</v>
      </c>
      <c r="Q4" s="67" t="s">
        <v>230</v>
      </c>
      <c r="R4" s="67" t="s">
        <v>318</v>
      </c>
      <c r="S4" s="67" t="s">
        <v>317</v>
      </c>
      <c r="T4" s="67" t="s">
        <v>319</v>
      </c>
      <c r="U4" s="67" t="s">
        <v>320</v>
      </c>
      <c r="V4" s="67" t="s">
        <v>298</v>
      </c>
      <c r="W4" s="67" t="s">
        <v>299</v>
      </c>
      <c r="X4" s="67" t="s">
        <v>301</v>
      </c>
      <c r="Y4" s="67" t="s">
        <v>241</v>
      </c>
      <c r="Z4" s="67" t="s">
        <v>321</v>
      </c>
      <c r="AA4" s="67" t="s">
        <v>322</v>
      </c>
      <c r="AB4" s="67" t="s">
        <v>323</v>
      </c>
    </row>
    <row r="5" spans="2:28" x14ac:dyDescent="0.25">
      <c r="B5" s="20"/>
      <c r="C5" s="20"/>
      <c r="D5" s="20"/>
      <c r="E5" s="20"/>
      <c r="F5" s="20"/>
      <c r="G5" s="20"/>
      <c r="H5" s="20"/>
      <c r="I5" s="20"/>
      <c r="J5" s="20"/>
      <c r="K5" s="20"/>
      <c r="L5" s="20"/>
      <c r="M5" s="20"/>
      <c r="N5" s="20"/>
      <c r="O5" s="20"/>
      <c r="P5" s="20"/>
      <c r="Q5" s="20"/>
      <c r="R5" s="20"/>
      <c r="S5" s="20"/>
      <c r="T5" s="20"/>
      <c r="U5" s="20"/>
      <c r="V5" s="20"/>
      <c r="W5" s="20"/>
      <c r="X5" s="20"/>
      <c r="Y5" s="20"/>
      <c r="Z5" s="20"/>
      <c r="AA5" s="20"/>
      <c r="AB5" s="20"/>
    </row>
    <row r="6" spans="2:28" x14ac:dyDescent="0.25">
      <c r="B6" s="20"/>
      <c r="C6" s="20"/>
      <c r="D6" s="20"/>
      <c r="E6" s="20"/>
      <c r="F6" s="20"/>
      <c r="G6" s="20"/>
      <c r="H6" s="20"/>
      <c r="I6" s="20"/>
      <c r="J6" s="20"/>
      <c r="K6" s="20"/>
      <c r="L6" s="20"/>
      <c r="M6" s="20"/>
      <c r="N6" s="20"/>
      <c r="O6" s="20"/>
      <c r="P6" s="20"/>
      <c r="Q6" s="20"/>
      <c r="R6" s="20"/>
      <c r="S6" s="20"/>
      <c r="T6" s="20"/>
      <c r="U6" s="20"/>
      <c r="V6" s="20"/>
      <c r="W6" s="20"/>
      <c r="X6" s="20"/>
      <c r="Y6" s="20"/>
      <c r="Z6" s="20"/>
      <c r="AA6" s="20"/>
      <c r="AB6" s="20"/>
    </row>
    <row r="7" spans="2:28" x14ac:dyDescent="0.25">
      <c r="B7" s="20"/>
      <c r="C7" s="20"/>
      <c r="D7" s="20"/>
      <c r="E7" s="20"/>
      <c r="F7" s="20"/>
      <c r="G7" s="20"/>
      <c r="H7" s="20"/>
      <c r="I7" s="20"/>
      <c r="J7" s="20"/>
      <c r="K7" s="20"/>
      <c r="L7" s="20"/>
      <c r="M7" s="20"/>
      <c r="N7" s="20"/>
      <c r="O7" s="20"/>
      <c r="P7" s="20"/>
      <c r="Q7" s="20"/>
      <c r="R7" s="20"/>
      <c r="S7" s="20"/>
      <c r="T7" s="20"/>
      <c r="U7" s="20"/>
      <c r="V7" s="20"/>
      <c r="W7" s="20"/>
      <c r="X7" s="20"/>
      <c r="Y7" s="20"/>
      <c r="Z7" s="20"/>
      <c r="AA7" s="20"/>
      <c r="AB7" s="20"/>
    </row>
    <row r="8" spans="2:28" x14ac:dyDescent="0.25">
      <c r="B8" s="20"/>
      <c r="C8" s="20"/>
      <c r="D8" s="20"/>
      <c r="E8" s="20"/>
      <c r="F8" s="20"/>
      <c r="G8" s="20"/>
      <c r="H8" s="20"/>
      <c r="I8" s="20"/>
      <c r="J8" s="20"/>
      <c r="K8" s="20"/>
      <c r="L8" s="20"/>
      <c r="M8" s="20"/>
      <c r="N8" s="20"/>
      <c r="O8" s="20"/>
      <c r="P8" s="20"/>
      <c r="Q8" s="20"/>
      <c r="R8" s="20"/>
      <c r="S8" s="20"/>
      <c r="T8" s="20"/>
      <c r="U8" s="20"/>
      <c r="V8" s="20"/>
      <c r="W8" s="20"/>
      <c r="X8" s="20"/>
      <c r="Y8" s="20"/>
      <c r="Z8" s="20"/>
      <c r="AA8" s="20"/>
      <c r="AB8" s="20"/>
    </row>
    <row r="9" spans="2:28" x14ac:dyDescent="0.25">
      <c r="B9" s="20"/>
      <c r="C9" s="20"/>
      <c r="D9" s="20"/>
      <c r="E9" s="20"/>
      <c r="F9" s="20"/>
      <c r="G9" s="20"/>
      <c r="H9" s="20"/>
      <c r="I9" s="20"/>
      <c r="J9" s="20"/>
      <c r="K9" s="20"/>
      <c r="L9" s="20"/>
      <c r="M9" s="20"/>
      <c r="N9" s="20"/>
      <c r="O9" s="20"/>
      <c r="P9" s="20"/>
      <c r="Q9" s="20"/>
      <c r="R9" s="20"/>
      <c r="S9" s="20"/>
      <c r="T9" s="20"/>
      <c r="U9" s="20"/>
      <c r="V9" s="20"/>
      <c r="W9" s="20"/>
      <c r="X9" s="20"/>
      <c r="Y9" s="20"/>
      <c r="Z9" s="20"/>
      <c r="AA9" s="20"/>
      <c r="AB9" s="20"/>
    </row>
    <row r="10" spans="2:28" x14ac:dyDescent="0.25">
      <c r="B10" s="20"/>
      <c r="C10" s="20"/>
      <c r="D10" s="20"/>
      <c r="E10" s="20"/>
      <c r="F10" s="20"/>
      <c r="G10" s="20"/>
      <c r="H10" s="20"/>
      <c r="I10" s="20"/>
      <c r="J10" s="20"/>
      <c r="K10" s="20"/>
      <c r="L10" s="20"/>
      <c r="M10" s="20"/>
      <c r="N10" s="20"/>
      <c r="O10" s="20"/>
      <c r="P10" s="20"/>
      <c r="Q10" s="20"/>
      <c r="R10" s="20"/>
      <c r="S10" s="20"/>
      <c r="T10" s="20"/>
      <c r="U10" s="20"/>
      <c r="V10" s="20"/>
      <c r="W10" s="20"/>
      <c r="X10" s="20"/>
      <c r="Y10" s="20"/>
      <c r="Z10" s="20"/>
      <c r="AA10" s="20"/>
      <c r="AB10" s="20"/>
    </row>
    <row r="11" spans="2:28" x14ac:dyDescent="0.25">
      <c r="B11" s="20"/>
      <c r="C11" s="20"/>
      <c r="D11" s="20"/>
      <c r="E11" s="20"/>
      <c r="F11" s="20"/>
      <c r="G11" s="20"/>
      <c r="H11" s="20"/>
      <c r="I11" s="20"/>
      <c r="J11" s="20"/>
      <c r="K11" s="20"/>
      <c r="L11" s="20"/>
      <c r="M11" s="20"/>
      <c r="N11" s="20"/>
      <c r="O11" s="20"/>
      <c r="P11" s="20"/>
      <c r="Q11" s="20"/>
      <c r="R11" s="20"/>
      <c r="S11" s="20"/>
      <c r="T11" s="20"/>
      <c r="U11" s="20"/>
      <c r="V11" s="20"/>
      <c r="W11" s="20"/>
      <c r="X11" s="20"/>
      <c r="Y11" s="20"/>
      <c r="Z11" s="20"/>
      <c r="AA11" s="20"/>
      <c r="AB11" s="20"/>
    </row>
    <row r="12" spans="2:28" x14ac:dyDescent="0.25">
      <c r="B12" s="20"/>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row>
    <row r="13" spans="2:28" x14ac:dyDescent="0.25">
      <c r="B13" s="20"/>
      <c r="C13" s="20"/>
      <c r="D13" s="20"/>
      <c r="E13" s="20"/>
      <c r="F13" s="20"/>
      <c r="G13" s="20"/>
      <c r="H13" s="20"/>
      <c r="I13" s="20"/>
      <c r="J13" s="20"/>
      <c r="K13" s="20"/>
      <c r="L13" s="20"/>
      <c r="M13" s="20"/>
      <c r="N13" s="20"/>
      <c r="O13" s="20"/>
      <c r="P13" s="20"/>
      <c r="Q13" s="20"/>
      <c r="R13" s="20"/>
      <c r="S13" s="20"/>
      <c r="T13" s="20"/>
      <c r="U13" s="20"/>
      <c r="V13" s="20"/>
      <c r="W13" s="20"/>
      <c r="X13" s="20"/>
      <c r="Y13" s="20"/>
      <c r="Z13" s="20"/>
      <c r="AA13" s="20"/>
      <c r="AB13" s="20"/>
    </row>
    <row r="14" spans="2:28" x14ac:dyDescent="0.25">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row>
    <row r="15" spans="2:28" x14ac:dyDescent="0.25">
      <c r="B15" s="20"/>
      <c r="C15" s="20"/>
      <c r="D15" s="20"/>
      <c r="E15" s="20"/>
      <c r="F15" s="20"/>
      <c r="G15" s="20"/>
      <c r="H15" s="20"/>
      <c r="I15" s="20"/>
      <c r="J15" s="20"/>
      <c r="K15" s="20"/>
      <c r="L15" s="20"/>
      <c r="M15" s="20"/>
      <c r="N15" s="20"/>
      <c r="O15" s="20"/>
      <c r="P15" s="20"/>
      <c r="Q15" s="20"/>
      <c r="R15" s="20"/>
      <c r="S15" s="20"/>
      <c r="T15" s="20"/>
      <c r="U15" s="20"/>
      <c r="V15" s="20"/>
      <c r="W15" s="20"/>
      <c r="X15" s="20"/>
      <c r="Y15" s="20"/>
      <c r="Z15" s="20"/>
      <c r="AA15" s="20"/>
      <c r="AB15" s="20"/>
    </row>
    <row r="16" spans="2:28" x14ac:dyDescent="0.25">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row>
    <row r="17" spans="2:28" x14ac:dyDescent="0.25">
      <c r="B17" s="20"/>
      <c r="C17" s="20"/>
      <c r="D17" s="20"/>
      <c r="E17" s="20"/>
      <c r="F17" s="20"/>
      <c r="G17" s="20"/>
      <c r="H17" s="20"/>
      <c r="I17" s="20"/>
      <c r="J17" s="20"/>
      <c r="K17" s="20"/>
      <c r="L17" s="20"/>
      <c r="M17" s="20"/>
      <c r="N17" s="20"/>
      <c r="O17" s="20"/>
      <c r="P17" s="20"/>
      <c r="Q17" s="20"/>
      <c r="R17" s="20"/>
      <c r="S17" s="20"/>
      <c r="T17" s="20"/>
      <c r="U17" s="20"/>
      <c r="V17" s="20"/>
      <c r="W17" s="20"/>
      <c r="X17" s="20"/>
      <c r="Y17" s="20"/>
      <c r="Z17" s="20"/>
      <c r="AA17" s="20"/>
      <c r="AB17" s="20"/>
    </row>
    <row r="18" spans="2:28" x14ac:dyDescent="0.25">
      <c r="B18" s="20"/>
      <c r="C18" s="20"/>
      <c r="D18" s="20"/>
      <c r="E18" s="20"/>
      <c r="F18" s="20"/>
      <c r="G18" s="20"/>
      <c r="H18" s="20"/>
      <c r="I18" s="20"/>
      <c r="J18" s="20"/>
      <c r="K18" s="20"/>
      <c r="L18" s="20"/>
      <c r="M18" s="20"/>
      <c r="N18" s="20"/>
      <c r="O18" s="20"/>
      <c r="P18" s="20"/>
      <c r="Q18" s="20"/>
      <c r="R18" s="20"/>
      <c r="S18" s="20"/>
      <c r="T18" s="20"/>
      <c r="U18" s="20"/>
      <c r="V18" s="20"/>
      <c r="W18" s="20"/>
      <c r="X18" s="20"/>
      <c r="Y18" s="20"/>
      <c r="Z18" s="20"/>
      <c r="AA18" s="20"/>
      <c r="AB18" s="20"/>
    </row>
    <row r="19" spans="2:28" x14ac:dyDescent="0.25">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row>
    <row r="20" spans="2:28" x14ac:dyDescent="0.25">
      <c r="B20" s="20"/>
      <c r="C20" s="20"/>
      <c r="D20" s="20"/>
      <c r="E20" s="20"/>
      <c r="F20" s="20"/>
      <c r="G20" s="20"/>
      <c r="H20" s="20"/>
      <c r="I20" s="20"/>
      <c r="J20" s="20"/>
      <c r="K20" s="20"/>
      <c r="L20" s="20"/>
      <c r="M20" s="20"/>
      <c r="N20" s="20"/>
      <c r="O20" s="20"/>
      <c r="P20" s="20"/>
      <c r="Q20" s="20"/>
      <c r="R20" s="20"/>
      <c r="S20" s="20"/>
      <c r="T20" s="20"/>
      <c r="U20" s="20"/>
      <c r="V20" s="20"/>
      <c r="W20" s="20"/>
      <c r="X20" s="20"/>
      <c r="Y20" s="20"/>
      <c r="Z20" s="20"/>
      <c r="AA20" s="20"/>
      <c r="AB20" s="20"/>
    </row>
    <row r="21" spans="2:28" x14ac:dyDescent="0.25">
      <c r="B21" s="20"/>
      <c r="C21" s="20"/>
      <c r="D21" s="20"/>
      <c r="E21" s="20"/>
      <c r="F21" s="20"/>
      <c r="G21" s="20"/>
      <c r="H21" s="20"/>
      <c r="I21" s="20"/>
      <c r="J21" s="20"/>
      <c r="K21" s="20"/>
      <c r="L21" s="20"/>
      <c r="M21" s="20"/>
      <c r="N21" s="20"/>
      <c r="O21" s="20"/>
      <c r="P21" s="20"/>
      <c r="Q21" s="20"/>
      <c r="R21" s="20"/>
      <c r="S21" s="20"/>
      <c r="T21" s="20"/>
      <c r="U21" s="20"/>
      <c r="V21" s="20"/>
      <c r="W21" s="20"/>
      <c r="X21" s="20"/>
      <c r="Y21" s="20"/>
      <c r="Z21" s="20"/>
      <c r="AA21" s="20"/>
      <c r="AB21" s="20"/>
    </row>
    <row r="22" spans="2:28" x14ac:dyDescent="0.25">
      <c r="B22" s="20"/>
      <c r="C22" s="20"/>
      <c r="D22" s="20"/>
      <c r="E22" s="20"/>
      <c r="F22" s="20"/>
      <c r="G22" s="20"/>
      <c r="H22" s="20"/>
      <c r="I22" s="20"/>
      <c r="J22" s="20"/>
      <c r="K22" s="20"/>
      <c r="L22" s="20"/>
      <c r="M22" s="20"/>
      <c r="N22" s="20"/>
      <c r="O22" s="20"/>
      <c r="P22" s="20"/>
      <c r="Q22" s="20"/>
      <c r="R22" s="20"/>
      <c r="S22" s="20"/>
      <c r="T22" s="20"/>
      <c r="U22" s="20"/>
      <c r="V22" s="20"/>
      <c r="W22" s="20"/>
      <c r="X22" s="20"/>
      <c r="Y22" s="20"/>
      <c r="Z22" s="20"/>
      <c r="AA22" s="20"/>
      <c r="AB22" s="20"/>
    </row>
    <row r="23" spans="2:28" x14ac:dyDescent="0.25">
      <c r="B23" s="20"/>
      <c r="C23" s="20"/>
      <c r="D23" s="20"/>
      <c r="E23" s="20"/>
      <c r="F23" s="20"/>
      <c r="G23" s="20"/>
      <c r="H23" s="20"/>
      <c r="I23" s="20"/>
      <c r="J23" s="20"/>
      <c r="K23" s="20"/>
      <c r="L23" s="20"/>
      <c r="M23" s="20"/>
      <c r="N23" s="20"/>
      <c r="O23" s="20"/>
      <c r="P23" s="20"/>
      <c r="Q23" s="20"/>
      <c r="R23" s="20"/>
      <c r="S23" s="20"/>
      <c r="T23" s="20"/>
      <c r="U23" s="20"/>
      <c r="V23" s="20"/>
      <c r="W23" s="20"/>
      <c r="X23" s="20"/>
      <c r="Y23" s="20"/>
      <c r="Z23" s="20"/>
      <c r="AA23" s="20"/>
      <c r="AB23" s="20"/>
    </row>
    <row r="24" spans="2:28" x14ac:dyDescent="0.25">
      <c r="B24" s="20"/>
      <c r="C24" s="20"/>
      <c r="D24" s="20"/>
      <c r="E24" s="20"/>
      <c r="F24" s="20"/>
      <c r="G24" s="20"/>
      <c r="H24" s="20"/>
      <c r="I24" s="20"/>
      <c r="J24" s="20"/>
      <c r="K24" s="20"/>
      <c r="L24" s="20"/>
      <c r="M24" s="20"/>
      <c r="N24" s="20"/>
      <c r="O24" s="20"/>
      <c r="P24" s="20"/>
      <c r="Q24" s="20"/>
      <c r="R24" s="20"/>
      <c r="S24" s="20"/>
      <c r="T24" s="20"/>
      <c r="U24" s="20"/>
      <c r="V24" s="20"/>
      <c r="W24" s="20"/>
      <c r="X24" s="20"/>
      <c r="Y24" s="20"/>
      <c r="Z24" s="20"/>
      <c r="AA24" s="20"/>
      <c r="AB24" s="20"/>
    </row>
    <row r="25" spans="2:28" x14ac:dyDescent="0.25">
      <c r="B25" s="20"/>
      <c r="C25" s="20"/>
      <c r="D25" s="20"/>
      <c r="E25" s="20"/>
      <c r="F25" s="20"/>
      <c r="G25" s="20"/>
      <c r="H25" s="20"/>
      <c r="I25" s="20"/>
      <c r="J25" s="20"/>
      <c r="K25" s="20"/>
      <c r="L25" s="20"/>
      <c r="M25" s="20"/>
      <c r="N25" s="20"/>
      <c r="O25" s="20"/>
      <c r="P25" s="20"/>
      <c r="Q25" s="20"/>
      <c r="R25" s="20"/>
      <c r="S25" s="20"/>
      <c r="T25" s="20"/>
      <c r="U25" s="20"/>
      <c r="V25" s="20"/>
      <c r="W25" s="20"/>
      <c r="X25" s="20"/>
      <c r="Y25" s="20"/>
      <c r="Z25" s="20"/>
      <c r="AA25" s="20"/>
      <c r="AB25" s="20"/>
    </row>
    <row r="26" spans="2:28" x14ac:dyDescent="0.25">
      <c r="B26" s="20"/>
      <c r="C26" s="20"/>
      <c r="D26" s="20"/>
      <c r="E26" s="20"/>
      <c r="F26" s="20"/>
      <c r="G26" s="20"/>
      <c r="H26" s="20"/>
      <c r="I26" s="20"/>
      <c r="J26" s="20"/>
      <c r="K26" s="20"/>
      <c r="L26" s="20"/>
      <c r="M26" s="20"/>
      <c r="N26" s="20"/>
      <c r="O26" s="20"/>
      <c r="P26" s="20"/>
      <c r="Q26" s="20"/>
      <c r="R26" s="20"/>
      <c r="S26" s="20"/>
      <c r="T26" s="20"/>
      <c r="U26" s="20"/>
      <c r="V26" s="20"/>
      <c r="W26" s="20"/>
      <c r="X26" s="20"/>
      <c r="Y26" s="20"/>
      <c r="Z26" s="20"/>
      <c r="AA26" s="20"/>
      <c r="AB26" s="20"/>
    </row>
    <row r="27" spans="2:28" x14ac:dyDescent="0.25">
      <c r="B27" s="20"/>
      <c r="C27" s="20"/>
      <c r="D27" s="20"/>
      <c r="E27" s="20"/>
      <c r="F27" s="20"/>
      <c r="G27" s="20"/>
      <c r="H27" s="20"/>
      <c r="I27" s="20"/>
      <c r="J27" s="20"/>
      <c r="K27" s="20"/>
      <c r="L27" s="20"/>
      <c r="M27" s="20"/>
      <c r="N27" s="20"/>
      <c r="O27" s="20"/>
      <c r="P27" s="20"/>
      <c r="Q27" s="20"/>
      <c r="R27" s="20"/>
      <c r="S27" s="20"/>
      <c r="T27" s="20"/>
      <c r="U27" s="20"/>
      <c r="V27" s="20"/>
      <c r="W27" s="20"/>
      <c r="X27" s="20"/>
      <c r="Y27" s="20"/>
      <c r="Z27" s="20"/>
      <c r="AA27" s="20"/>
      <c r="AB27" s="20"/>
    </row>
    <row r="28" spans="2:28" x14ac:dyDescent="0.25">
      <c r="B28" s="20"/>
      <c r="C28" s="20"/>
      <c r="D28" s="20"/>
      <c r="E28" s="20"/>
      <c r="F28" s="20"/>
      <c r="G28" s="20"/>
      <c r="H28" s="20"/>
      <c r="I28" s="20"/>
      <c r="J28" s="20"/>
      <c r="K28" s="20"/>
      <c r="L28" s="20"/>
      <c r="M28" s="20"/>
      <c r="N28" s="20"/>
      <c r="O28" s="20"/>
      <c r="P28" s="20"/>
      <c r="Q28" s="20"/>
      <c r="R28" s="20"/>
      <c r="S28" s="20"/>
      <c r="T28" s="20"/>
      <c r="U28" s="20"/>
      <c r="V28" s="20"/>
      <c r="W28" s="20"/>
      <c r="X28" s="20"/>
      <c r="Y28" s="20"/>
      <c r="Z28" s="20"/>
      <c r="AA28" s="20"/>
      <c r="AB28" s="20"/>
    </row>
    <row r="29" spans="2:28" x14ac:dyDescent="0.25">
      <c r="B29" s="20"/>
      <c r="C29" s="20"/>
      <c r="D29" s="20"/>
      <c r="E29" s="20"/>
      <c r="F29" s="20"/>
      <c r="G29" s="20"/>
      <c r="H29" s="20"/>
      <c r="I29" s="20"/>
      <c r="J29" s="20"/>
      <c r="K29" s="20"/>
      <c r="L29" s="20"/>
      <c r="M29" s="20"/>
      <c r="N29" s="20"/>
      <c r="O29" s="20"/>
      <c r="P29" s="20"/>
      <c r="Q29" s="20"/>
      <c r="R29" s="20"/>
      <c r="S29" s="20"/>
      <c r="T29" s="20"/>
      <c r="U29" s="20"/>
      <c r="V29" s="20"/>
      <c r="W29" s="20"/>
      <c r="X29" s="20"/>
      <c r="Y29" s="20"/>
      <c r="Z29" s="20"/>
      <c r="AA29" s="20"/>
      <c r="AB29" s="20"/>
    </row>
    <row r="30" spans="2:28" x14ac:dyDescent="0.25">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row>
    <row r="31" spans="2:28" x14ac:dyDescent="0.25">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row>
    <row r="32" spans="2:28" x14ac:dyDescent="0.25">
      <c r="B32" s="20"/>
      <c r="C32" s="20"/>
      <c r="D32" s="20"/>
      <c r="E32" s="20"/>
      <c r="F32" s="20"/>
      <c r="G32" s="20"/>
      <c r="H32" s="20"/>
      <c r="I32" s="20"/>
      <c r="J32" s="20"/>
      <c r="K32" s="20"/>
      <c r="L32" s="20"/>
      <c r="M32" s="20"/>
      <c r="N32" s="20"/>
      <c r="O32" s="20"/>
      <c r="P32" s="20"/>
      <c r="Q32" s="20"/>
      <c r="R32" s="20"/>
      <c r="S32" s="20"/>
      <c r="T32" s="20"/>
      <c r="U32" s="20"/>
      <c r="V32" s="20"/>
      <c r="W32" s="20"/>
      <c r="X32" s="20"/>
      <c r="Y32" s="20"/>
      <c r="Z32" s="20"/>
      <c r="AA32" s="20"/>
      <c r="AB32" s="20"/>
    </row>
    <row r="33" spans="2:28" x14ac:dyDescent="0.25">
      <c r="B33" s="20"/>
      <c r="C33" s="20"/>
      <c r="D33" s="20"/>
      <c r="E33" s="20"/>
      <c r="F33" s="20"/>
      <c r="G33" s="20"/>
      <c r="H33" s="20"/>
      <c r="I33" s="20"/>
      <c r="J33" s="20"/>
      <c r="K33" s="20"/>
      <c r="L33" s="20"/>
      <c r="M33" s="20"/>
      <c r="N33" s="20"/>
      <c r="O33" s="20"/>
      <c r="P33" s="20"/>
      <c r="Q33" s="20"/>
      <c r="R33" s="20"/>
      <c r="S33" s="20"/>
      <c r="T33" s="20"/>
      <c r="U33" s="20"/>
      <c r="V33" s="20"/>
      <c r="W33" s="20"/>
      <c r="X33" s="20"/>
      <c r="Y33" s="20"/>
      <c r="Z33" s="20"/>
      <c r="AA33" s="20"/>
      <c r="AB33" s="20"/>
    </row>
    <row r="34" spans="2:28" x14ac:dyDescent="0.25">
      <c r="B34" s="20"/>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row>
    <row r="35" spans="2:28" x14ac:dyDescent="0.25">
      <c r="B35" s="20"/>
      <c r="C35" s="20"/>
      <c r="D35" s="20"/>
      <c r="E35" s="20"/>
      <c r="F35" s="20"/>
      <c r="G35" s="20"/>
      <c r="H35" s="20"/>
      <c r="I35" s="20"/>
      <c r="J35" s="20"/>
      <c r="K35" s="20"/>
      <c r="L35" s="20"/>
      <c r="M35" s="20"/>
      <c r="N35" s="20"/>
      <c r="O35" s="20"/>
      <c r="P35" s="20"/>
      <c r="Q35" s="20"/>
      <c r="R35" s="20"/>
      <c r="S35" s="20"/>
      <c r="T35" s="20"/>
      <c r="U35" s="20"/>
      <c r="V35" s="20"/>
      <c r="W35" s="20"/>
      <c r="X35" s="20"/>
      <c r="Y35" s="20"/>
      <c r="Z35" s="20"/>
      <c r="AA35" s="20"/>
      <c r="AB35" s="20"/>
    </row>
    <row r="36" spans="2:28" x14ac:dyDescent="0.25">
      <c r="B36" s="20"/>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row>
    <row r="37" spans="2:28" x14ac:dyDescent="0.25">
      <c r="B37" s="20"/>
      <c r="C37" s="20"/>
      <c r="D37" s="20"/>
      <c r="E37" s="20"/>
      <c r="F37" s="20"/>
      <c r="G37" s="20"/>
      <c r="H37" s="20"/>
      <c r="I37" s="20"/>
      <c r="J37" s="20"/>
      <c r="K37" s="20"/>
      <c r="L37" s="20"/>
      <c r="M37" s="20"/>
      <c r="N37" s="20"/>
      <c r="O37" s="20"/>
      <c r="P37" s="20"/>
      <c r="Q37" s="20"/>
      <c r="R37" s="20"/>
      <c r="S37" s="20"/>
      <c r="T37" s="20"/>
      <c r="U37" s="20"/>
      <c r="V37" s="20"/>
      <c r="W37" s="20"/>
      <c r="X37" s="20"/>
      <c r="Y37" s="20"/>
      <c r="Z37" s="20"/>
      <c r="AA37" s="20"/>
      <c r="AB37" s="20"/>
    </row>
    <row r="38" spans="2:28" x14ac:dyDescent="0.25">
      <c r="B38" s="20"/>
      <c r="C38" s="20"/>
      <c r="D38" s="20"/>
      <c r="E38" s="20"/>
      <c r="F38" s="20"/>
      <c r="G38" s="20"/>
      <c r="H38" s="20"/>
      <c r="I38" s="20"/>
      <c r="J38" s="20"/>
      <c r="K38" s="20"/>
      <c r="L38" s="20"/>
      <c r="M38" s="20"/>
      <c r="N38" s="20"/>
      <c r="O38" s="20"/>
      <c r="P38" s="20"/>
      <c r="Q38" s="20"/>
      <c r="R38" s="20"/>
      <c r="S38" s="20"/>
      <c r="T38" s="20"/>
      <c r="U38" s="20"/>
      <c r="V38" s="20"/>
      <c r="W38" s="20"/>
      <c r="X38" s="20"/>
      <c r="Y38" s="20"/>
      <c r="Z38" s="20"/>
      <c r="AA38" s="20"/>
      <c r="AB38" s="20"/>
    </row>
    <row r="39" spans="2:28" x14ac:dyDescent="0.25">
      <c r="B39" s="20"/>
      <c r="C39" s="20"/>
      <c r="D39" s="20"/>
      <c r="E39" s="20"/>
      <c r="F39" s="20"/>
      <c r="G39" s="20"/>
      <c r="H39" s="20"/>
      <c r="I39" s="20"/>
      <c r="J39" s="20"/>
      <c r="K39" s="20"/>
      <c r="L39" s="20"/>
      <c r="M39" s="20"/>
      <c r="N39" s="20"/>
      <c r="O39" s="20"/>
      <c r="P39" s="20"/>
      <c r="Q39" s="20"/>
      <c r="R39" s="20"/>
      <c r="S39" s="20"/>
      <c r="T39" s="20"/>
      <c r="U39" s="20"/>
      <c r="V39" s="20"/>
      <c r="W39" s="20"/>
      <c r="X39" s="20"/>
      <c r="Y39" s="20"/>
      <c r="Z39" s="20"/>
      <c r="AA39" s="20"/>
      <c r="AB39" s="20"/>
    </row>
    <row r="40" spans="2:28" x14ac:dyDescent="0.25">
      <c r="B40" s="20"/>
      <c r="C40" s="20"/>
      <c r="D40" s="20"/>
      <c r="E40" s="20"/>
      <c r="F40" s="20"/>
      <c r="G40" s="20"/>
      <c r="H40" s="20"/>
      <c r="I40" s="20"/>
      <c r="J40" s="20"/>
      <c r="K40" s="20"/>
      <c r="L40" s="20"/>
      <c r="M40" s="20"/>
      <c r="N40" s="20"/>
      <c r="O40" s="20"/>
      <c r="P40" s="20"/>
      <c r="Q40" s="20"/>
      <c r="R40" s="20"/>
      <c r="S40" s="20"/>
      <c r="T40" s="20"/>
      <c r="U40" s="20"/>
      <c r="V40" s="20"/>
      <c r="W40" s="20"/>
      <c r="X40" s="20"/>
      <c r="Y40" s="20"/>
      <c r="Z40" s="20"/>
      <c r="AA40" s="20"/>
      <c r="AB40" s="20"/>
    </row>
    <row r="41" spans="2:28" x14ac:dyDescent="0.25">
      <c r="B41" s="20"/>
      <c r="C41" s="20"/>
      <c r="D41" s="20"/>
      <c r="E41" s="20"/>
      <c r="F41" s="20"/>
      <c r="G41" s="20"/>
      <c r="H41" s="20"/>
      <c r="I41" s="20"/>
      <c r="J41" s="20"/>
      <c r="K41" s="20"/>
      <c r="L41" s="20"/>
      <c r="M41" s="20"/>
      <c r="N41" s="20"/>
      <c r="O41" s="20"/>
      <c r="P41" s="20"/>
      <c r="Q41" s="20"/>
      <c r="R41" s="20"/>
      <c r="S41" s="20"/>
      <c r="T41" s="20"/>
      <c r="U41" s="20"/>
      <c r="V41" s="20"/>
      <c r="W41" s="20"/>
      <c r="X41" s="20"/>
      <c r="Y41" s="20"/>
      <c r="Z41" s="20"/>
      <c r="AA41" s="20"/>
      <c r="AB41" s="20"/>
    </row>
    <row r="42" spans="2:28" x14ac:dyDescent="0.25">
      <c r="B42" s="20"/>
      <c r="C42" s="20"/>
      <c r="D42" s="20"/>
      <c r="E42" s="20"/>
      <c r="F42" s="20"/>
      <c r="G42" s="20"/>
      <c r="H42" s="20"/>
      <c r="I42" s="20"/>
      <c r="J42" s="20"/>
      <c r="K42" s="20"/>
      <c r="L42" s="20"/>
      <c r="M42" s="20"/>
      <c r="N42" s="20"/>
      <c r="O42" s="20"/>
      <c r="P42" s="20"/>
      <c r="Q42" s="20"/>
      <c r="R42" s="20"/>
      <c r="S42" s="20"/>
      <c r="T42" s="20"/>
      <c r="U42" s="20"/>
      <c r="V42" s="20"/>
      <c r="W42" s="20"/>
      <c r="X42" s="20"/>
      <c r="Y42" s="20"/>
      <c r="Z42" s="20"/>
      <c r="AA42" s="20"/>
      <c r="AB42" s="20"/>
    </row>
    <row r="43" spans="2:28" x14ac:dyDescent="0.25">
      <c r="B43" s="20"/>
      <c r="C43" s="20"/>
      <c r="D43" s="20"/>
      <c r="E43" s="20"/>
      <c r="F43" s="20"/>
      <c r="G43" s="20"/>
      <c r="H43" s="20"/>
      <c r="I43" s="20"/>
      <c r="J43" s="20"/>
      <c r="K43" s="20"/>
      <c r="L43" s="20"/>
      <c r="M43" s="20"/>
      <c r="N43" s="20"/>
      <c r="O43" s="20"/>
      <c r="P43" s="20"/>
      <c r="Q43" s="20"/>
      <c r="R43" s="20"/>
      <c r="S43" s="20"/>
      <c r="T43" s="20"/>
      <c r="U43" s="20"/>
      <c r="V43" s="20"/>
      <c r="W43" s="20"/>
      <c r="X43" s="20"/>
      <c r="Y43" s="20"/>
      <c r="Z43" s="20"/>
      <c r="AA43" s="20"/>
      <c r="AB43" s="20"/>
    </row>
    <row r="44" spans="2:28" x14ac:dyDescent="0.25">
      <c r="B44" s="20"/>
      <c r="C44" s="20"/>
      <c r="D44" s="20"/>
      <c r="E44" s="20"/>
      <c r="F44" s="20"/>
      <c r="G44" s="20"/>
      <c r="H44" s="20"/>
      <c r="I44" s="20"/>
      <c r="J44" s="20"/>
      <c r="K44" s="20"/>
      <c r="L44" s="20"/>
      <c r="M44" s="20"/>
      <c r="N44" s="20"/>
      <c r="O44" s="20"/>
      <c r="P44" s="20"/>
      <c r="Q44" s="20"/>
      <c r="R44" s="20"/>
      <c r="S44" s="20"/>
      <c r="T44" s="20"/>
      <c r="U44" s="20"/>
      <c r="V44" s="20"/>
      <c r="W44" s="20"/>
      <c r="X44" s="20"/>
      <c r="Y44" s="20"/>
      <c r="Z44" s="20"/>
      <c r="AA44" s="20"/>
      <c r="AB44" s="20"/>
    </row>
    <row r="45" spans="2:28" x14ac:dyDescent="0.25">
      <c r="B45" s="20"/>
      <c r="C45" s="20"/>
      <c r="D45" s="20"/>
      <c r="E45" s="20"/>
      <c r="F45" s="20"/>
      <c r="G45" s="20"/>
      <c r="H45" s="20"/>
      <c r="I45" s="20"/>
      <c r="J45" s="20"/>
      <c r="K45" s="20"/>
      <c r="L45" s="20"/>
      <c r="M45" s="20"/>
      <c r="N45" s="20"/>
      <c r="O45" s="20"/>
      <c r="P45" s="20"/>
      <c r="Q45" s="20"/>
      <c r="R45" s="20"/>
      <c r="S45" s="20"/>
      <c r="T45" s="20"/>
      <c r="U45" s="20"/>
      <c r="V45" s="20"/>
      <c r="W45" s="20"/>
      <c r="X45" s="20"/>
      <c r="Y45" s="20"/>
      <c r="Z45" s="20"/>
      <c r="AA45" s="20"/>
      <c r="AB45" s="20"/>
    </row>
    <row r="46" spans="2:28" x14ac:dyDescent="0.25">
      <c r="B46" s="20"/>
      <c r="C46" s="20"/>
      <c r="D46" s="20"/>
      <c r="E46" s="20"/>
      <c r="F46" s="20"/>
      <c r="G46" s="20"/>
      <c r="H46" s="20"/>
      <c r="I46" s="20"/>
      <c r="J46" s="20"/>
      <c r="K46" s="20"/>
      <c r="L46" s="20"/>
      <c r="M46" s="20"/>
      <c r="N46" s="20"/>
      <c r="O46" s="20"/>
      <c r="P46" s="20"/>
      <c r="Q46" s="20"/>
      <c r="R46" s="20"/>
      <c r="S46" s="20"/>
      <c r="T46" s="20"/>
      <c r="U46" s="20"/>
      <c r="V46" s="20"/>
      <c r="W46" s="20"/>
      <c r="X46" s="20"/>
      <c r="Y46" s="20"/>
      <c r="Z46" s="20"/>
      <c r="AA46" s="20"/>
      <c r="AB46" s="20"/>
    </row>
    <row r="47" spans="2:28" x14ac:dyDescent="0.25">
      <c r="B47" s="20"/>
      <c r="C47" s="20"/>
      <c r="D47" s="20"/>
      <c r="E47" s="20"/>
      <c r="F47" s="20"/>
      <c r="G47" s="20"/>
      <c r="H47" s="20"/>
      <c r="I47" s="20"/>
      <c r="J47" s="20"/>
      <c r="K47" s="20"/>
      <c r="L47" s="20"/>
      <c r="M47" s="20"/>
      <c r="N47" s="20"/>
      <c r="O47" s="20"/>
      <c r="P47" s="20"/>
      <c r="Q47" s="20"/>
      <c r="R47" s="20"/>
      <c r="S47" s="20"/>
      <c r="T47" s="20"/>
      <c r="U47" s="20"/>
      <c r="V47" s="20"/>
      <c r="W47" s="20"/>
      <c r="X47" s="20"/>
      <c r="Y47" s="20"/>
      <c r="Z47" s="20"/>
      <c r="AA47" s="20"/>
      <c r="AB47" s="20"/>
    </row>
    <row r="48" spans="2:28" x14ac:dyDescent="0.25">
      <c r="B48" s="20"/>
      <c r="C48" s="20"/>
      <c r="D48" s="20"/>
      <c r="E48" s="20"/>
      <c r="F48" s="20"/>
      <c r="G48" s="20"/>
      <c r="H48" s="20"/>
      <c r="I48" s="20"/>
      <c r="J48" s="20"/>
      <c r="K48" s="20"/>
      <c r="L48" s="20"/>
      <c r="M48" s="20"/>
      <c r="N48" s="20"/>
      <c r="O48" s="20"/>
      <c r="P48" s="20"/>
      <c r="Q48" s="20"/>
      <c r="R48" s="20"/>
      <c r="S48" s="20"/>
      <c r="T48" s="20"/>
      <c r="U48" s="20"/>
      <c r="V48" s="20"/>
      <c r="W48" s="20"/>
      <c r="X48" s="20"/>
      <c r="Y48" s="20"/>
      <c r="Z48" s="20"/>
      <c r="AA48" s="20"/>
      <c r="AB48" s="20"/>
    </row>
    <row r="49" spans="2:28" x14ac:dyDescent="0.25">
      <c r="B49" s="20"/>
      <c r="C49" s="20"/>
      <c r="D49" s="20"/>
      <c r="E49" s="20"/>
      <c r="F49" s="20"/>
      <c r="G49" s="20"/>
      <c r="H49" s="20"/>
      <c r="I49" s="20"/>
      <c r="J49" s="20"/>
      <c r="K49" s="20"/>
      <c r="L49" s="20"/>
      <c r="M49" s="20"/>
      <c r="N49" s="20"/>
      <c r="O49" s="20"/>
      <c r="P49" s="20"/>
      <c r="Q49" s="20"/>
      <c r="R49" s="20"/>
      <c r="S49" s="20"/>
      <c r="T49" s="20"/>
      <c r="U49" s="20"/>
      <c r="V49" s="20"/>
      <c r="W49" s="20"/>
      <c r="X49" s="20"/>
      <c r="Y49" s="20"/>
      <c r="Z49" s="20"/>
      <c r="AA49" s="20"/>
      <c r="AB49" s="20"/>
    </row>
    <row r="50" spans="2:28" x14ac:dyDescent="0.25">
      <c r="B50" s="20"/>
      <c r="C50" s="20"/>
      <c r="D50" s="20"/>
      <c r="E50" s="20"/>
      <c r="F50" s="20"/>
      <c r="G50" s="20"/>
      <c r="H50" s="20"/>
      <c r="I50" s="20"/>
      <c r="J50" s="20"/>
      <c r="K50" s="20"/>
      <c r="L50" s="20"/>
      <c r="M50" s="20"/>
      <c r="N50" s="20"/>
      <c r="O50" s="20"/>
      <c r="P50" s="20"/>
      <c r="Q50" s="20"/>
      <c r="R50" s="20"/>
      <c r="S50" s="20"/>
      <c r="T50" s="20"/>
      <c r="U50" s="20"/>
      <c r="V50" s="20"/>
      <c r="W50" s="20"/>
      <c r="X50" s="20"/>
      <c r="Y50" s="20"/>
      <c r="Z50" s="20"/>
      <c r="AA50" s="20"/>
      <c r="AB50" s="20"/>
    </row>
    <row r="51" spans="2:28" x14ac:dyDescent="0.25">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row>
    <row r="52" spans="2:28" x14ac:dyDescent="0.25">
      <c r="B52" s="20"/>
      <c r="C52" s="20"/>
      <c r="D52" s="20"/>
      <c r="E52" s="20"/>
      <c r="F52" s="20"/>
      <c r="G52" s="20"/>
      <c r="H52" s="20"/>
      <c r="I52" s="20"/>
      <c r="J52" s="20"/>
      <c r="K52" s="20"/>
      <c r="L52" s="20"/>
      <c r="M52" s="20"/>
      <c r="N52" s="20"/>
      <c r="O52" s="20"/>
      <c r="P52" s="20"/>
      <c r="Q52" s="20"/>
      <c r="R52" s="20"/>
      <c r="S52" s="20"/>
      <c r="T52" s="20"/>
      <c r="U52" s="20"/>
      <c r="V52" s="20"/>
      <c r="W52" s="20"/>
      <c r="X52" s="20"/>
      <c r="Y52" s="20"/>
      <c r="Z52" s="20"/>
      <c r="AA52" s="20"/>
      <c r="AB52" s="20"/>
    </row>
    <row r="53" spans="2:28" x14ac:dyDescent="0.25">
      <c r="B53" s="20"/>
      <c r="C53" s="20"/>
      <c r="D53" s="20"/>
      <c r="E53" s="20"/>
      <c r="F53" s="20"/>
      <c r="G53" s="20"/>
      <c r="H53" s="20"/>
      <c r="I53" s="20"/>
      <c r="J53" s="20"/>
      <c r="K53" s="20"/>
      <c r="L53" s="20"/>
      <c r="M53" s="20"/>
      <c r="N53" s="20"/>
      <c r="O53" s="20"/>
      <c r="P53" s="20"/>
      <c r="Q53" s="20"/>
      <c r="R53" s="20"/>
      <c r="S53" s="20"/>
      <c r="T53" s="20"/>
      <c r="U53" s="20"/>
      <c r="V53" s="20"/>
      <c r="W53" s="20"/>
      <c r="X53" s="20"/>
      <c r="Y53" s="20"/>
      <c r="Z53" s="20"/>
      <c r="AA53" s="20"/>
      <c r="AB53" s="20"/>
    </row>
    <row r="54" spans="2:28" x14ac:dyDescent="0.25">
      <c r="B54" s="20"/>
      <c r="C54" s="20"/>
      <c r="D54" s="20"/>
      <c r="E54" s="20"/>
      <c r="F54" s="20"/>
      <c r="G54" s="20"/>
      <c r="H54" s="20"/>
      <c r="I54" s="20"/>
      <c r="J54" s="20"/>
      <c r="K54" s="20"/>
      <c r="L54" s="20"/>
      <c r="M54" s="20"/>
      <c r="N54" s="20"/>
      <c r="O54" s="20"/>
      <c r="P54" s="20"/>
      <c r="Q54" s="20"/>
      <c r="R54" s="20"/>
      <c r="S54" s="20"/>
      <c r="T54" s="20"/>
      <c r="U54" s="20"/>
      <c r="V54" s="20"/>
      <c r="W54" s="20"/>
      <c r="X54" s="20"/>
      <c r="Y54" s="20"/>
      <c r="Z54" s="20"/>
      <c r="AA54" s="20"/>
      <c r="AB54" s="20"/>
    </row>
    <row r="57" spans="2:28" x14ac:dyDescent="0.25">
      <c r="B57" s="9" t="s">
        <v>306</v>
      </c>
    </row>
    <row r="58" spans="2:28" x14ac:dyDescent="0.25">
      <c r="B58" s="68" t="s">
        <v>0</v>
      </c>
      <c r="C58" s="68" t="s">
        <v>277</v>
      </c>
      <c r="D58" s="68" t="s">
        <v>278</v>
      </c>
      <c r="E58" s="68" t="s">
        <v>279</v>
      </c>
      <c r="F58" s="68" t="s">
        <v>309</v>
      </c>
      <c r="G58" s="68" t="s">
        <v>310</v>
      </c>
      <c r="H58" s="68" t="s">
        <v>311</v>
      </c>
      <c r="I58" s="68" t="s">
        <v>312</v>
      </c>
      <c r="J58" s="68" t="s">
        <v>296</v>
      </c>
      <c r="K58" s="68" t="s">
        <v>297</v>
      </c>
      <c r="L58" s="68" t="s">
        <v>281</v>
      </c>
      <c r="M58" s="68" t="s">
        <v>313</v>
      </c>
      <c r="N58" s="68" t="s">
        <v>314</v>
      </c>
      <c r="O58" s="68" t="s">
        <v>315</v>
      </c>
      <c r="P58" s="68" t="s">
        <v>316</v>
      </c>
      <c r="Q58" s="68" t="s">
        <v>230</v>
      </c>
      <c r="R58" s="68" t="s">
        <v>307</v>
      </c>
      <c r="S58" s="68" t="s">
        <v>317</v>
      </c>
      <c r="T58" s="68" t="s">
        <v>319</v>
      </c>
      <c r="U58" s="68" t="s">
        <v>320</v>
      </c>
      <c r="V58" s="68" t="s">
        <v>298</v>
      </c>
      <c r="W58" s="68" t="s">
        <v>299</v>
      </c>
      <c r="X58" s="68" t="s">
        <v>301</v>
      </c>
      <c r="Y58" s="68" t="s">
        <v>241</v>
      </c>
      <c r="Z58" s="68" t="s">
        <v>321</v>
      </c>
      <c r="AA58" s="68" t="s">
        <v>322</v>
      </c>
      <c r="AB58" s="68" t="s">
        <v>323</v>
      </c>
    </row>
    <row r="59" spans="2:28" x14ac:dyDescent="0.25">
      <c r="B59" s="20"/>
      <c r="C59" s="20"/>
      <c r="D59" s="20"/>
      <c r="E59" s="20"/>
      <c r="F59" s="20"/>
      <c r="G59" s="20"/>
      <c r="H59" s="20"/>
      <c r="I59" s="20"/>
      <c r="J59" s="20"/>
      <c r="K59" s="20"/>
      <c r="L59" s="20"/>
      <c r="M59" s="20"/>
      <c r="N59" s="20"/>
      <c r="O59" s="20"/>
      <c r="P59" s="20"/>
      <c r="Q59" s="20"/>
      <c r="R59" s="20"/>
      <c r="S59" s="20"/>
      <c r="T59" s="20"/>
      <c r="U59" s="20"/>
      <c r="V59" s="20"/>
      <c r="W59" s="20"/>
      <c r="X59" s="20"/>
      <c r="Y59" s="20"/>
      <c r="Z59" s="20"/>
      <c r="AA59" s="20"/>
      <c r="AB59" s="20"/>
    </row>
    <row r="60" spans="2:28" x14ac:dyDescent="0.25">
      <c r="B60" s="20"/>
      <c r="C60" s="20"/>
      <c r="D60" s="20"/>
      <c r="E60" s="20"/>
      <c r="F60" s="20"/>
      <c r="G60" s="20"/>
      <c r="H60" s="20"/>
      <c r="I60" s="20"/>
      <c r="J60" s="20"/>
      <c r="K60" s="20"/>
      <c r="L60" s="20"/>
      <c r="M60" s="20"/>
      <c r="N60" s="20"/>
      <c r="O60" s="20"/>
      <c r="P60" s="20"/>
      <c r="Q60" s="20"/>
      <c r="R60" s="20"/>
      <c r="S60" s="20"/>
      <c r="T60" s="20"/>
      <c r="U60" s="20"/>
      <c r="V60" s="20"/>
      <c r="W60" s="20"/>
      <c r="X60" s="20"/>
      <c r="Y60" s="20"/>
      <c r="Z60" s="20"/>
      <c r="AA60" s="20"/>
      <c r="AB60" s="20"/>
    </row>
    <row r="61" spans="2:28" x14ac:dyDescent="0.25">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row>
    <row r="62" spans="2:28" x14ac:dyDescent="0.25">
      <c r="B62" s="20"/>
      <c r="C62" s="20"/>
      <c r="D62" s="20"/>
      <c r="E62" s="20"/>
      <c r="F62" s="20"/>
      <c r="G62" s="20"/>
      <c r="H62" s="20"/>
      <c r="I62" s="20"/>
      <c r="J62" s="20"/>
      <c r="K62" s="20"/>
      <c r="L62" s="20"/>
      <c r="M62" s="20"/>
      <c r="N62" s="20"/>
      <c r="O62" s="20"/>
      <c r="P62" s="20"/>
      <c r="Q62" s="20"/>
      <c r="R62" s="20"/>
      <c r="S62" s="20"/>
      <c r="T62" s="20"/>
      <c r="U62" s="20"/>
      <c r="V62" s="20"/>
      <c r="W62" s="20"/>
      <c r="X62" s="20"/>
      <c r="Y62" s="20"/>
      <c r="Z62" s="20"/>
      <c r="AA62" s="20"/>
      <c r="AB62" s="20"/>
    </row>
    <row r="63" spans="2:28" x14ac:dyDescent="0.25">
      <c r="B63" s="20"/>
      <c r="C63" s="20"/>
      <c r="D63" s="20"/>
      <c r="E63" s="20"/>
      <c r="F63" s="20"/>
      <c r="G63" s="20"/>
      <c r="H63" s="20"/>
      <c r="I63" s="20"/>
      <c r="J63" s="20"/>
      <c r="K63" s="20"/>
      <c r="L63" s="20"/>
      <c r="M63" s="20"/>
      <c r="N63" s="20"/>
      <c r="O63" s="20"/>
      <c r="P63" s="20"/>
      <c r="Q63" s="20"/>
      <c r="R63" s="20"/>
      <c r="S63" s="20"/>
      <c r="T63" s="20"/>
      <c r="U63" s="20"/>
      <c r="V63" s="20"/>
      <c r="W63" s="20"/>
      <c r="X63" s="20"/>
      <c r="Y63" s="20"/>
      <c r="Z63" s="20"/>
      <c r="AA63" s="20"/>
      <c r="AB63" s="20"/>
    </row>
    <row r="64" spans="2:28" x14ac:dyDescent="0.25">
      <c r="B64" s="20"/>
      <c r="C64" s="20"/>
      <c r="D64" s="20"/>
      <c r="E64" s="20"/>
      <c r="F64" s="20"/>
      <c r="G64" s="20"/>
      <c r="H64" s="20"/>
      <c r="I64" s="20"/>
      <c r="J64" s="20"/>
      <c r="K64" s="20"/>
      <c r="L64" s="20"/>
      <c r="M64" s="20"/>
      <c r="N64" s="20"/>
      <c r="O64" s="20"/>
      <c r="P64" s="20"/>
      <c r="Q64" s="20"/>
      <c r="R64" s="20"/>
      <c r="S64" s="20"/>
      <c r="T64" s="20"/>
      <c r="U64" s="20"/>
      <c r="V64" s="20"/>
      <c r="W64" s="20"/>
      <c r="X64" s="20"/>
      <c r="Y64" s="20"/>
      <c r="Z64" s="20"/>
      <c r="AA64" s="20"/>
      <c r="AB64" s="20"/>
    </row>
    <row r="65" spans="2:28" x14ac:dyDescent="0.25">
      <c r="B65" s="20"/>
      <c r="C65" s="20"/>
      <c r="D65" s="20"/>
      <c r="E65" s="20"/>
      <c r="F65" s="20"/>
      <c r="G65" s="20"/>
      <c r="H65" s="20"/>
      <c r="I65" s="20"/>
      <c r="J65" s="20"/>
      <c r="K65" s="20"/>
      <c r="L65" s="20"/>
      <c r="M65" s="20"/>
      <c r="N65" s="20"/>
      <c r="O65" s="20"/>
      <c r="P65" s="20"/>
      <c r="Q65" s="20"/>
      <c r="R65" s="20"/>
      <c r="S65" s="20"/>
      <c r="T65" s="20"/>
      <c r="U65" s="20"/>
      <c r="V65" s="20"/>
      <c r="W65" s="20"/>
      <c r="X65" s="20"/>
      <c r="Y65" s="20"/>
      <c r="Z65" s="20"/>
      <c r="AA65" s="20"/>
      <c r="AB65" s="20"/>
    </row>
    <row r="66" spans="2:28" x14ac:dyDescent="0.25">
      <c r="B66" s="20"/>
      <c r="C66" s="20"/>
      <c r="D66" s="20"/>
      <c r="E66" s="20"/>
      <c r="F66" s="20"/>
      <c r="G66" s="20"/>
      <c r="H66" s="20"/>
      <c r="I66" s="20"/>
      <c r="J66" s="20"/>
      <c r="K66" s="20"/>
      <c r="L66" s="20"/>
      <c r="M66" s="20"/>
      <c r="N66" s="20"/>
      <c r="O66" s="20"/>
      <c r="P66" s="20"/>
      <c r="Q66" s="20"/>
      <c r="R66" s="20"/>
      <c r="S66" s="20"/>
      <c r="T66" s="20"/>
      <c r="U66" s="20"/>
      <c r="V66" s="20"/>
      <c r="W66" s="20"/>
      <c r="X66" s="20"/>
      <c r="Y66" s="20"/>
      <c r="Z66" s="20"/>
      <c r="AA66" s="20"/>
      <c r="AB66" s="20"/>
    </row>
    <row r="67" spans="2:28" x14ac:dyDescent="0.25">
      <c r="B67" s="20"/>
      <c r="C67" s="20"/>
      <c r="D67" s="20"/>
      <c r="E67" s="20"/>
      <c r="F67" s="20"/>
      <c r="G67" s="20"/>
      <c r="H67" s="20"/>
      <c r="I67" s="20"/>
      <c r="J67" s="20"/>
      <c r="K67" s="20"/>
      <c r="L67" s="20"/>
      <c r="M67" s="20"/>
      <c r="N67" s="20"/>
      <c r="O67" s="20"/>
      <c r="P67" s="20"/>
      <c r="Q67" s="20"/>
      <c r="R67" s="20"/>
      <c r="S67" s="20"/>
      <c r="T67" s="20"/>
      <c r="U67" s="20"/>
      <c r="V67" s="20"/>
      <c r="W67" s="20"/>
      <c r="X67" s="20"/>
      <c r="Y67" s="20"/>
      <c r="Z67" s="20"/>
      <c r="AA67" s="20"/>
      <c r="AB67" s="20"/>
    </row>
    <row r="68" spans="2:28" x14ac:dyDescent="0.25">
      <c r="B68" s="20"/>
      <c r="C68" s="20"/>
      <c r="D68" s="20"/>
      <c r="E68" s="20"/>
      <c r="F68" s="20"/>
      <c r="G68" s="20"/>
      <c r="H68" s="20"/>
      <c r="I68" s="20"/>
      <c r="J68" s="20"/>
      <c r="K68" s="20"/>
      <c r="L68" s="20"/>
      <c r="M68" s="20"/>
      <c r="N68" s="20"/>
      <c r="O68" s="20"/>
      <c r="P68" s="20"/>
      <c r="Q68" s="20"/>
      <c r="R68" s="20"/>
      <c r="S68" s="20"/>
      <c r="T68" s="20"/>
      <c r="U68" s="20"/>
      <c r="V68" s="20"/>
      <c r="W68" s="20"/>
      <c r="X68" s="20"/>
      <c r="Y68" s="20"/>
      <c r="Z68" s="20"/>
      <c r="AA68" s="20"/>
      <c r="AB68" s="20"/>
    </row>
    <row r="69" spans="2:28" x14ac:dyDescent="0.25">
      <c r="B69" s="20"/>
      <c r="C69" s="20"/>
      <c r="D69" s="20"/>
      <c r="E69" s="20"/>
      <c r="F69" s="20"/>
      <c r="G69" s="20"/>
      <c r="H69" s="20"/>
      <c r="I69" s="20"/>
      <c r="J69" s="20"/>
      <c r="K69" s="20"/>
      <c r="L69" s="20"/>
      <c r="M69" s="20"/>
      <c r="N69" s="20"/>
      <c r="O69" s="20"/>
      <c r="P69" s="20"/>
      <c r="Q69" s="20"/>
      <c r="R69" s="20"/>
      <c r="S69" s="20"/>
      <c r="T69" s="20"/>
      <c r="U69" s="20"/>
      <c r="V69" s="20"/>
      <c r="W69" s="20"/>
      <c r="X69" s="20"/>
      <c r="Y69" s="20"/>
      <c r="Z69" s="20"/>
      <c r="AA69" s="20"/>
      <c r="AB69" s="20"/>
    </row>
    <row r="70" spans="2:28" x14ac:dyDescent="0.25">
      <c r="B70" s="20"/>
      <c r="C70" s="20"/>
      <c r="D70" s="20"/>
      <c r="E70" s="20"/>
      <c r="F70" s="20"/>
      <c r="G70" s="20"/>
      <c r="H70" s="20"/>
      <c r="I70" s="20"/>
      <c r="J70" s="20"/>
      <c r="K70" s="20"/>
      <c r="L70" s="20"/>
      <c r="M70" s="20"/>
      <c r="N70" s="20"/>
      <c r="O70" s="20"/>
      <c r="P70" s="20"/>
      <c r="Q70" s="20"/>
      <c r="R70" s="20"/>
      <c r="S70" s="20"/>
      <c r="T70" s="20"/>
      <c r="U70" s="20"/>
      <c r="V70" s="20"/>
      <c r="W70" s="20"/>
      <c r="X70" s="20"/>
      <c r="Y70" s="20"/>
      <c r="Z70" s="20"/>
      <c r="AA70" s="20"/>
      <c r="AB70" s="20"/>
    </row>
    <row r="71" spans="2:28" x14ac:dyDescent="0.25">
      <c r="B71" s="20"/>
      <c r="C71" s="20"/>
      <c r="D71" s="20"/>
      <c r="E71" s="20"/>
      <c r="F71" s="20"/>
      <c r="G71" s="20"/>
      <c r="H71" s="20"/>
      <c r="I71" s="20"/>
      <c r="J71" s="20"/>
      <c r="K71" s="20"/>
      <c r="L71" s="20"/>
      <c r="M71" s="20"/>
      <c r="N71" s="20"/>
      <c r="O71" s="20"/>
      <c r="P71" s="20"/>
      <c r="Q71" s="20"/>
      <c r="R71" s="20"/>
      <c r="S71" s="20"/>
      <c r="T71" s="20"/>
      <c r="U71" s="20"/>
      <c r="V71" s="20"/>
      <c r="W71" s="20"/>
      <c r="X71" s="20"/>
      <c r="Y71" s="20"/>
      <c r="Z71" s="20"/>
      <c r="AA71" s="20"/>
      <c r="AB71" s="20"/>
    </row>
    <row r="72" spans="2:28" x14ac:dyDescent="0.25">
      <c r="B72" s="20"/>
      <c r="C72" s="20"/>
      <c r="D72" s="20"/>
      <c r="E72" s="20"/>
      <c r="F72" s="20"/>
      <c r="G72" s="20"/>
      <c r="H72" s="20"/>
      <c r="I72" s="20"/>
      <c r="J72" s="20"/>
      <c r="K72" s="20"/>
      <c r="L72" s="20"/>
      <c r="M72" s="20"/>
      <c r="N72" s="20"/>
      <c r="O72" s="20"/>
      <c r="P72" s="20"/>
      <c r="Q72" s="20"/>
      <c r="R72" s="20"/>
      <c r="S72" s="20"/>
      <c r="T72" s="20"/>
      <c r="U72" s="20"/>
      <c r="V72" s="20"/>
      <c r="W72" s="20"/>
      <c r="X72" s="20"/>
      <c r="Y72" s="20"/>
      <c r="Z72" s="20"/>
      <c r="AA72" s="20"/>
      <c r="AB72" s="20"/>
    </row>
    <row r="73" spans="2:28" x14ac:dyDescent="0.25">
      <c r="B73" s="20"/>
      <c r="C73" s="20"/>
      <c r="D73" s="20"/>
      <c r="E73" s="20"/>
      <c r="F73" s="20"/>
      <c r="G73" s="20"/>
      <c r="H73" s="20"/>
      <c r="I73" s="20"/>
      <c r="J73" s="20"/>
      <c r="K73" s="20"/>
      <c r="L73" s="20"/>
      <c r="M73" s="20"/>
      <c r="N73" s="20"/>
      <c r="O73" s="20"/>
      <c r="P73" s="20"/>
      <c r="Q73" s="20"/>
      <c r="R73" s="20"/>
      <c r="S73" s="20"/>
      <c r="T73" s="20"/>
      <c r="U73" s="20"/>
      <c r="V73" s="20"/>
      <c r="W73" s="20"/>
      <c r="X73" s="20"/>
      <c r="Y73" s="20"/>
      <c r="Z73" s="20"/>
      <c r="AA73" s="20"/>
      <c r="AB73" s="20"/>
    </row>
    <row r="74" spans="2:28" x14ac:dyDescent="0.25">
      <c r="B74" s="20"/>
      <c r="C74" s="20"/>
      <c r="D74" s="20"/>
      <c r="E74" s="20"/>
      <c r="F74" s="20"/>
      <c r="G74" s="20"/>
      <c r="H74" s="20"/>
      <c r="I74" s="20"/>
      <c r="J74" s="20"/>
      <c r="K74" s="20"/>
      <c r="L74" s="20"/>
      <c r="M74" s="20"/>
      <c r="N74" s="20"/>
      <c r="O74" s="20"/>
      <c r="P74" s="20"/>
      <c r="Q74" s="20"/>
      <c r="R74" s="20"/>
      <c r="S74" s="20"/>
      <c r="T74" s="20"/>
      <c r="U74" s="20"/>
      <c r="V74" s="20"/>
      <c r="W74" s="20"/>
      <c r="X74" s="20"/>
      <c r="Y74" s="20"/>
      <c r="Z74" s="20"/>
      <c r="AA74" s="20"/>
      <c r="AB74" s="20"/>
    </row>
    <row r="75" spans="2:28" x14ac:dyDescent="0.25">
      <c r="B75" s="20"/>
      <c r="C75" s="20"/>
      <c r="D75" s="20"/>
      <c r="E75" s="20"/>
      <c r="F75" s="20"/>
      <c r="G75" s="20"/>
      <c r="H75" s="20"/>
      <c r="I75" s="20"/>
      <c r="J75" s="20"/>
      <c r="K75" s="20"/>
      <c r="L75" s="20"/>
      <c r="M75" s="20"/>
      <c r="N75" s="20"/>
      <c r="O75" s="20"/>
      <c r="P75" s="20"/>
      <c r="Q75" s="20"/>
      <c r="R75" s="20"/>
      <c r="S75" s="20"/>
      <c r="T75" s="20"/>
      <c r="U75" s="20"/>
      <c r="V75" s="20"/>
      <c r="W75" s="20"/>
      <c r="X75" s="20"/>
      <c r="Y75" s="20"/>
      <c r="Z75" s="20"/>
      <c r="AA75" s="20"/>
      <c r="AB75" s="20"/>
    </row>
    <row r="76" spans="2:28" x14ac:dyDescent="0.25">
      <c r="B76" s="20"/>
      <c r="C76" s="20"/>
      <c r="D76" s="20"/>
      <c r="E76" s="20"/>
      <c r="F76" s="20"/>
      <c r="G76" s="20"/>
      <c r="H76" s="20"/>
      <c r="I76" s="20"/>
      <c r="J76" s="20"/>
      <c r="K76" s="20"/>
      <c r="L76" s="20"/>
      <c r="M76" s="20"/>
      <c r="N76" s="20"/>
      <c r="O76" s="20"/>
      <c r="P76" s="20"/>
      <c r="Q76" s="20"/>
      <c r="R76" s="20"/>
      <c r="S76" s="20"/>
      <c r="T76" s="20"/>
      <c r="U76" s="20"/>
      <c r="V76" s="20"/>
      <c r="W76" s="20"/>
      <c r="X76" s="20"/>
      <c r="Y76" s="20"/>
      <c r="Z76" s="20"/>
      <c r="AA76" s="20"/>
      <c r="AB76" s="20"/>
    </row>
    <row r="77" spans="2:28" x14ac:dyDescent="0.25">
      <c r="B77" s="20"/>
      <c r="C77" s="20"/>
      <c r="D77" s="20"/>
      <c r="E77" s="20"/>
      <c r="F77" s="20"/>
      <c r="G77" s="20"/>
      <c r="H77" s="20"/>
      <c r="I77" s="20"/>
      <c r="J77" s="20"/>
      <c r="K77" s="20"/>
      <c r="L77" s="20"/>
      <c r="M77" s="20"/>
      <c r="N77" s="20"/>
      <c r="O77" s="20"/>
      <c r="P77" s="20"/>
      <c r="Q77" s="20"/>
      <c r="R77" s="20"/>
      <c r="S77" s="20"/>
      <c r="T77" s="20"/>
      <c r="U77" s="20"/>
      <c r="V77" s="20"/>
      <c r="W77" s="20"/>
      <c r="X77" s="20"/>
      <c r="Y77" s="20"/>
      <c r="Z77" s="20"/>
      <c r="AA77" s="20"/>
      <c r="AB77" s="20"/>
    </row>
    <row r="78" spans="2:28" x14ac:dyDescent="0.25">
      <c r="B78" s="20"/>
      <c r="C78" s="20"/>
      <c r="D78" s="20"/>
      <c r="E78" s="20"/>
      <c r="F78" s="20"/>
      <c r="G78" s="20"/>
      <c r="H78" s="20"/>
      <c r="I78" s="20"/>
      <c r="J78" s="20"/>
      <c r="K78" s="20"/>
      <c r="L78" s="20"/>
      <c r="M78" s="20"/>
      <c r="N78" s="20"/>
      <c r="O78" s="20"/>
      <c r="P78" s="20"/>
      <c r="Q78" s="20"/>
      <c r="R78" s="20"/>
      <c r="S78" s="20"/>
      <c r="T78" s="20"/>
      <c r="U78" s="20"/>
      <c r="V78" s="20"/>
      <c r="W78" s="20"/>
      <c r="X78" s="20"/>
      <c r="Y78" s="20"/>
      <c r="Z78" s="20"/>
      <c r="AA78" s="20"/>
      <c r="AB78" s="20"/>
    </row>
    <row r="79" spans="2:28" x14ac:dyDescent="0.25">
      <c r="B79" s="20"/>
      <c r="C79" s="20"/>
      <c r="D79" s="20"/>
      <c r="E79" s="20"/>
      <c r="F79" s="20"/>
      <c r="G79" s="20"/>
      <c r="H79" s="20"/>
      <c r="I79" s="20"/>
      <c r="J79" s="20"/>
      <c r="K79" s="20"/>
      <c r="L79" s="20"/>
      <c r="M79" s="20"/>
      <c r="N79" s="20"/>
      <c r="O79" s="20"/>
      <c r="P79" s="20"/>
      <c r="Q79" s="20"/>
      <c r="R79" s="20"/>
      <c r="S79" s="20"/>
      <c r="T79" s="20"/>
      <c r="U79" s="20"/>
      <c r="V79" s="20"/>
      <c r="W79" s="20"/>
      <c r="X79" s="20"/>
      <c r="Y79" s="20"/>
      <c r="Z79" s="20"/>
      <c r="AA79" s="20"/>
      <c r="AB79" s="20"/>
    </row>
    <row r="80" spans="2:28" x14ac:dyDescent="0.25">
      <c r="B80" s="20"/>
      <c r="C80" s="20"/>
      <c r="D80" s="20"/>
      <c r="E80" s="20"/>
      <c r="F80" s="20"/>
      <c r="G80" s="20"/>
      <c r="H80" s="20"/>
      <c r="I80" s="20"/>
      <c r="J80" s="20"/>
      <c r="K80" s="20"/>
      <c r="L80" s="20"/>
      <c r="M80" s="20"/>
      <c r="N80" s="20"/>
      <c r="O80" s="20"/>
      <c r="P80" s="20"/>
      <c r="Q80" s="20"/>
      <c r="R80" s="20"/>
      <c r="S80" s="20"/>
      <c r="T80" s="20"/>
      <c r="U80" s="20"/>
      <c r="V80" s="20"/>
      <c r="W80" s="20"/>
      <c r="X80" s="20"/>
      <c r="Y80" s="20"/>
      <c r="Z80" s="20"/>
      <c r="AA80" s="20"/>
      <c r="AB80" s="20"/>
    </row>
    <row r="81" spans="2:28" x14ac:dyDescent="0.25">
      <c r="B81" s="20"/>
      <c r="C81" s="20"/>
      <c r="D81" s="20"/>
      <c r="E81" s="20"/>
      <c r="F81" s="20"/>
      <c r="G81" s="20"/>
      <c r="H81" s="20"/>
      <c r="I81" s="20"/>
      <c r="J81" s="20"/>
      <c r="K81" s="20"/>
      <c r="L81" s="20"/>
      <c r="M81" s="20"/>
      <c r="N81" s="20"/>
      <c r="O81" s="20"/>
      <c r="P81" s="20"/>
      <c r="Q81" s="20"/>
      <c r="R81" s="20"/>
      <c r="S81" s="20"/>
      <c r="T81" s="20"/>
      <c r="U81" s="20"/>
      <c r="V81" s="20"/>
      <c r="W81" s="20"/>
      <c r="X81" s="20"/>
      <c r="Y81" s="20"/>
      <c r="Z81" s="20"/>
      <c r="AA81" s="20"/>
      <c r="AB81" s="20"/>
    </row>
    <row r="82" spans="2:28" x14ac:dyDescent="0.25">
      <c r="B82" s="20"/>
      <c r="C82" s="20"/>
      <c r="D82" s="20"/>
      <c r="E82" s="20"/>
      <c r="F82" s="20"/>
      <c r="G82" s="20"/>
      <c r="H82" s="20"/>
      <c r="I82" s="20"/>
      <c r="J82" s="20"/>
      <c r="K82" s="20"/>
      <c r="L82" s="20"/>
      <c r="M82" s="20"/>
      <c r="N82" s="20"/>
      <c r="O82" s="20"/>
      <c r="P82" s="20"/>
      <c r="Q82" s="20"/>
      <c r="R82" s="20"/>
      <c r="S82" s="20"/>
      <c r="T82" s="20"/>
      <c r="U82" s="20"/>
      <c r="V82" s="20"/>
      <c r="W82" s="20"/>
      <c r="X82" s="20"/>
      <c r="Y82" s="20"/>
      <c r="Z82" s="20"/>
      <c r="AA82" s="20"/>
      <c r="AB82" s="20"/>
    </row>
    <row r="83" spans="2:28" x14ac:dyDescent="0.25">
      <c r="B83" s="20"/>
      <c r="C83" s="20"/>
      <c r="D83" s="20"/>
      <c r="E83" s="20"/>
      <c r="F83" s="20"/>
      <c r="G83" s="20"/>
      <c r="H83" s="20"/>
      <c r="I83" s="20"/>
      <c r="J83" s="20"/>
      <c r="K83" s="20"/>
      <c r="L83" s="20"/>
      <c r="M83" s="20"/>
      <c r="N83" s="20"/>
      <c r="O83" s="20"/>
      <c r="P83" s="20"/>
      <c r="Q83" s="20"/>
      <c r="R83" s="20"/>
      <c r="S83" s="20"/>
      <c r="T83" s="20"/>
      <c r="U83" s="20"/>
      <c r="V83" s="20"/>
      <c r="W83" s="20"/>
      <c r="X83" s="20"/>
      <c r="Y83" s="20"/>
      <c r="Z83" s="20"/>
      <c r="AA83" s="20"/>
      <c r="AB83" s="20"/>
    </row>
    <row r="84" spans="2:28" x14ac:dyDescent="0.25">
      <c r="B84" s="20"/>
      <c r="C84" s="20"/>
      <c r="D84" s="20"/>
      <c r="E84" s="20"/>
      <c r="F84" s="20"/>
      <c r="G84" s="20"/>
      <c r="H84" s="20"/>
      <c r="I84" s="20"/>
      <c r="J84" s="20"/>
      <c r="K84" s="20"/>
      <c r="L84" s="20"/>
      <c r="M84" s="20"/>
      <c r="N84" s="20"/>
      <c r="O84" s="20"/>
      <c r="P84" s="20"/>
      <c r="Q84" s="20"/>
      <c r="R84" s="20"/>
      <c r="S84" s="20"/>
      <c r="T84" s="20"/>
      <c r="U84" s="20"/>
      <c r="V84" s="20"/>
      <c r="W84" s="20"/>
      <c r="X84" s="20"/>
      <c r="Y84" s="20"/>
      <c r="Z84" s="20"/>
      <c r="AA84" s="20"/>
      <c r="AB84" s="20"/>
    </row>
    <row r="85" spans="2:28" x14ac:dyDescent="0.25">
      <c r="B85" s="20"/>
      <c r="C85" s="20"/>
      <c r="D85" s="20"/>
      <c r="E85" s="20"/>
      <c r="F85" s="20"/>
      <c r="G85" s="20"/>
      <c r="H85" s="20"/>
      <c r="I85" s="20"/>
      <c r="J85" s="20"/>
      <c r="K85" s="20"/>
      <c r="L85" s="20"/>
      <c r="M85" s="20"/>
      <c r="N85" s="20"/>
      <c r="O85" s="20"/>
      <c r="P85" s="20"/>
      <c r="Q85" s="20"/>
      <c r="R85" s="20"/>
      <c r="S85" s="20"/>
      <c r="T85" s="20"/>
      <c r="U85" s="20"/>
      <c r="V85" s="20"/>
      <c r="W85" s="20"/>
      <c r="X85" s="20"/>
      <c r="Y85" s="20"/>
      <c r="Z85" s="20"/>
      <c r="AA85" s="20"/>
      <c r="AB85" s="20"/>
    </row>
    <row r="86" spans="2:28" x14ac:dyDescent="0.25">
      <c r="B86" s="20"/>
      <c r="C86" s="20"/>
      <c r="D86" s="20"/>
      <c r="E86" s="20"/>
      <c r="F86" s="20"/>
      <c r="G86" s="20"/>
      <c r="H86" s="20"/>
      <c r="I86" s="20"/>
      <c r="J86" s="20"/>
      <c r="K86" s="20"/>
      <c r="L86" s="20"/>
      <c r="M86" s="20"/>
      <c r="N86" s="20"/>
      <c r="O86" s="20"/>
      <c r="P86" s="20"/>
      <c r="Q86" s="20"/>
      <c r="R86" s="20"/>
      <c r="S86" s="20"/>
      <c r="T86" s="20"/>
      <c r="U86" s="20"/>
      <c r="V86" s="20"/>
      <c r="W86" s="20"/>
      <c r="X86" s="20"/>
      <c r="Y86" s="20"/>
      <c r="Z86" s="20"/>
      <c r="AA86" s="20"/>
      <c r="AB86" s="20"/>
    </row>
    <row r="87" spans="2:28" x14ac:dyDescent="0.25">
      <c r="B87" s="20"/>
      <c r="C87" s="20"/>
      <c r="D87" s="20"/>
      <c r="E87" s="20"/>
      <c r="F87" s="20"/>
      <c r="G87" s="20"/>
      <c r="H87" s="20"/>
      <c r="I87" s="20"/>
      <c r="J87" s="20"/>
      <c r="K87" s="20"/>
      <c r="L87" s="20"/>
      <c r="M87" s="20"/>
      <c r="N87" s="20"/>
      <c r="O87" s="20"/>
      <c r="P87" s="20"/>
      <c r="Q87" s="20"/>
      <c r="R87" s="20"/>
      <c r="S87" s="20"/>
      <c r="T87" s="20"/>
      <c r="U87" s="20"/>
      <c r="V87" s="20"/>
      <c r="W87" s="20"/>
      <c r="X87" s="20"/>
      <c r="Y87" s="20"/>
      <c r="Z87" s="20"/>
      <c r="AA87" s="20"/>
      <c r="AB87" s="20"/>
    </row>
    <row r="88" spans="2:28" x14ac:dyDescent="0.25">
      <c r="B88" s="20"/>
      <c r="C88" s="20"/>
      <c r="D88" s="20"/>
      <c r="E88" s="20"/>
      <c r="F88" s="20"/>
      <c r="G88" s="20"/>
      <c r="H88" s="20"/>
      <c r="I88" s="20"/>
      <c r="J88" s="20"/>
      <c r="K88" s="20"/>
      <c r="L88" s="20"/>
      <c r="M88" s="20"/>
      <c r="N88" s="20"/>
      <c r="O88" s="20"/>
      <c r="P88" s="20"/>
      <c r="Q88" s="20"/>
      <c r="R88" s="20"/>
      <c r="S88" s="20"/>
      <c r="T88" s="20"/>
      <c r="U88" s="20"/>
      <c r="V88" s="20"/>
      <c r="W88" s="20"/>
      <c r="X88" s="20"/>
      <c r="Y88" s="20"/>
      <c r="Z88" s="20"/>
      <c r="AA88" s="20"/>
      <c r="AB88" s="20"/>
    </row>
    <row r="89" spans="2:28" x14ac:dyDescent="0.25">
      <c r="B89" s="20"/>
      <c r="C89" s="20"/>
      <c r="D89" s="20"/>
      <c r="E89" s="20"/>
      <c r="F89" s="20"/>
      <c r="G89" s="20"/>
      <c r="H89" s="20"/>
      <c r="I89" s="20"/>
      <c r="J89" s="20"/>
      <c r="K89" s="20"/>
      <c r="L89" s="20"/>
      <c r="M89" s="20"/>
      <c r="N89" s="20"/>
      <c r="O89" s="20"/>
      <c r="P89" s="20"/>
      <c r="Q89" s="20"/>
      <c r="R89" s="20"/>
      <c r="S89" s="20"/>
      <c r="T89" s="20"/>
      <c r="U89" s="20"/>
      <c r="V89" s="20"/>
      <c r="W89" s="20"/>
      <c r="X89" s="20"/>
      <c r="Y89" s="20"/>
      <c r="Z89" s="20"/>
      <c r="AA89" s="20"/>
      <c r="AB89" s="20"/>
    </row>
    <row r="90" spans="2:28" x14ac:dyDescent="0.25">
      <c r="B90" s="20"/>
      <c r="C90" s="20"/>
      <c r="D90" s="20"/>
      <c r="E90" s="20"/>
      <c r="F90" s="20"/>
      <c r="G90" s="20"/>
      <c r="H90" s="20"/>
      <c r="I90" s="20"/>
      <c r="J90" s="20"/>
      <c r="K90" s="20"/>
      <c r="L90" s="20"/>
      <c r="M90" s="20"/>
      <c r="N90" s="20"/>
      <c r="O90" s="20"/>
      <c r="P90" s="20"/>
      <c r="Q90" s="20"/>
      <c r="R90" s="20"/>
      <c r="S90" s="20"/>
      <c r="T90" s="20"/>
      <c r="U90" s="20"/>
      <c r="V90" s="20"/>
      <c r="W90" s="20"/>
      <c r="X90" s="20"/>
      <c r="Y90" s="20"/>
      <c r="Z90" s="20"/>
      <c r="AA90" s="20"/>
      <c r="AB90" s="20"/>
    </row>
    <row r="91" spans="2:28" x14ac:dyDescent="0.25">
      <c r="B91" s="20"/>
      <c r="C91" s="20"/>
      <c r="D91" s="20"/>
      <c r="E91" s="20"/>
      <c r="F91" s="20"/>
      <c r="G91" s="20"/>
      <c r="H91" s="20"/>
      <c r="I91" s="20"/>
      <c r="J91" s="20"/>
      <c r="K91" s="20"/>
      <c r="L91" s="20"/>
      <c r="M91" s="20"/>
      <c r="N91" s="20"/>
      <c r="O91" s="20"/>
      <c r="P91" s="20"/>
      <c r="Q91" s="20"/>
      <c r="R91" s="20"/>
      <c r="S91" s="20"/>
      <c r="T91" s="20"/>
      <c r="U91" s="20"/>
      <c r="V91" s="20"/>
      <c r="W91" s="20"/>
      <c r="X91" s="20"/>
      <c r="Y91" s="20"/>
      <c r="Z91" s="20"/>
      <c r="AA91" s="20"/>
      <c r="AB91" s="20"/>
    </row>
    <row r="92" spans="2:28" x14ac:dyDescent="0.25">
      <c r="B92" s="20"/>
      <c r="C92" s="20"/>
      <c r="D92" s="20"/>
      <c r="E92" s="20"/>
      <c r="F92" s="20"/>
      <c r="G92" s="20"/>
      <c r="H92" s="20"/>
      <c r="I92" s="20"/>
      <c r="J92" s="20"/>
      <c r="K92" s="20"/>
      <c r="L92" s="20"/>
      <c r="M92" s="20"/>
      <c r="N92" s="20"/>
      <c r="O92" s="20"/>
      <c r="P92" s="20"/>
      <c r="Q92" s="20"/>
      <c r="R92" s="20"/>
      <c r="S92" s="20"/>
      <c r="T92" s="20"/>
      <c r="U92" s="20"/>
      <c r="V92" s="20"/>
      <c r="W92" s="20"/>
      <c r="X92" s="20"/>
      <c r="Y92" s="20"/>
      <c r="Z92" s="20"/>
      <c r="AA92" s="20"/>
      <c r="AB92" s="20"/>
    </row>
    <row r="93" spans="2:28" x14ac:dyDescent="0.25">
      <c r="B93" s="20"/>
      <c r="C93" s="20"/>
      <c r="D93" s="20"/>
      <c r="E93" s="20"/>
      <c r="F93" s="20"/>
      <c r="G93" s="20"/>
      <c r="H93" s="20"/>
      <c r="I93" s="20"/>
      <c r="J93" s="20"/>
      <c r="K93" s="20"/>
      <c r="L93" s="20"/>
      <c r="M93" s="20"/>
      <c r="N93" s="20"/>
      <c r="O93" s="20"/>
      <c r="P93" s="20"/>
      <c r="Q93" s="20"/>
      <c r="R93" s="20"/>
      <c r="S93" s="20"/>
      <c r="T93" s="20"/>
      <c r="U93" s="20"/>
      <c r="V93" s="20"/>
      <c r="W93" s="20"/>
      <c r="X93" s="20"/>
      <c r="Y93" s="20"/>
      <c r="Z93" s="20"/>
      <c r="AA93" s="20"/>
      <c r="AB93" s="20"/>
    </row>
    <row r="94" spans="2:28" x14ac:dyDescent="0.25">
      <c r="B94" s="20"/>
      <c r="C94" s="20"/>
      <c r="D94" s="20"/>
      <c r="E94" s="20"/>
      <c r="F94" s="20"/>
      <c r="G94" s="20"/>
      <c r="H94" s="20"/>
      <c r="I94" s="20"/>
      <c r="J94" s="20"/>
      <c r="K94" s="20"/>
      <c r="L94" s="20"/>
      <c r="M94" s="20"/>
      <c r="N94" s="20"/>
      <c r="O94" s="20"/>
      <c r="P94" s="20"/>
      <c r="Q94" s="20"/>
      <c r="R94" s="20"/>
      <c r="S94" s="20"/>
      <c r="T94" s="20"/>
      <c r="U94" s="20"/>
      <c r="V94" s="20"/>
      <c r="W94" s="20"/>
      <c r="X94" s="20"/>
      <c r="Y94" s="20"/>
      <c r="Z94" s="20"/>
      <c r="AA94" s="20"/>
      <c r="AB94" s="20"/>
    </row>
    <row r="95" spans="2:28" x14ac:dyDescent="0.25">
      <c r="B95" s="20"/>
      <c r="C95" s="20"/>
      <c r="D95" s="20"/>
      <c r="E95" s="20"/>
      <c r="F95" s="20"/>
      <c r="G95" s="20"/>
      <c r="H95" s="20"/>
      <c r="I95" s="20"/>
      <c r="J95" s="20"/>
      <c r="K95" s="20"/>
      <c r="L95" s="20"/>
      <c r="M95" s="20"/>
      <c r="N95" s="20"/>
      <c r="O95" s="20"/>
      <c r="P95" s="20"/>
      <c r="Q95" s="20"/>
      <c r="R95" s="20"/>
      <c r="S95" s="20"/>
      <c r="T95" s="20"/>
      <c r="U95" s="20"/>
      <c r="V95" s="20"/>
      <c r="W95" s="20"/>
      <c r="X95" s="20"/>
      <c r="Y95" s="20"/>
      <c r="Z95" s="20"/>
      <c r="AA95" s="20"/>
      <c r="AB95" s="20"/>
    </row>
    <row r="96" spans="2:28" x14ac:dyDescent="0.25">
      <c r="B96" s="20"/>
      <c r="C96" s="20"/>
      <c r="D96" s="20"/>
      <c r="E96" s="20"/>
      <c r="F96" s="20"/>
      <c r="G96" s="20"/>
      <c r="H96" s="20"/>
      <c r="I96" s="20"/>
      <c r="J96" s="20"/>
      <c r="K96" s="20"/>
      <c r="L96" s="20"/>
      <c r="M96" s="20"/>
      <c r="N96" s="20"/>
      <c r="O96" s="20"/>
      <c r="P96" s="20"/>
      <c r="Q96" s="20"/>
      <c r="R96" s="20"/>
      <c r="S96" s="20"/>
      <c r="T96" s="20"/>
      <c r="U96" s="20"/>
      <c r="V96" s="20"/>
      <c r="W96" s="20"/>
      <c r="X96" s="20"/>
      <c r="Y96" s="20"/>
      <c r="Z96" s="20"/>
      <c r="AA96" s="20"/>
      <c r="AB96" s="20"/>
    </row>
    <row r="97" spans="2:28" x14ac:dyDescent="0.25">
      <c r="B97" s="20"/>
      <c r="C97" s="20"/>
      <c r="D97" s="20"/>
      <c r="E97" s="20"/>
      <c r="F97" s="20"/>
      <c r="G97" s="20"/>
      <c r="H97" s="20"/>
      <c r="I97" s="20"/>
      <c r="J97" s="20"/>
      <c r="K97" s="20"/>
      <c r="L97" s="20"/>
      <c r="M97" s="20"/>
      <c r="N97" s="20"/>
      <c r="O97" s="20"/>
      <c r="P97" s="20"/>
      <c r="Q97" s="20"/>
      <c r="R97" s="20"/>
      <c r="S97" s="20"/>
      <c r="T97" s="20"/>
      <c r="U97" s="20"/>
      <c r="V97" s="20"/>
      <c r="W97" s="20"/>
      <c r="X97" s="20"/>
      <c r="Y97" s="20"/>
      <c r="Z97" s="20"/>
      <c r="AA97" s="20"/>
      <c r="AB97" s="20"/>
    </row>
    <row r="98" spans="2:28" x14ac:dyDescent="0.25">
      <c r="B98" s="20"/>
      <c r="C98" s="20"/>
      <c r="D98" s="20"/>
      <c r="E98" s="20"/>
      <c r="F98" s="20"/>
      <c r="G98" s="20"/>
      <c r="H98" s="20"/>
      <c r="I98" s="20"/>
      <c r="J98" s="20"/>
      <c r="K98" s="20"/>
      <c r="L98" s="20"/>
      <c r="M98" s="20"/>
      <c r="N98" s="20"/>
      <c r="O98" s="20"/>
      <c r="P98" s="20"/>
      <c r="Q98" s="20"/>
      <c r="R98" s="20"/>
      <c r="S98" s="20"/>
      <c r="T98" s="20"/>
      <c r="U98" s="20"/>
      <c r="V98" s="20"/>
      <c r="W98" s="20"/>
      <c r="X98" s="20"/>
      <c r="Y98" s="20"/>
      <c r="Z98" s="20"/>
      <c r="AA98" s="20"/>
      <c r="AB98" s="20"/>
    </row>
    <row r="99" spans="2:28" x14ac:dyDescent="0.25">
      <c r="B99" s="20"/>
      <c r="C99" s="20"/>
      <c r="D99" s="20"/>
      <c r="E99" s="20"/>
      <c r="F99" s="20"/>
      <c r="G99" s="20"/>
      <c r="H99" s="20"/>
      <c r="I99" s="20"/>
      <c r="J99" s="20"/>
      <c r="K99" s="20"/>
      <c r="L99" s="20"/>
      <c r="M99" s="20"/>
      <c r="N99" s="20"/>
      <c r="O99" s="20"/>
      <c r="P99" s="20"/>
      <c r="Q99" s="20"/>
      <c r="R99" s="20"/>
      <c r="S99" s="20"/>
      <c r="T99" s="20"/>
      <c r="U99" s="20"/>
      <c r="V99" s="20"/>
      <c r="W99" s="20"/>
      <c r="X99" s="20"/>
      <c r="Y99" s="20"/>
      <c r="Z99" s="20"/>
      <c r="AA99" s="20"/>
      <c r="AB99" s="20"/>
    </row>
    <row r="100" spans="2:28" x14ac:dyDescent="0.25">
      <c r="B100" s="20"/>
      <c r="C100" s="20"/>
      <c r="D100" s="20"/>
      <c r="E100" s="20"/>
      <c r="F100" s="20"/>
      <c r="G100" s="20"/>
      <c r="H100" s="20"/>
      <c r="I100" s="20"/>
      <c r="J100" s="20"/>
      <c r="K100" s="20"/>
      <c r="L100" s="20"/>
      <c r="M100" s="20"/>
      <c r="N100" s="20"/>
      <c r="O100" s="20"/>
      <c r="P100" s="20"/>
      <c r="Q100" s="20"/>
      <c r="R100" s="20"/>
      <c r="S100" s="20"/>
      <c r="T100" s="20"/>
      <c r="U100" s="20"/>
      <c r="V100" s="20"/>
      <c r="W100" s="20"/>
      <c r="X100" s="20"/>
      <c r="Y100" s="20"/>
      <c r="Z100" s="20"/>
      <c r="AA100" s="20"/>
      <c r="AB100" s="20"/>
    </row>
    <row r="101" spans="2:28" x14ac:dyDescent="0.25">
      <c r="B101" s="20"/>
      <c r="C101" s="20"/>
      <c r="D101" s="20"/>
      <c r="E101" s="20"/>
      <c r="F101" s="20"/>
      <c r="G101" s="20"/>
      <c r="H101" s="20"/>
      <c r="I101" s="20"/>
      <c r="J101" s="20"/>
      <c r="K101" s="20"/>
      <c r="L101" s="20"/>
      <c r="M101" s="20"/>
      <c r="N101" s="20"/>
      <c r="O101" s="20"/>
      <c r="P101" s="20"/>
      <c r="Q101" s="20"/>
      <c r="R101" s="20"/>
      <c r="S101" s="20"/>
      <c r="T101" s="20"/>
      <c r="U101" s="20"/>
      <c r="V101" s="20"/>
      <c r="W101" s="20"/>
      <c r="X101" s="20"/>
      <c r="Y101" s="20"/>
      <c r="Z101" s="20"/>
      <c r="AA101" s="20"/>
      <c r="AB101" s="20"/>
    </row>
    <row r="102" spans="2:28" x14ac:dyDescent="0.25">
      <c r="B102" s="20"/>
      <c r="C102" s="20"/>
      <c r="D102" s="20"/>
      <c r="E102" s="20"/>
      <c r="F102" s="20"/>
      <c r="G102" s="20"/>
      <c r="H102" s="20"/>
      <c r="I102" s="20"/>
      <c r="J102" s="20"/>
      <c r="K102" s="20"/>
      <c r="L102" s="20"/>
      <c r="M102" s="20"/>
      <c r="N102" s="20"/>
      <c r="O102" s="20"/>
      <c r="P102" s="20"/>
      <c r="Q102" s="20"/>
      <c r="R102" s="20"/>
      <c r="S102" s="20"/>
      <c r="T102" s="20"/>
      <c r="U102" s="20"/>
      <c r="V102" s="20"/>
      <c r="W102" s="20"/>
      <c r="X102" s="20"/>
      <c r="Y102" s="20"/>
      <c r="Z102" s="20"/>
      <c r="AA102" s="20"/>
      <c r="AB102" s="20"/>
    </row>
    <row r="103" spans="2:28" x14ac:dyDescent="0.25">
      <c r="B103" s="20"/>
      <c r="C103" s="20"/>
      <c r="D103" s="20"/>
      <c r="E103" s="20"/>
      <c r="F103" s="20"/>
      <c r="G103" s="20"/>
      <c r="H103" s="20"/>
      <c r="I103" s="20"/>
      <c r="J103" s="20"/>
      <c r="K103" s="20"/>
      <c r="L103" s="20"/>
      <c r="M103" s="20"/>
      <c r="N103" s="20"/>
      <c r="O103" s="20"/>
      <c r="P103" s="20"/>
      <c r="Q103" s="20"/>
      <c r="R103" s="20"/>
      <c r="S103" s="20"/>
      <c r="T103" s="20"/>
      <c r="U103" s="20"/>
      <c r="V103" s="20"/>
      <c r="W103" s="20"/>
      <c r="X103" s="20"/>
      <c r="Y103" s="20"/>
      <c r="Z103" s="20"/>
      <c r="AA103" s="20"/>
      <c r="AB103" s="20"/>
    </row>
    <row r="104" spans="2:28" x14ac:dyDescent="0.25">
      <c r="B104" s="20"/>
      <c r="C104" s="20"/>
      <c r="D104" s="20"/>
      <c r="E104" s="20"/>
      <c r="F104" s="20"/>
      <c r="G104" s="20"/>
      <c r="H104" s="20"/>
      <c r="I104" s="20"/>
      <c r="J104" s="20"/>
      <c r="K104" s="20"/>
      <c r="L104" s="20"/>
      <c r="M104" s="20"/>
      <c r="N104" s="20"/>
      <c r="O104" s="20"/>
      <c r="P104" s="20"/>
      <c r="Q104" s="20"/>
      <c r="R104" s="20"/>
      <c r="S104" s="20"/>
      <c r="T104" s="20"/>
      <c r="U104" s="20"/>
      <c r="V104" s="20"/>
      <c r="W104" s="20"/>
      <c r="X104" s="20"/>
      <c r="Y104" s="20"/>
      <c r="Z104" s="20"/>
      <c r="AA104" s="20"/>
      <c r="AB104" s="20"/>
    </row>
    <row r="105" spans="2:28" x14ac:dyDescent="0.25">
      <c r="B105" s="20"/>
      <c r="C105" s="20"/>
      <c r="D105" s="20"/>
      <c r="E105" s="20"/>
      <c r="F105" s="20"/>
      <c r="G105" s="20"/>
      <c r="H105" s="20"/>
      <c r="I105" s="20"/>
      <c r="J105" s="20"/>
      <c r="K105" s="20"/>
      <c r="L105" s="20"/>
      <c r="M105" s="20"/>
      <c r="N105" s="20"/>
      <c r="O105" s="20"/>
      <c r="P105" s="20"/>
      <c r="Q105" s="20"/>
      <c r="R105" s="20"/>
      <c r="S105" s="20"/>
      <c r="T105" s="20"/>
      <c r="U105" s="20"/>
      <c r="V105" s="20"/>
      <c r="W105" s="20"/>
      <c r="X105" s="20"/>
      <c r="Y105" s="20"/>
      <c r="Z105" s="20"/>
      <c r="AA105" s="20"/>
      <c r="AB105" s="20"/>
    </row>
    <row r="106" spans="2:28" x14ac:dyDescent="0.25">
      <c r="B106" s="20"/>
      <c r="C106" s="20"/>
      <c r="D106" s="20"/>
      <c r="E106" s="20"/>
      <c r="F106" s="20"/>
      <c r="G106" s="20"/>
      <c r="H106" s="20"/>
      <c r="I106" s="20"/>
      <c r="J106" s="20"/>
      <c r="K106" s="20"/>
      <c r="L106" s="20"/>
      <c r="M106" s="20"/>
      <c r="N106" s="20"/>
      <c r="O106" s="20"/>
      <c r="P106" s="20"/>
      <c r="Q106" s="20"/>
      <c r="R106" s="20"/>
      <c r="S106" s="20"/>
      <c r="T106" s="20"/>
      <c r="U106" s="20"/>
      <c r="V106" s="20"/>
      <c r="W106" s="20"/>
      <c r="X106" s="20"/>
      <c r="Y106" s="20"/>
      <c r="Z106" s="20"/>
      <c r="AA106" s="20"/>
      <c r="AB106" s="20"/>
    </row>
    <row r="107" spans="2:28" x14ac:dyDescent="0.25">
      <c r="B107" s="20"/>
      <c r="C107" s="20"/>
      <c r="D107" s="20"/>
      <c r="E107" s="20"/>
      <c r="F107" s="20"/>
      <c r="G107" s="20"/>
      <c r="H107" s="20"/>
      <c r="I107" s="20"/>
      <c r="J107" s="20"/>
      <c r="K107" s="20"/>
      <c r="L107" s="20"/>
      <c r="M107" s="20"/>
      <c r="N107" s="20"/>
      <c r="O107" s="20"/>
      <c r="P107" s="20"/>
      <c r="Q107" s="20"/>
      <c r="R107" s="20"/>
      <c r="S107" s="20"/>
      <c r="T107" s="20"/>
      <c r="U107" s="20"/>
      <c r="V107" s="20"/>
      <c r="W107" s="20"/>
      <c r="X107" s="20"/>
      <c r="Y107" s="20"/>
      <c r="Z107" s="20"/>
      <c r="AA107" s="20"/>
      <c r="AB107" s="20"/>
    </row>
    <row r="108" spans="2:28" x14ac:dyDescent="0.25">
      <c r="B108" s="20"/>
      <c r="C108" s="20"/>
      <c r="D108" s="20"/>
      <c r="E108" s="20"/>
      <c r="F108" s="20"/>
      <c r="G108" s="20"/>
      <c r="H108" s="20"/>
      <c r="I108" s="20"/>
      <c r="J108" s="20"/>
      <c r="K108" s="20"/>
      <c r="L108" s="20"/>
      <c r="M108" s="20"/>
      <c r="N108" s="20"/>
      <c r="O108" s="20"/>
      <c r="P108" s="20"/>
      <c r="Q108" s="20"/>
      <c r="R108" s="20"/>
      <c r="S108" s="20"/>
      <c r="T108" s="20"/>
      <c r="U108" s="20"/>
      <c r="V108" s="20"/>
      <c r="W108" s="20"/>
      <c r="X108" s="20"/>
      <c r="Y108" s="20"/>
      <c r="Z108" s="20"/>
      <c r="AA108" s="20"/>
      <c r="AB108" s="20"/>
    </row>
    <row r="111" spans="2:28" x14ac:dyDescent="0.25">
      <c r="B111" s="9" t="s">
        <v>308</v>
      </c>
    </row>
    <row r="112" spans="2:28" x14ac:dyDescent="0.25">
      <c r="B112" s="64" t="s">
        <v>0</v>
      </c>
      <c r="C112" s="64" t="s">
        <v>277</v>
      </c>
      <c r="D112" s="64" t="s">
        <v>278</v>
      </c>
      <c r="E112" s="64" t="s">
        <v>279</v>
      </c>
      <c r="F112" s="64" t="s">
        <v>309</v>
      </c>
      <c r="G112" s="64" t="s">
        <v>310</v>
      </c>
      <c r="H112" s="64" t="s">
        <v>311</v>
      </c>
      <c r="I112" s="64" t="s">
        <v>312</v>
      </c>
      <c r="J112" s="64" t="s">
        <v>296</v>
      </c>
      <c r="K112" s="64" t="s">
        <v>297</v>
      </c>
      <c r="L112" s="64" t="s">
        <v>281</v>
      </c>
      <c r="M112" s="64" t="s">
        <v>313</v>
      </c>
      <c r="N112" s="64" t="s">
        <v>314</v>
      </c>
      <c r="O112" s="64" t="s">
        <v>315</v>
      </c>
      <c r="P112" s="64" t="s">
        <v>316</v>
      </c>
      <c r="Q112" s="64" t="s">
        <v>230</v>
      </c>
      <c r="R112" s="64" t="s">
        <v>307</v>
      </c>
      <c r="S112" s="64" t="s">
        <v>317</v>
      </c>
      <c r="T112" s="64" t="s">
        <v>319</v>
      </c>
      <c r="U112" s="64" t="s">
        <v>320</v>
      </c>
      <c r="V112" s="64" t="s">
        <v>298</v>
      </c>
      <c r="W112" s="64" t="s">
        <v>299</v>
      </c>
      <c r="X112" s="64" t="s">
        <v>301</v>
      </c>
      <c r="Y112" s="64" t="s">
        <v>241</v>
      </c>
      <c r="Z112" s="64" t="s">
        <v>321</v>
      </c>
      <c r="AA112" s="64" t="s">
        <v>322</v>
      </c>
      <c r="AB112" s="64" t="s">
        <v>323</v>
      </c>
    </row>
    <row r="113" spans="2:28" x14ac:dyDescent="0.25">
      <c r="B113" s="20">
        <v>1</v>
      </c>
      <c r="C113" s="20"/>
      <c r="D113" s="20"/>
      <c r="E113" s="20"/>
      <c r="F113" s="20"/>
      <c r="G113" s="20"/>
      <c r="H113" s="20"/>
      <c r="I113" s="20"/>
      <c r="J113" s="20"/>
      <c r="K113" s="20"/>
      <c r="L113" s="20"/>
      <c r="M113" s="20"/>
      <c r="N113" s="20"/>
      <c r="O113" s="20"/>
      <c r="P113" s="20"/>
      <c r="Q113" s="20"/>
      <c r="R113" s="20"/>
      <c r="S113" s="20"/>
      <c r="T113" s="20"/>
      <c r="U113" s="20"/>
      <c r="V113" s="20"/>
      <c r="W113" s="20"/>
      <c r="X113" s="20"/>
      <c r="Y113" s="20"/>
      <c r="Z113" s="20"/>
      <c r="AA113" s="20"/>
      <c r="AB113" s="20"/>
    </row>
    <row r="114" spans="2:28" x14ac:dyDescent="0.25">
      <c r="B114" s="20">
        <v>2</v>
      </c>
      <c r="C114" s="20"/>
      <c r="D114" s="20"/>
      <c r="E114" s="20"/>
      <c r="F114" s="20"/>
      <c r="G114" s="20"/>
      <c r="H114" s="20"/>
      <c r="I114" s="20"/>
      <c r="J114" s="20"/>
      <c r="K114" s="20"/>
      <c r="L114" s="20"/>
      <c r="M114" s="20"/>
      <c r="N114" s="20"/>
      <c r="O114" s="20"/>
      <c r="P114" s="20"/>
      <c r="Q114" s="20"/>
      <c r="R114" s="20"/>
      <c r="S114" s="20"/>
      <c r="T114" s="20"/>
      <c r="U114" s="20"/>
      <c r="V114" s="20"/>
      <c r="W114" s="20"/>
      <c r="X114" s="20"/>
      <c r="Y114" s="20"/>
      <c r="Z114" s="20"/>
      <c r="AA114" s="20"/>
      <c r="AB114" s="20"/>
    </row>
    <row r="115" spans="2:28" x14ac:dyDescent="0.25">
      <c r="B115" s="20">
        <v>3</v>
      </c>
      <c r="C115" s="20"/>
      <c r="D115" s="20"/>
      <c r="E115" s="20"/>
      <c r="F115" s="20"/>
      <c r="G115" s="20"/>
      <c r="H115" s="20"/>
      <c r="I115" s="20"/>
      <c r="J115" s="20"/>
      <c r="K115" s="20"/>
      <c r="L115" s="20"/>
      <c r="M115" s="20"/>
      <c r="N115" s="20"/>
      <c r="O115" s="20"/>
      <c r="P115" s="20"/>
      <c r="Q115" s="20"/>
      <c r="R115" s="20"/>
      <c r="S115" s="20"/>
      <c r="T115" s="20"/>
      <c r="U115" s="20"/>
      <c r="V115" s="20"/>
      <c r="W115" s="20"/>
      <c r="X115" s="20"/>
      <c r="Y115" s="20"/>
      <c r="Z115" s="20"/>
      <c r="AA115" s="20"/>
      <c r="AB115" s="20"/>
    </row>
    <row r="116" spans="2:28" x14ac:dyDescent="0.25">
      <c r="B116" s="20">
        <v>4</v>
      </c>
      <c r="C116" s="20"/>
      <c r="D116" s="20"/>
      <c r="E116" s="20"/>
      <c r="F116" s="20"/>
      <c r="G116" s="20"/>
      <c r="H116" s="20"/>
      <c r="I116" s="20"/>
      <c r="J116" s="20"/>
      <c r="K116" s="20"/>
      <c r="L116" s="20"/>
      <c r="M116" s="20"/>
      <c r="N116" s="20"/>
      <c r="O116" s="20"/>
      <c r="P116" s="20"/>
      <c r="Q116" s="20"/>
      <c r="R116" s="20"/>
      <c r="S116" s="20"/>
      <c r="T116" s="20"/>
      <c r="U116" s="20"/>
      <c r="V116" s="20"/>
      <c r="W116" s="20"/>
      <c r="X116" s="20"/>
      <c r="Y116" s="20"/>
      <c r="Z116" s="20"/>
      <c r="AA116" s="20"/>
      <c r="AB116" s="20"/>
    </row>
    <row r="117" spans="2:28" x14ac:dyDescent="0.25">
      <c r="B117" s="20">
        <v>5</v>
      </c>
      <c r="C117" s="20"/>
      <c r="D117" s="20"/>
      <c r="E117" s="20"/>
      <c r="F117" s="20"/>
      <c r="G117" s="20"/>
      <c r="H117" s="20"/>
      <c r="I117" s="20"/>
      <c r="J117" s="20"/>
      <c r="K117" s="20"/>
      <c r="L117" s="20"/>
      <c r="M117" s="20"/>
      <c r="N117" s="20"/>
      <c r="O117" s="20"/>
      <c r="P117" s="20"/>
      <c r="Q117" s="20"/>
      <c r="R117" s="20"/>
      <c r="S117" s="20"/>
      <c r="T117" s="20"/>
      <c r="U117" s="20"/>
      <c r="V117" s="20"/>
      <c r="W117" s="20"/>
      <c r="X117" s="20"/>
      <c r="Y117" s="20"/>
      <c r="Z117" s="20"/>
      <c r="AA117" s="20"/>
      <c r="AB117" s="20"/>
    </row>
    <row r="118" spans="2:28" x14ac:dyDescent="0.25">
      <c r="B118" s="20">
        <v>6</v>
      </c>
      <c r="C118" s="20"/>
      <c r="D118" s="20"/>
      <c r="E118" s="20"/>
      <c r="F118" s="20"/>
      <c r="G118" s="20"/>
      <c r="H118" s="20"/>
      <c r="I118" s="20"/>
      <c r="J118" s="20"/>
      <c r="K118" s="20"/>
      <c r="L118" s="20"/>
      <c r="M118" s="20"/>
      <c r="N118" s="20"/>
      <c r="O118" s="20"/>
      <c r="P118" s="20"/>
      <c r="Q118" s="20"/>
      <c r="R118" s="20"/>
      <c r="S118" s="20"/>
      <c r="T118" s="20"/>
      <c r="U118" s="20"/>
      <c r="V118" s="20"/>
      <c r="W118" s="20"/>
      <c r="X118" s="20"/>
      <c r="Y118" s="20"/>
      <c r="Z118" s="20"/>
      <c r="AA118" s="20"/>
      <c r="AB118" s="20"/>
    </row>
    <row r="119" spans="2:28" x14ac:dyDescent="0.25">
      <c r="B119" s="20">
        <v>7</v>
      </c>
      <c r="C119" s="20"/>
      <c r="D119" s="20"/>
      <c r="E119" s="20"/>
      <c r="F119" s="20"/>
      <c r="G119" s="20"/>
      <c r="H119" s="20"/>
      <c r="I119" s="20"/>
      <c r="J119" s="20"/>
      <c r="K119" s="20"/>
      <c r="L119" s="20"/>
      <c r="M119" s="20"/>
      <c r="N119" s="20"/>
      <c r="O119" s="20"/>
      <c r="P119" s="20"/>
      <c r="Q119" s="20"/>
      <c r="R119" s="20"/>
      <c r="S119" s="20"/>
      <c r="T119" s="20"/>
      <c r="U119" s="20"/>
      <c r="V119" s="20"/>
      <c r="W119" s="20"/>
      <c r="X119" s="20"/>
      <c r="Y119" s="20"/>
      <c r="Z119" s="20"/>
      <c r="AA119" s="20"/>
      <c r="AB119" s="20"/>
    </row>
    <row r="120" spans="2:28" x14ac:dyDescent="0.25">
      <c r="B120" s="20">
        <v>8</v>
      </c>
      <c r="C120" s="20"/>
      <c r="D120" s="20"/>
      <c r="E120" s="20"/>
      <c r="F120" s="20"/>
      <c r="G120" s="20"/>
      <c r="H120" s="20"/>
      <c r="I120" s="20"/>
      <c r="J120" s="20"/>
      <c r="K120" s="20"/>
      <c r="L120" s="20"/>
      <c r="M120" s="20"/>
      <c r="N120" s="20"/>
      <c r="O120" s="20"/>
      <c r="P120" s="20"/>
      <c r="Q120" s="20"/>
      <c r="R120" s="20"/>
      <c r="S120" s="20"/>
      <c r="T120" s="20"/>
      <c r="U120" s="20"/>
      <c r="V120" s="20"/>
      <c r="W120" s="20"/>
      <c r="X120" s="20"/>
      <c r="Y120" s="20"/>
      <c r="Z120" s="20"/>
      <c r="AA120" s="20"/>
      <c r="AB120" s="20"/>
    </row>
    <row r="121" spans="2:28" x14ac:dyDescent="0.25">
      <c r="B121" s="20">
        <v>9</v>
      </c>
      <c r="C121" s="20"/>
      <c r="D121" s="20"/>
      <c r="E121" s="20"/>
      <c r="F121" s="20"/>
      <c r="G121" s="20"/>
      <c r="H121" s="20"/>
      <c r="I121" s="20"/>
      <c r="J121" s="20"/>
      <c r="K121" s="20"/>
      <c r="L121" s="20"/>
      <c r="M121" s="20"/>
      <c r="N121" s="20"/>
      <c r="O121" s="20"/>
      <c r="P121" s="20"/>
      <c r="Q121" s="20"/>
      <c r="R121" s="20"/>
      <c r="S121" s="20"/>
      <c r="T121" s="20"/>
      <c r="U121" s="20"/>
      <c r="V121" s="20"/>
      <c r="W121" s="20"/>
      <c r="X121" s="20"/>
      <c r="Y121" s="20"/>
      <c r="Z121" s="20"/>
      <c r="AA121" s="20"/>
      <c r="AB121" s="20"/>
    </row>
    <row r="122" spans="2:28" x14ac:dyDescent="0.25">
      <c r="B122" s="20">
        <v>10</v>
      </c>
      <c r="C122" s="20"/>
      <c r="D122" s="20"/>
      <c r="E122" s="20"/>
      <c r="F122" s="20"/>
      <c r="G122" s="20"/>
      <c r="H122" s="20"/>
      <c r="I122" s="20"/>
      <c r="J122" s="20"/>
      <c r="K122" s="20"/>
      <c r="L122" s="20"/>
      <c r="M122" s="20"/>
      <c r="N122" s="20"/>
      <c r="O122" s="20"/>
      <c r="P122" s="20"/>
      <c r="Q122" s="20"/>
      <c r="R122" s="20"/>
      <c r="S122" s="20"/>
      <c r="T122" s="20"/>
      <c r="U122" s="20"/>
      <c r="V122" s="20"/>
      <c r="W122" s="20"/>
      <c r="X122" s="20"/>
      <c r="Y122" s="20"/>
      <c r="Z122" s="20"/>
      <c r="AA122" s="20"/>
      <c r="AB122" s="20"/>
    </row>
    <row r="123" spans="2:28" x14ac:dyDescent="0.25">
      <c r="B123" s="20">
        <v>11</v>
      </c>
      <c r="C123" s="20"/>
      <c r="D123" s="20"/>
      <c r="E123" s="20"/>
      <c r="F123" s="20"/>
      <c r="G123" s="20"/>
      <c r="H123" s="20"/>
      <c r="I123" s="20"/>
      <c r="J123" s="20"/>
      <c r="K123" s="20"/>
      <c r="L123" s="20"/>
      <c r="M123" s="20"/>
      <c r="N123" s="20"/>
      <c r="O123" s="20"/>
      <c r="P123" s="20"/>
      <c r="Q123" s="20"/>
      <c r="R123" s="20"/>
      <c r="S123" s="20"/>
      <c r="T123" s="20"/>
      <c r="U123" s="20"/>
      <c r="V123" s="20"/>
      <c r="W123" s="20"/>
      <c r="X123" s="20"/>
      <c r="Y123" s="20"/>
      <c r="Z123" s="20"/>
      <c r="AA123" s="20"/>
      <c r="AB123" s="20"/>
    </row>
    <row r="124" spans="2:28" x14ac:dyDescent="0.25">
      <c r="B124" s="20">
        <v>12</v>
      </c>
      <c r="C124" s="20"/>
      <c r="D124" s="20"/>
      <c r="E124" s="20"/>
      <c r="F124" s="20"/>
      <c r="G124" s="20"/>
      <c r="H124" s="20"/>
      <c r="I124" s="20"/>
      <c r="J124" s="20"/>
      <c r="K124" s="20"/>
      <c r="L124" s="20"/>
      <c r="M124" s="20"/>
      <c r="N124" s="20"/>
      <c r="O124" s="20"/>
      <c r="P124" s="20"/>
      <c r="Q124" s="20"/>
      <c r="R124" s="20"/>
      <c r="S124" s="20"/>
      <c r="T124" s="20"/>
      <c r="U124" s="20"/>
      <c r="V124" s="20"/>
      <c r="W124" s="20"/>
      <c r="X124" s="20"/>
      <c r="Y124" s="20"/>
      <c r="Z124" s="20"/>
      <c r="AA124" s="20"/>
      <c r="AB124" s="20"/>
    </row>
    <row r="125" spans="2:28" x14ac:dyDescent="0.25">
      <c r="B125" s="20">
        <v>13</v>
      </c>
      <c r="C125" s="20"/>
      <c r="D125" s="20"/>
      <c r="E125" s="20"/>
      <c r="F125" s="20"/>
      <c r="G125" s="20"/>
      <c r="H125" s="20"/>
      <c r="I125" s="20"/>
      <c r="J125" s="20"/>
      <c r="K125" s="20"/>
      <c r="L125" s="20"/>
      <c r="M125" s="20"/>
      <c r="N125" s="20"/>
      <c r="O125" s="20"/>
      <c r="P125" s="20"/>
      <c r="Q125" s="20"/>
      <c r="R125" s="20"/>
      <c r="S125" s="20"/>
      <c r="T125" s="20"/>
      <c r="U125" s="20"/>
      <c r="V125" s="20"/>
      <c r="W125" s="20"/>
      <c r="X125" s="20"/>
      <c r="Y125" s="20"/>
      <c r="Z125" s="20"/>
      <c r="AA125" s="20"/>
      <c r="AB125" s="20"/>
    </row>
    <row r="126" spans="2:28" x14ac:dyDescent="0.25">
      <c r="B126" s="20">
        <v>14</v>
      </c>
      <c r="C126" s="20"/>
      <c r="D126" s="20"/>
      <c r="E126" s="20"/>
      <c r="F126" s="20"/>
      <c r="G126" s="20"/>
      <c r="H126" s="20"/>
      <c r="I126" s="20"/>
      <c r="J126" s="20"/>
      <c r="K126" s="20"/>
      <c r="L126" s="20"/>
      <c r="M126" s="20"/>
      <c r="N126" s="20"/>
      <c r="O126" s="20"/>
      <c r="P126" s="20"/>
      <c r="Q126" s="20"/>
      <c r="R126" s="20"/>
      <c r="S126" s="20"/>
      <c r="T126" s="20"/>
      <c r="U126" s="20"/>
      <c r="V126" s="20"/>
      <c r="W126" s="20"/>
      <c r="X126" s="20"/>
      <c r="Y126" s="20"/>
      <c r="Z126" s="20"/>
      <c r="AA126" s="20"/>
      <c r="AB126" s="20"/>
    </row>
    <row r="127" spans="2:28" x14ac:dyDescent="0.25">
      <c r="B127" s="20">
        <v>15</v>
      </c>
      <c r="C127" s="20"/>
      <c r="D127" s="20"/>
      <c r="E127" s="20"/>
      <c r="F127" s="20"/>
      <c r="G127" s="20"/>
      <c r="H127" s="20"/>
      <c r="I127" s="20"/>
      <c r="J127" s="20"/>
      <c r="K127" s="20"/>
      <c r="L127" s="20"/>
      <c r="M127" s="20"/>
      <c r="N127" s="20"/>
      <c r="O127" s="20"/>
      <c r="P127" s="20"/>
      <c r="Q127" s="20"/>
      <c r="R127" s="20"/>
      <c r="S127" s="20"/>
      <c r="T127" s="20"/>
      <c r="U127" s="20"/>
      <c r="V127" s="20"/>
      <c r="W127" s="20"/>
      <c r="X127" s="20"/>
      <c r="Y127" s="20"/>
      <c r="Z127" s="20"/>
      <c r="AA127" s="20"/>
      <c r="AB127" s="20"/>
    </row>
    <row r="128" spans="2:28" x14ac:dyDescent="0.25">
      <c r="B128" s="20">
        <v>16</v>
      </c>
      <c r="C128" s="20"/>
      <c r="D128" s="20"/>
      <c r="E128" s="20"/>
      <c r="F128" s="20"/>
      <c r="G128" s="20"/>
      <c r="H128" s="20"/>
      <c r="I128" s="20"/>
      <c r="J128" s="20"/>
      <c r="K128" s="20"/>
      <c r="L128" s="20"/>
      <c r="M128" s="20"/>
      <c r="N128" s="20"/>
      <c r="O128" s="20"/>
      <c r="P128" s="20"/>
      <c r="Q128" s="20"/>
      <c r="R128" s="20"/>
      <c r="S128" s="20"/>
      <c r="T128" s="20"/>
      <c r="U128" s="20"/>
      <c r="V128" s="20"/>
      <c r="W128" s="20"/>
      <c r="X128" s="20"/>
      <c r="Y128" s="20"/>
      <c r="Z128" s="20"/>
      <c r="AA128" s="20"/>
      <c r="AB128" s="20"/>
    </row>
    <row r="129" spans="2:28" x14ac:dyDescent="0.25">
      <c r="B129" s="20">
        <v>17</v>
      </c>
      <c r="C129" s="20"/>
      <c r="D129" s="20"/>
      <c r="E129" s="20"/>
      <c r="F129" s="20"/>
      <c r="G129" s="20"/>
      <c r="H129" s="20"/>
      <c r="I129" s="20"/>
      <c r="J129" s="20"/>
      <c r="K129" s="20"/>
      <c r="L129" s="20"/>
      <c r="M129" s="20"/>
      <c r="N129" s="20"/>
      <c r="O129" s="20"/>
      <c r="P129" s="20"/>
      <c r="Q129" s="20"/>
      <c r="R129" s="20"/>
      <c r="S129" s="20"/>
      <c r="T129" s="20"/>
      <c r="U129" s="20"/>
      <c r="V129" s="20"/>
      <c r="W129" s="20"/>
      <c r="X129" s="20"/>
      <c r="Y129" s="20"/>
      <c r="Z129" s="20"/>
      <c r="AA129" s="20"/>
      <c r="AB129" s="20"/>
    </row>
    <row r="130" spans="2:28" x14ac:dyDescent="0.25">
      <c r="B130" s="20">
        <v>18</v>
      </c>
      <c r="C130" s="20"/>
      <c r="D130" s="20"/>
      <c r="E130" s="20"/>
      <c r="F130" s="20"/>
      <c r="G130" s="20"/>
      <c r="H130" s="20"/>
      <c r="I130" s="20"/>
      <c r="J130" s="20"/>
      <c r="K130" s="20"/>
      <c r="L130" s="20"/>
      <c r="M130" s="20"/>
      <c r="N130" s="20"/>
      <c r="O130" s="20"/>
      <c r="P130" s="20"/>
      <c r="Q130" s="20"/>
      <c r="R130" s="20"/>
      <c r="S130" s="20"/>
      <c r="T130" s="20"/>
      <c r="U130" s="20"/>
      <c r="V130" s="20"/>
      <c r="W130" s="20"/>
      <c r="X130" s="20"/>
      <c r="Y130" s="20"/>
      <c r="Z130" s="20"/>
      <c r="AA130" s="20"/>
      <c r="AB130" s="20"/>
    </row>
    <row r="131" spans="2:28" x14ac:dyDescent="0.25">
      <c r="B131" s="20">
        <v>19</v>
      </c>
      <c r="C131" s="20"/>
      <c r="D131" s="20"/>
      <c r="E131" s="20"/>
      <c r="F131" s="20"/>
      <c r="G131" s="20"/>
      <c r="H131" s="20"/>
      <c r="I131" s="20"/>
      <c r="J131" s="20"/>
      <c r="K131" s="20"/>
      <c r="L131" s="20"/>
      <c r="M131" s="20"/>
      <c r="N131" s="20"/>
      <c r="O131" s="20"/>
      <c r="P131" s="20"/>
      <c r="Q131" s="20"/>
      <c r="R131" s="20"/>
      <c r="S131" s="20"/>
      <c r="T131" s="20"/>
      <c r="U131" s="20"/>
      <c r="V131" s="20"/>
      <c r="W131" s="20"/>
      <c r="X131" s="20"/>
      <c r="Y131" s="20"/>
      <c r="Z131" s="20"/>
      <c r="AA131" s="20"/>
      <c r="AB131" s="20"/>
    </row>
    <row r="132" spans="2:28" x14ac:dyDescent="0.25">
      <c r="B132" s="20">
        <v>20</v>
      </c>
      <c r="C132" s="20"/>
      <c r="D132" s="20"/>
      <c r="E132" s="20"/>
      <c r="F132" s="20"/>
      <c r="G132" s="20"/>
      <c r="H132" s="20"/>
      <c r="I132" s="20"/>
      <c r="J132" s="20"/>
      <c r="K132" s="20"/>
      <c r="L132" s="20"/>
      <c r="M132" s="20"/>
      <c r="N132" s="20"/>
      <c r="O132" s="20"/>
      <c r="P132" s="20"/>
      <c r="Q132" s="20"/>
      <c r="R132" s="20"/>
      <c r="S132" s="20"/>
      <c r="T132" s="20"/>
      <c r="U132" s="20"/>
      <c r="V132" s="20"/>
      <c r="W132" s="20"/>
      <c r="X132" s="20"/>
      <c r="Y132" s="20"/>
      <c r="Z132" s="20"/>
      <c r="AA132" s="20"/>
      <c r="AB132" s="20"/>
    </row>
    <row r="133" spans="2:28" x14ac:dyDescent="0.25">
      <c r="B133" s="20">
        <v>21</v>
      </c>
      <c r="C133" s="20"/>
      <c r="D133" s="20"/>
      <c r="E133" s="20"/>
      <c r="F133" s="20"/>
      <c r="G133" s="20"/>
      <c r="H133" s="20"/>
      <c r="I133" s="20"/>
      <c r="J133" s="20"/>
      <c r="K133" s="20"/>
      <c r="L133" s="20"/>
      <c r="M133" s="20"/>
      <c r="N133" s="20"/>
      <c r="O133" s="20"/>
      <c r="P133" s="20"/>
      <c r="Q133" s="20"/>
      <c r="R133" s="20"/>
      <c r="S133" s="20"/>
      <c r="T133" s="20"/>
      <c r="U133" s="20"/>
      <c r="V133" s="20"/>
      <c r="W133" s="20"/>
      <c r="X133" s="20"/>
      <c r="Y133" s="20"/>
      <c r="Z133" s="20"/>
      <c r="AA133" s="20"/>
      <c r="AB133" s="20"/>
    </row>
    <row r="134" spans="2:28" x14ac:dyDescent="0.25">
      <c r="B134" s="20">
        <v>22</v>
      </c>
      <c r="C134" s="20"/>
      <c r="D134" s="20"/>
      <c r="E134" s="20"/>
      <c r="F134" s="20"/>
      <c r="G134" s="20"/>
      <c r="H134" s="20"/>
      <c r="I134" s="20"/>
      <c r="J134" s="20"/>
      <c r="K134" s="20"/>
      <c r="L134" s="20"/>
      <c r="M134" s="20"/>
      <c r="N134" s="20"/>
      <c r="O134" s="20"/>
      <c r="P134" s="20"/>
      <c r="Q134" s="20"/>
      <c r="R134" s="20"/>
      <c r="S134" s="20"/>
      <c r="T134" s="20"/>
      <c r="U134" s="20"/>
      <c r="V134" s="20"/>
      <c r="W134" s="20"/>
      <c r="X134" s="20"/>
      <c r="Y134" s="20"/>
      <c r="Z134" s="20"/>
      <c r="AA134" s="20"/>
      <c r="AB134" s="20"/>
    </row>
    <row r="135" spans="2:28" x14ac:dyDescent="0.25">
      <c r="B135" s="20">
        <v>23</v>
      </c>
      <c r="C135" s="20"/>
      <c r="D135" s="20"/>
      <c r="E135" s="20"/>
      <c r="F135" s="20"/>
      <c r="G135" s="20"/>
      <c r="H135" s="20"/>
      <c r="I135" s="20"/>
      <c r="J135" s="20"/>
      <c r="K135" s="20"/>
      <c r="L135" s="20"/>
      <c r="M135" s="20"/>
      <c r="N135" s="20"/>
      <c r="O135" s="20"/>
      <c r="P135" s="20"/>
      <c r="Q135" s="20"/>
      <c r="R135" s="20"/>
      <c r="S135" s="20"/>
      <c r="T135" s="20"/>
      <c r="U135" s="20"/>
      <c r="V135" s="20"/>
      <c r="W135" s="20"/>
      <c r="X135" s="20"/>
      <c r="Y135" s="20"/>
      <c r="Z135" s="20"/>
      <c r="AA135" s="20"/>
      <c r="AB135" s="20"/>
    </row>
    <row r="136" spans="2:28" x14ac:dyDescent="0.25">
      <c r="B136" s="20">
        <v>24</v>
      </c>
      <c r="C136" s="20"/>
      <c r="D136" s="20"/>
      <c r="E136" s="20"/>
      <c r="F136" s="20"/>
      <c r="G136" s="20"/>
      <c r="H136" s="20"/>
      <c r="I136" s="20"/>
      <c r="J136" s="20"/>
      <c r="K136" s="20"/>
      <c r="L136" s="20"/>
      <c r="M136" s="20"/>
      <c r="N136" s="20"/>
      <c r="O136" s="20"/>
      <c r="P136" s="20"/>
      <c r="Q136" s="20"/>
      <c r="R136" s="20"/>
      <c r="S136" s="20"/>
      <c r="T136" s="20"/>
      <c r="U136" s="20"/>
      <c r="V136" s="20"/>
      <c r="W136" s="20"/>
      <c r="X136" s="20"/>
      <c r="Y136" s="20"/>
      <c r="Z136" s="20"/>
      <c r="AA136" s="20"/>
      <c r="AB136" s="20"/>
    </row>
    <row r="137" spans="2:28" x14ac:dyDescent="0.25">
      <c r="B137" s="20">
        <v>25</v>
      </c>
      <c r="C137" s="20"/>
      <c r="D137" s="20"/>
      <c r="E137" s="20"/>
      <c r="F137" s="20"/>
      <c r="G137" s="20"/>
      <c r="H137" s="20"/>
      <c r="I137" s="20"/>
      <c r="J137" s="20"/>
      <c r="K137" s="20"/>
      <c r="L137" s="20"/>
      <c r="M137" s="20"/>
      <c r="N137" s="20"/>
      <c r="O137" s="20"/>
      <c r="P137" s="20"/>
      <c r="Q137" s="20"/>
      <c r="R137" s="20"/>
      <c r="S137" s="20"/>
      <c r="T137" s="20"/>
      <c r="U137" s="20"/>
      <c r="V137" s="20"/>
      <c r="W137" s="20"/>
      <c r="X137" s="20"/>
      <c r="Y137" s="20"/>
      <c r="Z137" s="20"/>
      <c r="AA137" s="20"/>
      <c r="AB137" s="20"/>
    </row>
    <row r="138" spans="2:28" x14ac:dyDescent="0.25">
      <c r="B138" s="20">
        <v>26</v>
      </c>
      <c r="C138" s="20"/>
      <c r="D138" s="20"/>
      <c r="E138" s="20"/>
      <c r="F138" s="20"/>
      <c r="G138" s="20"/>
      <c r="H138" s="20"/>
      <c r="I138" s="20"/>
      <c r="J138" s="20"/>
      <c r="K138" s="20"/>
      <c r="L138" s="20"/>
      <c r="M138" s="20"/>
      <c r="N138" s="20"/>
      <c r="O138" s="20"/>
      <c r="P138" s="20"/>
      <c r="Q138" s="20"/>
      <c r="R138" s="20"/>
      <c r="S138" s="20"/>
      <c r="T138" s="20"/>
      <c r="U138" s="20"/>
      <c r="V138" s="20"/>
      <c r="W138" s="20"/>
      <c r="X138" s="20"/>
      <c r="Y138" s="20"/>
      <c r="Z138" s="20"/>
      <c r="AA138" s="20"/>
      <c r="AB138" s="20"/>
    </row>
    <row r="139" spans="2:28" x14ac:dyDescent="0.25">
      <c r="B139" s="20">
        <v>27</v>
      </c>
      <c r="C139" s="20"/>
      <c r="D139" s="20"/>
      <c r="E139" s="20"/>
      <c r="F139" s="20"/>
      <c r="G139" s="20"/>
      <c r="H139" s="20"/>
      <c r="I139" s="20"/>
      <c r="J139" s="20"/>
      <c r="K139" s="20"/>
      <c r="L139" s="20"/>
      <c r="M139" s="20"/>
      <c r="N139" s="20"/>
      <c r="O139" s="20"/>
      <c r="P139" s="20"/>
      <c r="Q139" s="20"/>
      <c r="R139" s="20"/>
      <c r="S139" s="20"/>
      <c r="T139" s="20"/>
      <c r="U139" s="20"/>
      <c r="V139" s="20"/>
      <c r="W139" s="20"/>
      <c r="X139" s="20"/>
      <c r="Y139" s="20"/>
      <c r="Z139" s="20"/>
      <c r="AA139" s="20"/>
      <c r="AB139" s="20"/>
    </row>
    <row r="140" spans="2:28" x14ac:dyDescent="0.25">
      <c r="B140" s="20">
        <v>28</v>
      </c>
      <c r="C140" s="20"/>
      <c r="D140" s="20"/>
      <c r="E140" s="20"/>
      <c r="F140" s="20"/>
      <c r="G140" s="20"/>
      <c r="H140" s="20"/>
      <c r="I140" s="20"/>
      <c r="J140" s="20"/>
      <c r="K140" s="20"/>
      <c r="L140" s="20"/>
      <c r="M140" s="20"/>
      <c r="N140" s="20"/>
      <c r="O140" s="20"/>
      <c r="P140" s="20"/>
      <c r="Q140" s="20"/>
      <c r="R140" s="20"/>
      <c r="S140" s="20"/>
      <c r="T140" s="20"/>
      <c r="U140" s="20"/>
      <c r="V140" s="20"/>
      <c r="W140" s="20"/>
      <c r="X140" s="20"/>
      <c r="Y140" s="20"/>
      <c r="Z140" s="20"/>
      <c r="AA140" s="20"/>
      <c r="AB140" s="20"/>
    </row>
    <row r="141" spans="2:28" x14ac:dyDescent="0.25">
      <c r="B141" s="20">
        <v>29</v>
      </c>
      <c r="C141" s="20"/>
      <c r="D141" s="20"/>
      <c r="E141" s="20"/>
      <c r="F141" s="20"/>
      <c r="G141" s="20"/>
      <c r="H141" s="20"/>
      <c r="I141" s="20"/>
      <c r="J141" s="20"/>
      <c r="K141" s="20"/>
      <c r="L141" s="20"/>
      <c r="M141" s="20"/>
      <c r="N141" s="20"/>
      <c r="O141" s="20"/>
      <c r="P141" s="20"/>
      <c r="Q141" s="20"/>
      <c r="R141" s="20"/>
      <c r="S141" s="20"/>
      <c r="T141" s="20"/>
      <c r="U141" s="20"/>
      <c r="V141" s="20"/>
      <c r="W141" s="20"/>
      <c r="X141" s="20"/>
      <c r="Y141" s="20"/>
      <c r="Z141" s="20"/>
      <c r="AA141" s="20"/>
      <c r="AB141" s="20"/>
    </row>
    <row r="142" spans="2:28" x14ac:dyDescent="0.25">
      <c r="B142" s="20">
        <v>30</v>
      </c>
      <c r="C142" s="20"/>
      <c r="D142" s="20"/>
      <c r="E142" s="20"/>
      <c r="F142" s="20"/>
      <c r="G142" s="20"/>
      <c r="H142" s="20"/>
      <c r="I142" s="20"/>
      <c r="J142" s="20"/>
      <c r="K142" s="20"/>
      <c r="L142" s="20"/>
      <c r="M142" s="20"/>
      <c r="N142" s="20"/>
      <c r="O142" s="20"/>
      <c r="P142" s="20"/>
      <c r="Q142" s="20"/>
      <c r="R142" s="20"/>
      <c r="S142" s="20"/>
      <c r="T142" s="20"/>
      <c r="U142" s="20"/>
      <c r="V142" s="20"/>
      <c r="W142" s="20"/>
      <c r="X142" s="20"/>
      <c r="Y142" s="20"/>
      <c r="Z142" s="20"/>
      <c r="AA142" s="20"/>
      <c r="AB142" s="20"/>
    </row>
    <row r="143" spans="2:28" x14ac:dyDescent="0.25">
      <c r="B143" s="20">
        <v>31</v>
      </c>
      <c r="C143" s="20"/>
      <c r="D143" s="20"/>
      <c r="E143" s="20"/>
      <c r="F143" s="20"/>
      <c r="G143" s="20"/>
      <c r="H143" s="20"/>
      <c r="I143" s="20"/>
      <c r="J143" s="20"/>
      <c r="K143" s="20"/>
      <c r="L143" s="20"/>
      <c r="M143" s="20"/>
      <c r="N143" s="20"/>
      <c r="O143" s="20"/>
      <c r="P143" s="20"/>
      <c r="Q143" s="20"/>
      <c r="R143" s="20"/>
      <c r="S143" s="20"/>
      <c r="T143" s="20"/>
      <c r="U143" s="20"/>
      <c r="V143" s="20"/>
      <c r="W143" s="20"/>
      <c r="X143" s="20"/>
      <c r="Y143" s="20"/>
      <c r="Z143" s="20"/>
      <c r="AA143" s="20"/>
      <c r="AB143" s="20"/>
    </row>
    <row r="144" spans="2:28" x14ac:dyDescent="0.25">
      <c r="B144" s="20">
        <v>32</v>
      </c>
      <c r="C144" s="20"/>
      <c r="D144" s="20"/>
      <c r="E144" s="20"/>
      <c r="F144" s="20"/>
      <c r="G144" s="20"/>
      <c r="H144" s="20"/>
      <c r="I144" s="20"/>
      <c r="J144" s="20"/>
      <c r="K144" s="20"/>
      <c r="L144" s="20"/>
      <c r="M144" s="20"/>
      <c r="N144" s="20"/>
      <c r="O144" s="20"/>
      <c r="P144" s="20"/>
      <c r="Q144" s="20"/>
      <c r="R144" s="20"/>
      <c r="S144" s="20"/>
      <c r="T144" s="20"/>
      <c r="U144" s="20"/>
      <c r="V144" s="20"/>
      <c r="W144" s="20"/>
      <c r="X144" s="20"/>
      <c r="Y144" s="20"/>
      <c r="Z144" s="20"/>
      <c r="AA144" s="20"/>
      <c r="AB144" s="20"/>
    </row>
    <row r="145" spans="2:28" x14ac:dyDescent="0.25">
      <c r="B145" s="20">
        <v>33</v>
      </c>
      <c r="C145" s="20"/>
      <c r="D145" s="20"/>
      <c r="E145" s="20"/>
      <c r="F145" s="20"/>
      <c r="G145" s="20"/>
      <c r="H145" s="20"/>
      <c r="I145" s="20"/>
      <c r="J145" s="20"/>
      <c r="K145" s="20"/>
      <c r="L145" s="20"/>
      <c r="M145" s="20"/>
      <c r="N145" s="20"/>
      <c r="O145" s="20"/>
      <c r="P145" s="20"/>
      <c r="Q145" s="20"/>
      <c r="R145" s="20"/>
      <c r="S145" s="20"/>
      <c r="T145" s="20"/>
      <c r="U145" s="20"/>
      <c r="V145" s="20"/>
      <c r="W145" s="20"/>
      <c r="X145" s="20"/>
      <c r="Y145" s="20"/>
      <c r="Z145" s="20"/>
      <c r="AA145" s="20"/>
      <c r="AB145" s="20"/>
    </row>
    <row r="146" spans="2:28" x14ac:dyDescent="0.25">
      <c r="B146" s="20">
        <v>34</v>
      </c>
      <c r="C146" s="20"/>
      <c r="D146" s="20"/>
      <c r="E146" s="20"/>
      <c r="F146" s="20"/>
      <c r="G146" s="20"/>
      <c r="H146" s="20"/>
      <c r="I146" s="20"/>
      <c r="J146" s="20"/>
      <c r="K146" s="20"/>
      <c r="L146" s="20"/>
      <c r="M146" s="20"/>
      <c r="N146" s="20"/>
      <c r="O146" s="20"/>
      <c r="P146" s="20"/>
      <c r="Q146" s="20"/>
      <c r="R146" s="20"/>
      <c r="S146" s="20"/>
      <c r="T146" s="20"/>
      <c r="U146" s="20"/>
      <c r="V146" s="20"/>
      <c r="W146" s="20"/>
      <c r="X146" s="20"/>
      <c r="Y146" s="20"/>
      <c r="Z146" s="20"/>
      <c r="AA146" s="20"/>
      <c r="AB146" s="20"/>
    </row>
    <row r="147" spans="2:28" x14ac:dyDescent="0.25">
      <c r="B147" s="20">
        <v>35</v>
      </c>
      <c r="C147" s="20"/>
      <c r="D147" s="20"/>
      <c r="E147" s="20"/>
      <c r="F147" s="20"/>
      <c r="G147" s="20"/>
      <c r="H147" s="20"/>
      <c r="I147" s="20"/>
      <c r="J147" s="20"/>
      <c r="K147" s="20"/>
      <c r="L147" s="20"/>
      <c r="M147" s="20"/>
      <c r="N147" s="20"/>
      <c r="O147" s="20"/>
      <c r="P147" s="20"/>
      <c r="Q147" s="20"/>
      <c r="R147" s="20"/>
      <c r="S147" s="20"/>
      <c r="T147" s="20"/>
      <c r="U147" s="20"/>
      <c r="V147" s="20"/>
      <c r="W147" s="20"/>
      <c r="X147" s="20"/>
      <c r="Y147" s="20"/>
      <c r="Z147" s="20"/>
      <c r="AA147" s="20"/>
      <c r="AB147" s="20"/>
    </row>
    <row r="148" spans="2:28" x14ac:dyDescent="0.25">
      <c r="B148" s="20">
        <v>36</v>
      </c>
      <c r="C148" s="20"/>
      <c r="D148" s="20"/>
      <c r="E148" s="20"/>
      <c r="F148" s="20"/>
      <c r="G148" s="20"/>
      <c r="H148" s="20"/>
      <c r="I148" s="20"/>
      <c r="J148" s="20"/>
      <c r="K148" s="20"/>
      <c r="L148" s="20"/>
      <c r="M148" s="20"/>
      <c r="N148" s="20"/>
      <c r="O148" s="20"/>
      <c r="P148" s="20"/>
      <c r="Q148" s="20"/>
      <c r="R148" s="20"/>
      <c r="S148" s="20"/>
      <c r="T148" s="20"/>
      <c r="U148" s="20"/>
      <c r="V148" s="20"/>
      <c r="W148" s="20"/>
      <c r="X148" s="20"/>
      <c r="Y148" s="20"/>
      <c r="Z148" s="20"/>
      <c r="AA148" s="20"/>
      <c r="AB148" s="20"/>
    </row>
    <row r="149" spans="2:28" x14ac:dyDescent="0.25">
      <c r="B149" s="20">
        <v>37</v>
      </c>
      <c r="C149" s="20"/>
      <c r="D149" s="20"/>
      <c r="E149" s="20"/>
      <c r="F149" s="20"/>
      <c r="G149" s="20"/>
      <c r="H149" s="20"/>
      <c r="I149" s="20"/>
      <c r="J149" s="20"/>
      <c r="K149" s="20"/>
      <c r="L149" s="20"/>
      <c r="M149" s="20"/>
      <c r="N149" s="20"/>
      <c r="O149" s="20"/>
      <c r="P149" s="20"/>
      <c r="Q149" s="20"/>
      <c r="R149" s="20"/>
      <c r="S149" s="20"/>
      <c r="T149" s="20"/>
      <c r="U149" s="20"/>
      <c r="V149" s="20"/>
      <c r="W149" s="20"/>
      <c r="X149" s="20"/>
      <c r="Y149" s="20"/>
      <c r="Z149" s="20"/>
      <c r="AA149" s="20"/>
      <c r="AB149" s="20"/>
    </row>
    <row r="150" spans="2:28" x14ac:dyDescent="0.25">
      <c r="B150" s="20">
        <v>38</v>
      </c>
      <c r="C150" s="20"/>
      <c r="D150" s="20"/>
      <c r="E150" s="20"/>
      <c r="F150" s="20"/>
      <c r="G150" s="20"/>
      <c r="H150" s="20"/>
      <c r="I150" s="20"/>
      <c r="J150" s="20"/>
      <c r="K150" s="20"/>
      <c r="L150" s="20"/>
      <c r="M150" s="20"/>
      <c r="N150" s="20"/>
      <c r="O150" s="20"/>
      <c r="P150" s="20"/>
      <c r="Q150" s="20"/>
      <c r="R150" s="20"/>
      <c r="S150" s="20"/>
      <c r="T150" s="20"/>
      <c r="U150" s="20"/>
      <c r="V150" s="20"/>
      <c r="W150" s="20"/>
      <c r="X150" s="20"/>
      <c r="Y150" s="20"/>
      <c r="Z150" s="20"/>
      <c r="AA150" s="20"/>
      <c r="AB150" s="20"/>
    </row>
    <row r="151" spans="2:28" x14ac:dyDescent="0.25">
      <c r="B151" s="20">
        <v>39</v>
      </c>
      <c r="C151" s="20"/>
      <c r="D151" s="20"/>
      <c r="E151" s="20"/>
      <c r="F151" s="20"/>
      <c r="G151" s="20"/>
      <c r="H151" s="20"/>
      <c r="I151" s="20"/>
      <c r="J151" s="20"/>
      <c r="K151" s="20"/>
      <c r="L151" s="20"/>
      <c r="M151" s="20"/>
      <c r="N151" s="20"/>
      <c r="O151" s="20"/>
      <c r="P151" s="20"/>
      <c r="Q151" s="20"/>
      <c r="R151" s="20"/>
      <c r="S151" s="20"/>
      <c r="T151" s="20"/>
      <c r="U151" s="20"/>
      <c r="V151" s="20"/>
      <c r="W151" s="20"/>
      <c r="X151" s="20"/>
      <c r="Y151" s="20"/>
      <c r="Z151" s="20"/>
      <c r="AA151" s="20"/>
      <c r="AB151" s="20"/>
    </row>
    <row r="152" spans="2:28" x14ac:dyDescent="0.25">
      <c r="B152" s="20">
        <v>40</v>
      </c>
      <c r="C152" s="20"/>
      <c r="D152" s="20"/>
      <c r="E152" s="20"/>
      <c r="F152" s="20"/>
      <c r="G152" s="20"/>
      <c r="H152" s="20"/>
      <c r="I152" s="20"/>
      <c r="J152" s="20"/>
      <c r="K152" s="20"/>
      <c r="L152" s="20"/>
      <c r="M152" s="20"/>
      <c r="N152" s="20"/>
      <c r="O152" s="20"/>
      <c r="P152" s="20"/>
      <c r="Q152" s="20"/>
      <c r="R152" s="20"/>
      <c r="S152" s="20"/>
      <c r="T152" s="20"/>
      <c r="U152" s="20"/>
      <c r="V152" s="20"/>
      <c r="W152" s="20"/>
      <c r="X152" s="20"/>
      <c r="Y152" s="20"/>
      <c r="Z152" s="20"/>
      <c r="AA152" s="20"/>
      <c r="AB152" s="20"/>
    </row>
    <row r="153" spans="2:28" x14ac:dyDescent="0.25">
      <c r="B153" s="20">
        <v>41</v>
      </c>
      <c r="C153" s="20"/>
      <c r="D153" s="20"/>
      <c r="E153" s="20"/>
      <c r="F153" s="20"/>
      <c r="G153" s="20"/>
      <c r="H153" s="20"/>
      <c r="I153" s="20"/>
      <c r="J153" s="20"/>
      <c r="K153" s="20"/>
      <c r="L153" s="20"/>
      <c r="M153" s="20"/>
      <c r="N153" s="20"/>
      <c r="O153" s="20"/>
      <c r="P153" s="20"/>
      <c r="Q153" s="20"/>
      <c r="R153" s="20"/>
      <c r="S153" s="20"/>
      <c r="T153" s="20"/>
      <c r="U153" s="20"/>
      <c r="V153" s="20"/>
      <c r="W153" s="20"/>
      <c r="X153" s="20"/>
      <c r="Y153" s="20"/>
      <c r="Z153" s="20"/>
      <c r="AA153" s="20"/>
      <c r="AB153" s="20"/>
    </row>
    <row r="154" spans="2:28" x14ac:dyDescent="0.25">
      <c r="B154" s="20">
        <v>42</v>
      </c>
      <c r="C154" s="20"/>
      <c r="D154" s="20"/>
      <c r="E154" s="20"/>
      <c r="F154" s="20"/>
      <c r="G154" s="20"/>
      <c r="H154" s="20"/>
      <c r="I154" s="20"/>
      <c r="J154" s="20"/>
      <c r="K154" s="20"/>
      <c r="L154" s="20"/>
      <c r="M154" s="20"/>
      <c r="N154" s="20"/>
      <c r="O154" s="20"/>
      <c r="P154" s="20"/>
      <c r="Q154" s="20"/>
      <c r="R154" s="20"/>
      <c r="S154" s="20"/>
      <c r="T154" s="20"/>
      <c r="U154" s="20"/>
      <c r="V154" s="20"/>
      <c r="W154" s="20"/>
      <c r="X154" s="20"/>
      <c r="Y154" s="20"/>
      <c r="Z154" s="20"/>
      <c r="AA154" s="20"/>
      <c r="AB154" s="20"/>
    </row>
    <row r="155" spans="2:28" x14ac:dyDescent="0.25">
      <c r="B155" s="20">
        <v>43</v>
      </c>
      <c r="C155" s="20"/>
      <c r="D155" s="20"/>
      <c r="E155" s="20"/>
      <c r="F155" s="20"/>
      <c r="G155" s="20"/>
      <c r="H155" s="20"/>
      <c r="I155" s="20"/>
      <c r="J155" s="20"/>
      <c r="K155" s="20"/>
      <c r="L155" s="20"/>
      <c r="M155" s="20"/>
      <c r="N155" s="20"/>
      <c r="O155" s="20"/>
      <c r="P155" s="20"/>
      <c r="Q155" s="20"/>
      <c r="R155" s="20"/>
      <c r="S155" s="20"/>
      <c r="T155" s="20"/>
      <c r="U155" s="20"/>
      <c r="V155" s="20"/>
      <c r="W155" s="20"/>
      <c r="X155" s="20"/>
      <c r="Y155" s="20"/>
      <c r="Z155" s="20"/>
      <c r="AA155" s="20"/>
      <c r="AB155" s="20"/>
    </row>
    <row r="156" spans="2:28" x14ac:dyDescent="0.25">
      <c r="B156" s="20">
        <v>44</v>
      </c>
      <c r="C156" s="20"/>
      <c r="D156" s="20"/>
      <c r="E156" s="20"/>
      <c r="F156" s="20"/>
      <c r="G156" s="20"/>
      <c r="H156" s="20"/>
      <c r="I156" s="20"/>
      <c r="J156" s="20"/>
      <c r="K156" s="20"/>
      <c r="L156" s="20"/>
      <c r="M156" s="20"/>
      <c r="N156" s="20"/>
      <c r="O156" s="20"/>
      <c r="P156" s="20"/>
      <c r="Q156" s="20"/>
      <c r="R156" s="20"/>
      <c r="S156" s="20"/>
      <c r="T156" s="20"/>
      <c r="U156" s="20"/>
      <c r="V156" s="20"/>
      <c r="W156" s="20"/>
      <c r="X156" s="20"/>
      <c r="Y156" s="20"/>
      <c r="Z156" s="20"/>
      <c r="AA156" s="20"/>
      <c r="AB156" s="20"/>
    </row>
    <row r="157" spans="2:28" x14ac:dyDescent="0.25">
      <c r="B157" s="20">
        <v>45</v>
      </c>
      <c r="C157" s="20"/>
      <c r="D157" s="20"/>
      <c r="E157" s="20"/>
      <c r="F157" s="20"/>
      <c r="G157" s="20"/>
      <c r="H157" s="20"/>
      <c r="I157" s="20"/>
      <c r="J157" s="20"/>
      <c r="K157" s="20"/>
      <c r="L157" s="20"/>
      <c r="M157" s="20"/>
      <c r="N157" s="20"/>
      <c r="O157" s="20"/>
      <c r="P157" s="20"/>
      <c r="Q157" s="20"/>
      <c r="R157" s="20"/>
      <c r="S157" s="20"/>
      <c r="T157" s="20"/>
      <c r="U157" s="20"/>
      <c r="V157" s="20"/>
      <c r="W157" s="20"/>
      <c r="X157" s="20"/>
      <c r="Y157" s="20"/>
      <c r="Z157" s="20"/>
      <c r="AA157" s="20"/>
      <c r="AB157" s="20"/>
    </row>
    <row r="158" spans="2:28" x14ac:dyDescent="0.25">
      <c r="B158" s="20">
        <v>46</v>
      </c>
      <c r="C158" s="20"/>
      <c r="D158" s="20"/>
      <c r="E158" s="20"/>
      <c r="F158" s="20"/>
      <c r="G158" s="20"/>
      <c r="H158" s="20"/>
      <c r="I158" s="20"/>
      <c r="J158" s="20"/>
      <c r="K158" s="20"/>
      <c r="L158" s="20"/>
      <c r="M158" s="20"/>
      <c r="N158" s="20"/>
      <c r="O158" s="20"/>
      <c r="P158" s="20"/>
      <c r="Q158" s="20"/>
      <c r="R158" s="20"/>
      <c r="S158" s="20"/>
      <c r="T158" s="20"/>
      <c r="U158" s="20"/>
      <c r="V158" s="20"/>
      <c r="W158" s="20"/>
      <c r="X158" s="20"/>
      <c r="Y158" s="20"/>
      <c r="Z158" s="20"/>
      <c r="AA158" s="20"/>
      <c r="AB158" s="20"/>
    </row>
    <row r="159" spans="2:28" x14ac:dyDescent="0.25">
      <c r="B159" s="20">
        <v>47</v>
      </c>
      <c r="C159" s="20"/>
      <c r="D159" s="20"/>
      <c r="E159" s="20"/>
      <c r="F159" s="20"/>
      <c r="G159" s="20"/>
      <c r="H159" s="20"/>
      <c r="I159" s="20"/>
      <c r="J159" s="20"/>
      <c r="K159" s="20"/>
      <c r="L159" s="20"/>
      <c r="M159" s="20"/>
      <c r="N159" s="20"/>
      <c r="O159" s="20"/>
      <c r="P159" s="20"/>
      <c r="Q159" s="20"/>
      <c r="R159" s="20"/>
      <c r="S159" s="20"/>
      <c r="T159" s="20"/>
      <c r="U159" s="20"/>
      <c r="V159" s="20"/>
      <c r="W159" s="20"/>
      <c r="X159" s="20"/>
      <c r="Y159" s="20"/>
      <c r="Z159" s="20"/>
      <c r="AA159" s="20"/>
      <c r="AB159" s="20"/>
    </row>
    <row r="160" spans="2:28" x14ac:dyDescent="0.25">
      <c r="B160" s="20">
        <v>48</v>
      </c>
      <c r="C160" s="20"/>
      <c r="D160" s="20"/>
      <c r="E160" s="20"/>
      <c r="F160" s="20"/>
      <c r="G160" s="20"/>
      <c r="H160" s="20"/>
      <c r="I160" s="20"/>
      <c r="J160" s="20"/>
      <c r="K160" s="20"/>
      <c r="L160" s="20"/>
      <c r="M160" s="20"/>
      <c r="N160" s="20"/>
      <c r="O160" s="20"/>
      <c r="P160" s="20"/>
      <c r="Q160" s="20"/>
      <c r="R160" s="20"/>
      <c r="S160" s="20"/>
      <c r="T160" s="20"/>
      <c r="U160" s="20"/>
      <c r="V160" s="20"/>
      <c r="W160" s="20"/>
      <c r="X160" s="20"/>
      <c r="Y160" s="20"/>
      <c r="Z160" s="20"/>
      <c r="AA160" s="20"/>
      <c r="AB160" s="20"/>
    </row>
    <row r="161" spans="2:28" x14ac:dyDescent="0.25">
      <c r="B161" s="20">
        <v>49</v>
      </c>
      <c r="C161" s="20"/>
      <c r="D161" s="20"/>
      <c r="E161" s="20"/>
      <c r="F161" s="20"/>
      <c r="G161" s="20"/>
      <c r="H161" s="20"/>
      <c r="I161" s="20"/>
      <c r="J161" s="20"/>
      <c r="K161" s="20"/>
      <c r="L161" s="20"/>
      <c r="M161" s="20"/>
      <c r="N161" s="20"/>
      <c r="O161" s="20"/>
      <c r="P161" s="20"/>
      <c r="Q161" s="20"/>
      <c r="R161" s="20"/>
      <c r="S161" s="20"/>
      <c r="T161" s="20"/>
      <c r="U161" s="20"/>
      <c r="V161" s="20"/>
      <c r="W161" s="20"/>
      <c r="X161" s="20"/>
      <c r="Y161" s="20"/>
      <c r="Z161" s="20"/>
      <c r="AA161" s="20"/>
      <c r="AB161" s="20"/>
    </row>
    <row r="162" spans="2:28" x14ac:dyDescent="0.25">
      <c r="B162" s="20">
        <v>50</v>
      </c>
      <c r="C162" s="20"/>
      <c r="D162" s="20"/>
      <c r="E162" s="20"/>
      <c r="F162" s="20"/>
      <c r="G162" s="20"/>
      <c r="H162" s="20"/>
      <c r="I162" s="20"/>
      <c r="J162" s="20"/>
      <c r="K162" s="20"/>
      <c r="L162" s="20"/>
      <c r="M162" s="20"/>
      <c r="N162" s="20"/>
      <c r="O162" s="20"/>
      <c r="P162" s="20"/>
      <c r="Q162" s="20"/>
      <c r="R162" s="20"/>
      <c r="S162" s="20"/>
      <c r="T162" s="20"/>
      <c r="U162" s="20"/>
      <c r="V162" s="20"/>
      <c r="W162" s="20"/>
      <c r="X162" s="20"/>
      <c r="Y162" s="20"/>
      <c r="Z162" s="20"/>
      <c r="AA162" s="20"/>
      <c r="AB162" s="20"/>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B89255-7D1E-479A-A278-2E0B9D5FC213}">
  <sheetPr codeName="Sheet20">
    <tabColor rgb="FFB3FF03"/>
  </sheetPr>
  <dimension ref="A1:AM164"/>
  <sheetViews>
    <sheetView showGridLines="0" topLeftCell="A88" workbookViewId="0">
      <selection activeCell="E8" sqref="E8"/>
    </sheetView>
  </sheetViews>
  <sheetFormatPr defaultColWidth="0" defaultRowHeight="15" zeroHeight="1" x14ac:dyDescent="0.25"/>
  <cols>
    <col min="1" max="1" width="3" bestFit="1" customWidth="1"/>
    <col min="2" max="2" width="12.7109375" bestFit="1" customWidth="1"/>
    <col min="3" max="8" width="12" bestFit="1" customWidth="1"/>
    <col min="9" max="9" width="11.42578125" customWidth="1"/>
    <col min="10" max="10" width="12.42578125" bestFit="1" customWidth="1"/>
    <col min="11" max="14" width="12" bestFit="1" customWidth="1"/>
    <col min="15" max="15" width="17.28515625" bestFit="1" customWidth="1"/>
    <col min="16" max="16" width="17" bestFit="1" customWidth="1"/>
    <col min="17" max="17" width="20.28515625" bestFit="1" customWidth="1"/>
    <col min="18" max="18" width="13.5703125" bestFit="1" customWidth="1"/>
    <col min="19" max="19" width="38.42578125" bestFit="1" customWidth="1"/>
    <col min="20" max="20" width="18.5703125" bestFit="1" customWidth="1"/>
    <col min="21" max="21" width="18.85546875" bestFit="1" customWidth="1"/>
    <col min="22" max="22" width="28" bestFit="1" customWidth="1"/>
    <col min="23" max="23" width="21.140625" bestFit="1" customWidth="1"/>
    <col min="24" max="24" width="16.85546875" bestFit="1" customWidth="1"/>
    <col min="25" max="25" width="15.85546875" bestFit="1" customWidth="1"/>
    <col min="26" max="26" width="18" bestFit="1" customWidth="1"/>
    <col min="27" max="27" width="13.140625" bestFit="1" customWidth="1"/>
    <col min="28" max="29" width="12" bestFit="1" customWidth="1"/>
    <col min="30" max="30" width="15" bestFit="1" customWidth="1"/>
    <col min="31" max="31" width="12.28515625" bestFit="1" customWidth="1"/>
    <col min="32" max="32" width="18.28515625" bestFit="1" customWidth="1"/>
    <col min="33" max="33" width="12.7109375" bestFit="1" customWidth="1"/>
    <col min="34" max="34" width="15.28515625" bestFit="1" customWidth="1"/>
    <col min="35" max="35" width="8.85546875" bestFit="1" customWidth="1"/>
    <col min="36" max="36" width="16.85546875" bestFit="1" customWidth="1"/>
    <col min="37" max="37" width="9.85546875" bestFit="1" customWidth="1"/>
    <col min="38" max="38" width="15" bestFit="1" customWidth="1"/>
    <col min="39" max="39" width="9.140625" customWidth="1"/>
    <col min="40" max="16384" width="9.140625" hidden="1"/>
  </cols>
  <sheetData>
    <row r="1" spans="2:34" x14ac:dyDescent="0.25"/>
    <row r="2" spans="2:34" x14ac:dyDescent="0.25"/>
    <row r="3" spans="2:34" x14ac:dyDescent="0.25">
      <c r="B3" s="9" t="s">
        <v>305</v>
      </c>
    </row>
    <row r="4" spans="2:34" x14ac:dyDescent="0.25">
      <c r="B4" s="67" t="s">
        <v>0</v>
      </c>
      <c r="C4" s="67" t="s">
        <v>277</v>
      </c>
      <c r="D4" s="67" t="s">
        <v>278</v>
      </c>
      <c r="E4" s="67" t="s">
        <v>279</v>
      </c>
      <c r="F4" s="67" t="s">
        <v>280</v>
      </c>
      <c r="G4" s="67" t="s">
        <v>226</v>
      </c>
      <c r="H4" s="67" t="s">
        <v>228</v>
      </c>
      <c r="I4" s="67" t="s">
        <v>229</v>
      </c>
      <c r="J4" s="67" t="s">
        <v>281</v>
      </c>
      <c r="K4" s="67" t="s">
        <v>282</v>
      </c>
      <c r="L4" s="67" t="s">
        <v>283</v>
      </c>
      <c r="M4" s="67" t="s">
        <v>284</v>
      </c>
      <c r="N4" s="67" t="s">
        <v>285</v>
      </c>
      <c r="O4" s="67" t="s">
        <v>286</v>
      </c>
      <c r="P4" s="67" t="s">
        <v>287</v>
      </c>
      <c r="Q4" s="67" t="s">
        <v>288</v>
      </c>
      <c r="R4" s="67" t="s">
        <v>289</v>
      </c>
      <c r="S4" s="67" t="s">
        <v>293</v>
      </c>
      <c r="T4" s="67" t="s">
        <v>291</v>
      </c>
      <c r="U4" s="67" t="s">
        <v>290</v>
      </c>
      <c r="V4" s="67" t="s">
        <v>292</v>
      </c>
      <c r="W4" s="67" t="s">
        <v>294</v>
      </c>
      <c r="X4" s="67" t="s">
        <v>295</v>
      </c>
      <c r="Y4" s="67" t="s">
        <v>296</v>
      </c>
      <c r="Z4" s="67" t="s">
        <v>297</v>
      </c>
      <c r="AA4" s="67" t="s">
        <v>298</v>
      </c>
      <c r="AB4" s="67" t="s">
        <v>299</v>
      </c>
      <c r="AC4" s="67" t="s">
        <v>300</v>
      </c>
      <c r="AD4" s="67" t="s">
        <v>301</v>
      </c>
      <c r="AE4" s="67" t="s">
        <v>383</v>
      </c>
      <c r="AF4" s="67" t="s">
        <v>302</v>
      </c>
      <c r="AG4" s="67" t="s">
        <v>303</v>
      </c>
      <c r="AH4" s="67" t="s">
        <v>304</v>
      </c>
    </row>
    <row r="5" spans="2:34" x14ac:dyDescent="0.25">
      <c r="B5" s="20"/>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row>
    <row r="6" spans="2:34" x14ac:dyDescent="0.25">
      <c r="B6" s="20"/>
      <c r="C6" s="20"/>
      <c r="D6" s="20"/>
      <c r="E6" s="20"/>
      <c r="F6" s="20"/>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row>
    <row r="7" spans="2:34" x14ac:dyDescent="0.25">
      <c r="B7" s="20"/>
      <c r="C7" s="20"/>
      <c r="D7" s="20"/>
      <c r="E7" s="20"/>
      <c r="F7" s="20"/>
      <c r="G7" s="20"/>
      <c r="H7" s="20"/>
      <c r="I7" s="20"/>
      <c r="J7" s="20"/>
      <c r="K7" s="20"/>
      <c r="L7" s="20"/>
      <c r="M7" s="20"/>
      <c r="N7" s="20"/>
      <c r="O7" s="20"/>
      <c r="P7" s="20"/>
      <c r="Q7" s="20"/>
      <c r="R7" s="20"/>
      <c r="S7" s="20"/>
      <c r="T7" s="20"/>
      <c r="U7" s="20"/>
      <c r="V7" s="20"/>
      <c r="W7" s="20"/>
      <c r="X7" s="20"/>
      <c r="Y7" s="20"/>
      <c r="Z7" s="20"/>
      <c r="AA7" s="20"/>
      <c r="AB7" s="20"/>
      <c r="AC7" s="20"/>
      <c r="AD7" s="20"/>
      <c r="AE7" s="20"/>
      <c r="AF7" s="20"/>
      <c r="AG7" s="20"/>
      <c r="AH7" s="20"/>
    </row>
    <row r="8" spans="2:34" x14ac:dyDescent="0.25">
      <c r="B8" s="20"/>
      <c r="C8" s="20"/>
      <c r="D8" s="20"/>
      <c r="E8" s="20"/>
      <c r="F8" s="20"/>
      <c r="G8" s="20"/>
      <c r="H8" s="20"/>
      <c r="I8" s="20"/>
      <c r="J8" s="20"/>
      <c r="K8" s="20"/>
      <c r="L8" s="20"/>
      <c r="M8" s="20"/>
      <c r="N8" s="20"/>
      <c r="O8" s="20"/>
      <c r="P8" s="20"/>
      <c r="Q8" s="20"/>
      <c r="R8" s="20"/>
      <c r="S8" s="20"/>
      <c r="T8" s="20"/>
      <c r="U8" s="20"/>
      <c r="V8" s="20"/>
      <c r="W8" s="20"/>
      <c r="X8" s="20"/>
      <c r="Y8" s="20"/>
      <c r="Z8" s="20"/>
      <c r="AA8" s="20"/>
      <c r="AB8" s="20"/>
      <c r="AC8" s="20"/>
      <c r="AD8" s="20"/>
      <c r="AE8" s="20"/>
      <c r="AF8" s="20"/>
      <c r="AG8" s="20"/>
      <c r="AH8" s="20"/>
    </row>
    <row r="9" spans="2:34" x14ac:dyDescent="0.25">
      <c r="B9" s="20"/>
      <c r="C9" s="20"/>
      <c r="D9" s="20"/>
      <c r="E9" s="20"/>
      <c r="F9" s="20"/>
      <c r="G9" s="20"/>
      <c r="H9" s="20"/>
      <c r="I9" s="20"/>
      <c r="J9" s="20"/>
      <c r="K9" s="20"/>
      <c r="L9" s="20"/>
      <c r="M9" s="20"/>
      <c r="N9" s="20"/>
      <c r="O9" s="20"/>
      <c r="P9" s="20"/>
      <c r="Q9" s="20"/>
      <c r="R9" s="20"/>
      <c r="S9" s="20"/>
      <c r="T9" s="20"/>
      <c r="U9" s="20"/>
      <c r="V9" s="20"/>
      <c r="W9" s="20"/>
      <c r="X9" s="20"/>
      <c r="Y9" s="20"/>
      <c r="Z9" s="20"/>
      <c r="AA9" s="20"/>
      <c r="AB9" s="20"/>
      <c r="AC9" s="20"/>
      <c r="AD9" s="20"/>
      <c r="AE9" s="20"/>
      <c r="AF9" s="20"/>
      <c r="AG9" s="20"/>
      <c r="AH9" s="20"/>
    </row>
    <row r="10" spans="2:34" x14ac:dyDescent="0.25">
      <c r="B10" s="20"/>
      <c r="C10" s="20"/>
      <c r="D10" s="20"/>
      <c r="E10" s="20"/>
      <c r="F10" s="20"/>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row>
    <row r="11" spans="2:34" x14ac:dyDescent="0.25">
      <c r="B11" s="20"/>
      <c r="C11" s="20"/>
      <c r="D11" s="20"/>
      <c r="E11" s="20"/>
      <c r="F11" s="20"/>
      <c r="G11" s="20"/>
      <c r="H11" s="20"/>
      <c r="I11" s="20"/>
      <c r="J11" s="20"/>
      <c r="K11" s="20"/>
      <c r="L11" s="20"/>
      <c r="M11" s="20"/>
      <c r="N11" s="20"/>
      <c r="O11" s="20"/>
      <c r="P11" s="20"/>
      <c r="Q11" s="20"/>
      <c r="R11" s="20"/>
      <c r="S11" s="20"/>
      <c r="T11" s="20"/>
      <c r="U11" s="20"/>
      <c r="V11" s="20"/>
      <c r="W11" s="20"/>
      <c r="X11" s="20"/>
      <c r="Y11" s="20"/>
      <c r="Z11" s="20"/>
      <c r="AA11" s="20"/>
      <c r="AB11" s="20"/>
      <c r="AC11" s="20"/>
      <c r="AD11" s="20"/>
      <c r="AE11" s="20"/>
      <c r="AF11" s="20"/>
      <c r="AG11" s="20"/>
      <c r="AH11" s="20"/>
    </row>
    <row r="12" spans="2:34" x14ac:dyDescent="0.25">
      <c r="B12" s="20"/>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c r="AC12" s="20"/>
      <c r="AD12" s="20"/>
      <c r="AE12" s="20"/>
      <c r="AF12" s="20"/>
      <c r="AG12" s="20"/>
      <c r="AH12" s="20"/>
    </row>
    <row r="13" spans="2:34" x14ac:dyDescent="0.25">
      <c r="B13" s="20"/>
      <c r="C13" s="20"/>
      <c r="D13" s="20"/>
      <c r="E13" s="20"/>
      <c r="F13" s="20"/>
      <c r="G13" s="20"/>
      <c r="H13" s="20"/>
      <c r="I13" s="20"/>
      <c r="J13" s="20"/>
      <c r="K13" s="20"/>
      <c r="L13" s="20"/>
      <c r="M13" s="20"/>
      <c r="N13" s="20"/>
      <c r="O13" s="20"/>
      <c r="P13" s="20"/>
      <c r="Q13" s="20"/>
      <c r="R13" s="20"/>
      <c r="S13" s="20"/>
      <c r="T13" s="20"/>
      <c r="U13" s="20"/>
      <c r="V13" s="20"/>
      <c r="W13" s="20"/>
      <c r="X13" s="20"/>
      <c r="Y13" s="20"/>
      <c r="Z13" s="20"/>
      <c r="AA13" s="20"/>
      <c r="AB13" s="20"/>
      <c r="AC13" s="20"/>
      <c r="AD13" s="20"/>
      <c r="AE13" s="20"/>
      <c r="AF13" s="20"/>
      <c r="AG13" s="20"/>
      <c r="AH13" s="20"/>
    </row>
    <row r="14" spans="2:34" x14ac:dyDescent="0.25">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c r="AC14" s="20"/>
      <c r="AD14" s="20"/>
      <c r="AE14" s="20"/>
      <c r="AF14" s="20"/>
      <c r="AG14" s="20"/>
      <c r="AH14" s="20"/>
    </row>
    <row r="15" spans="2:34" x14ac:dyDescent="0.25">
      <c r="B15" s="20"/>
      <c r="C15" s="20"/>
      <c r="D15" s="20"/>
      <c r="E15" s="20"/>
      <c r="F15" s="20"/>
      <c r="G15" s="20"/>
      <c r="H15" s="20"/>
      <c r="I15" s="20"/>
      <c r="J15" s="20"/>
      <c r="K15" s="20"/>
      <c r="L15" s="20"/>
      <c r="M15" s="20"/>
      <c r="N15" s="20"/>
      <c r="O15" s="20"/>
      <c r="P15" s="20"/>
      <c r="Q15" s="20"/>
      <c r="R15" s="20"/>
      <c r="S15" s="20"/>
      <c r="T15" s="20"/>
      <c r="U15" s="20"/>
      <c r="V15" s="20"/>
      <c r="W15" s="20"/>
      <c r="X15" s="20"/>
      <c r="Y15" s="20"/>
      <c r="Z15" s="20"/>
      <c r="AA15" s="20"/>
      <c r="AB15" s="20"/>
      <c r="AC15" s="20"/>
      <c r="AD15" s="20"/>
      <c r="AE15" s="20"/>
      <c r="AF15" s="20"/>
      <c r="AG15" s="20"/>
      <c r="AH15" s="20"/>
    </row>
    <row r="16" spans="2:34" x14ac:dyDescent="0.25">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c r="AC16" s="20"/>
      <c r="AD16" s="20"/>
      <c r="AE16" s="20"/>
      <c r="AF16" s="20"/>
      <c r="AG16" s="20"/>
      <c r="AH16" s="20"/>
    </row>
    <row r="17" spans="2:34" x14ac:dyDescent="0.25">
      <c r="B17" s="20"/>
      <c r="C17" s="20"/>
      <c r="D17" s="20"/>
      <c r="E17" s="20"/>
      <c r="F17" s="20"/>
      <c r="G17" s="20"/>
      <c r="H17" s="20"/>
      <c r="I17" s="20"/>
      <c r="J17" s="20"/>
      <c r="K17" s="20"/>
      <c r="L17" s="20"/>
      <c r="M17" s="20"/>
      <c r="N17" s="20"/>
      <c r="O17" s="20"/>
      <c r="P17" s="20"/>
      <c r="Q17" s="20"/>
      <c r="R17" s="20"/>
      <c r="S17" s="20"/>
      <c r="T17" s="20"/>
      <c r="U17" s="20"/>
      <c r="V17" s="20"/>
      <c r="W17" s="20"/>
      <c r="X17" s="20"/>
      <c r="Y17" s="20"/>
      <c r="Z17" s="20"/>
      <c r="AA17" s="20"/>
      <c r="AB17" s="20"/>
      <c r="AC17" s="20"/>
      <c r="AD17" s="20"/>
      <c r="AE17" s="20"/>
      <c r="AF17" s="20"/>
      <c r="AG17" s="20"/>
      <c r="AH17" s="20"/>
    </row>
    <row r="18" spans="2:34" x14ac:dyDescent="0.25">
      <c r="B18" s="20"/>
      <c r="C18" s="20"/>
      <c r="D18" s="20"/>
      <c r="E18" s="20"/>
      <c r="F18" s="20"/>
      <c r="G18" s="20"/>
      <c r="H18" s="20"/>
      <c r="I18" s="20"/>
      <c r="J18" s="20"/>
      <c r="K18" s="20"/>
      <c r="L18" s="20"/>
      <c r="M18" s="20"/>
      <c r="N18" s="20"/>
      <c r="O18" s="20"/>
      <c r="P18" s="20"/>
      <c r="Q18" s="20"/>
      <c r="R18" s="20"/>
      <c r="S18" s="20"/>
      <c r="T18" s="20"/>
      <c r="U18" s="20"/>
      <c r="V18" s="20"/>
      <c r="W18" s="20"/>
      <c r="X18" s="20"/>
      <c r="Y18" s="20"/>
      <c r="Z18" s="20"/>
      <c r="AA18" s="20"/>
      <c r="AB18" s="20"/>
      <c r="AC18" s="20"/>
      <c r="AD18" s="20"/>
      <c r="AE18" s="20"/>
      <c r="AF18" s="20"/>
      <c r="AG18" s="20"/>
      <c r="AH18" s="20"/>
    </row>
    <row r="19" spans="2:34" x14ac:dyDescent="0.25">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c r="AC19" s="20"/>
      <c r="AD19" s="20"/>
      <c r="AE19" s="20"/>
      <c r="AF19" s="20"/>
      <c r="AG19" s="20"/>
      <c r="AH19" s="20"/>
    </row>
    <row r="20" spans="2:34" x14ac:dyDescent="0.25">
      <c r="B20" s="20"/>
      <c r="C20" s="20"/>
      <c r="D20" s="20"/>
      <c r="E20" s="20"/>
      <c r="F20" s="20"/>
      <c r="G20" s="20"/>
      <c r="H20" s="20"/>
      <c r="I20" s="20"/>
      <c r="J20" s="20"/>
      <c r="K20" s="20"/>
      <c r="L20" s="20"/>
      <c r="M20" s="20"/>
      <c r="N20" s="20"/>
      <c r="O20" s="20"/>
      <c r="P20" s="20"/>
      <c r="Q20" s="20"/>
      <c r="R20" s="20"/>
      <c r="S20" s="20"/>
      <c r="T20" s="20"/>
      <c r="U20" s="20"/>
      <c r="V20" s="20"/>
      <c r="W20" s="20"/>
      <c r="X20" s="20"/>
      <c r="Y20" s="20"/>
      <c r="Z20" s="20"/>
      <c r="AA20" s="20"/>
      <c r="AB20" s="20"/>
      <c r="AC20" s="20"/>
      <c r="AD20" s="20"/>
      <c r="AE20" s="20"/>
      <c r="AF20" s="20"/>
      <c r="AG20" s="20"/>
      <c r="AH20" s="20"/>
    </row>
    <row r="21" spans="2:34" x14ac:dyDescent="0.25">
      <c r="B21" s="20"/>
      <c r="C21" s="20"/>
      <c r="D21" s="20"/>
      <c r="E21" s="20"/>
      <c r="F21" s="20"/>
      <c r="G21" s="20"/>
      <c r="H21" s="20"/>
      <c r="I21" s="20"/>
      <c r="J21" s="20"/>
      <c r="K21" s="20"/>
      <c r="L21" s="20"/>
      <c r="M21" s="20"/>
      <c r="N21" s="20"/>
      <c r="O21" s="20"/>
      <c r="P21" s="20"/>
      <c r="Q21" s="20"/>
      <c r="R21" s="20"/>
      <c r="S21" s="20"/>
      <c r="T21" s="20"/>
      <c r="U21" s="20"/>
      <c r="V21" s="20"/>
      <c r="W21" s="20"/>
      <c r="X21" s="20"/>
      <c r="Y21" s="20"/>
      <c r="Z21" s="20"/>
      <c r="AA21" s="20"/>
      <c r="AB21" s="20"/>
      <c r="AC21" s="20"/>
      <c r="AD21" s="20"/>
      <c r="AE21" s="20"/>
      <c r="AF21" s="20"/>
      <c r="AG21" s="20"/>
      <c r="AH21" s="20"/>
    </row>
    <row r="22" spans="2:34" x14ac:dyDescent="0.25">
      <c r="B22" s="20"/>
      <c r="C22" s="20"/>
      <c r="D22" s="20"/>
      <c r="E22" s="20"/>
      <c r="F22" s="20"/>
      <c r="G22" s="20"/>
      <c r="H22" s="20"/>
      <c r="I22" s="20"/>
      <c r="J22" s="20"/>
      <c r="K22" s="20"/>
      <c r="L22" s="20"/>
      <c r="M22" s="20"/>
      <c r="N22" s="20"/>
      <c r="O22" s="20"/>
      <c r="P22" s="20"/>
      <c r="Q22" s="20"/>
      <c r="R22" s="20"/>
      <c r="S22" s="20"/>
      <c r="T22" s="20"/>
      <c r="U22" s="20"/>
      <c r="V22" s="20"/>
      <c r="W22" s="20"/>
      <c r="X22" s="20"/>
      <c r="Y22" s="20"/>
      <c r="Z22" s="20"/>
      <c r="AA22" s="20"/>
      <c r="AB22" s="20"/>
      <c r="AC22" s="20"/>
      <c r="AD22" s="20"/>
      <c r="AE22" s="20"/>
      <c r="AF22" s="20"/>
      <c r="AG22" s="20"/>
      <c r="AH22" s="20"/>
    </row>
    <row r="23" spans="2:34" x14ac:dyDescent="0.25">
      <c r="B23" s="20"/>
      <c r="C23" s="20"/>
      <c r="D23" s="20"/>
      <c r="E23" s="20"/>
      <c r="F23" s="20"/>
      <c r="G23" s="20"/>
      <c r="H23" s="20"/>
      <c r="I23" s="20"/>
      <c r="J23" s="20"/>
      <c r="K23" s="20"/>
      <c r="L23" s="20"/>
      <c r="M23" s="20"/>
      <c r="N23" s="20"/>
      <c r="O23" s="20"/>
      <c r="P23" s="20"/>
      <c r="Q23" s="20"/>
      <c r="R23" s="20"/>
      <c r="S23" s="20"/>
      <c r="T23" s="20"/>
      <c r="U23" s="20"/>
      <c r="V23" s="20"/>
      <c r="W23" s="20"/>
      <c r="X23" s="20"/>
      <c r="Y23" s="20"/>
      <c r="Z23" s="20"/>
      <c r="AA23" s="20"/>
      <c r="AB23" s="20"/>
      <c r="AC23" s="20"/>
      <c r="AD23" s="20"/>
      <c r="AE23" s="20"/>
      <c r="AF23" s="20"/>
      <c r="AG23" s="20"/>
      <c r="AH23" s="20"/>
    </row>
    <row r="24" spans="2:34" x14ac:dyDescent="0.25">
      <c r="B24" s="20"/>
      <c r="C24" s="20"/>
      <c r="D24" s="20"/>
      <c r="E24" s="20"/>
      <c r="F24" s="20"/>
      <c r="G24" s="20"/>
      <c r="H24" s="20"/>
      <c r="I24" s="20"/>
      <c r="J24" s="20"/>
      <c r="K24" s="20"/>
      <c r="L24" s="20"/>
      <c r="M24" s="20"/>
      <c r="N24" s="20"/>
      <c r="O24" s="20"/>
      <c r="P24" s="20"/>
      <c r="Q24" s="20"/>
      <c r="R24" s="20"/>
      <c r="S24" s="20"/>
      <c r="T24" s="20"/>
      <c r="U24" s="20"/>
      <c r="V24" s="20"/>
      <c r="W24" s="20"/>
      <c r="X24" s="20"/>
      <c r="Y24" s="20"/>
      <c r="Z24" s="20"/>
      <c r="AA24" s="20"/>
      <c r="AB24" s="20"/>
      <c r="AC24" s="20"/>
      <c r="AD24" s="20"/>
      <c r="AE24" s="20"/>
      <c r="AF24" s="20"/>
      <c r="AG24" s="20"/>
      <c r="AH24" s="20"/>
    </row>
    <row r="25" spans="2:34" x14ac:dyDescent="0.25">
      <c r="B25" s="20"/>
      <c r="C25" s="20"/>
      <c r="D25" s="20"/>
      <c r="E25" s="20"/>
      <c r="F25" s="20"/>
      <c r="G25" s="20"/>
      <c r="H25" s="20"/>
      <c r="I25" s="20"/>
      <c r="J25" s="20"/>
      <c r="K25" s="20"/>
      <c r="L25" s="20"/>
      <c r="M25" s="20"/>
      <c r="N25" s="20"/>
      <c r="O25" s="20"/>
      <c r="P25" s="20"/>
      <c r="Q25" s="20"/>
      <c r="R25" s="20"/>
      <c r="S25" s="20"/>
      <c r="T25" s="20"/>
      <c r="U25" s="20"/>
      <c r="V25" s="20"/>
      <c r="W25" s="20"/>
      <c r="X25" s="20"/>
      <c r="Y25" s="20"/>
      <c r="Z25" s="20"/>
      <c r="AA25" s="20"/>
      <c r="AB25" s="20"/>
      <c r="AC25" s="20"/>
      <c r="AD25" s="20"/>
      <c r="AE25" s="20"/>
      <c r="AF25" s="20"/>
      <c r="AG25" s="20"/>
      <c r="AH25" s="20"/>
    </row>
    <row r="26" spans="2:34" x14ac:dyDescent="0.25">
      <c r="B26" s="20"/>
      <c r="C26" s="20"/>
      <c r="D26" s="20"/>
      <c r="E26" s="20"/>
      <c r="F26" s="20"/>
      <c r="G26" s="20"/>
      <c r="H26" s="20"/>
      <c r="I26" s="20"/>
      <c r="J26" s="20"/>
      <c r="K26" s="20"/>
      <c r="L26" s="20"/>
      <c r="M26" s="20"/>
      <c r="N26" s="20"/>
      <c r="O26" s="20"/>
      <c r="P26" s="20"/>
      <c r="Q26" s="20"/>
      <c r="R26" s="20"/>
      <c r="S26" s="20"/>
      <c r="T26" s="20"/>
      <c r="U26" s="20"/>
      <c r="V26" s="20"/>
      <c r="W26" s="20"/>
      <c r="X26" s="20"/>
      <c r="Y26" s="20"/>
      <c r="Z26" s="20"/>
      <c r="AA26" s="20"/>
      <c r="AB26" s="20"/>
      <c r="AC26" s="20"/>
      <c r="AD26" s="20"/>
      <c r="AE26" s="20"/>
      <c r="AF26" s="20"/>
      <c r="AG26" s="20"/>
      <c r="AH26" s="20"/>
    </row>
    <row r="27" spans="2:34" x14ac:dyDescent="0.25">
      <c r="B27" s="20"/>
      <c r="C27" s="20"/>
      <c r="D27" s="20"/>
      <c r="E27" s="20"/>
      <c r="F27" s="20"/>
      <c r="G27" s="20"/>
      <c r="H27" s="20"/>
      <c r="I27" s="20"/>
      <c r="J27" s="20"/>
      <c r="K27" s="20"/>
      <c r="L27" s="20"/>
      <c r="M27" s="20"/>
      <c r="N27" s="20"/>
      <c r="O27" s="20"/>
      <c r="P27" s="20"/>
      <c r="Q27" s="20"/>
      <c r="R27" s="20"/>
      <c r="S27" s="20"/>
      <c r="T27" s="20"/>
      <c r="U27" s="20"/>
      <c r="V27" s="20"/>
      <c r="W27" s="20"/>
      <c r="X27" s="20"/>
      <c r="Y27" s="20"/>
      <c r="Z27" s="20"/>
      <c r="AA27" s="20"/>
      <c r="AB27" s="20"/>
      <c r="AC27" s="20"/>
      <c r="AD27" s="20"/>
      <c r="AE27" s="20"/>
      <c r="AF27" s="20"/>
      <c r="AG27" s="20"/>
      <c r="AH27" s="20"/>
    </row>
    <row r="28" spans="2:34" x14ac:dyDescent="0.25">
      <c r="B28" s="20"/>
      <c r="C28" s="20"/>
      <c r="D28" s="20"/>
      <c r="E28" s="20"/>
      <c r="F28" s="20"/>
      <c r="G28" s="20"/>
      <c r="H28" s="20"/>
      <c r="I28" s="20"/>
      <c r="J28" s="20"/>
      <c r="K28" s="20"/>
      <c r="L28" s="20"/>
      <c r="M28" s="20"/>
      <c r="N28" s="20"/>
      <c r="O28" s="20"/>
      <c r="P28" s="20"/>
      <c r="Q28" s="20"/>
      <c r="R28" s="20"/>
      <c r="S28" s="20"/>
      <c r="T28" s="20"/>
      <c r="U28" s="20"/>
      <c r="V28" s="20"/>
      <c r="W28" s="20"/>
      <c r="X28" s="20"/>
      <c r="Y28" s="20"/>
      <c r="Z28" s="20"/>
      <c r="AA28" s="20"/>
      <c r="AB28" s="20"/>
      <c r="AC28" s="20"/>
      <c r="AD28" s="20"/>
      <c r="AE28" s="20"/>
      <c r="AF28" s="20"/>
      <c r="AG28" s="20"/>
      <c r="AH28" s="20"/>
    </row>
    <row r="29" spans="2:34" x14ac:dyDescent="0.25">
      <c r="B29" s="20"/>
      <c r="C29" s="20"/>
      <c r="D29" s="20"/>
      <c r="E29" s="20"/>
      <c r="F29" s="20"/>
      <c r="G29" s="20"/>
      <c r="H29" s="20"/>
      <c r="I29" s="20"/>
      <c r="J29" s="20"/>
      <c r="K29" s="20"/>
      <c r="L29" s="20"/>
      <c r="M29" s="20"/>
      <c r="N29" s="20"/>
      <c r="O29" s="20"/>
      <c r="P29" s="20"/>
      <c r="Q29" s="20"/>
      <c r="R29" s="20"/>
      <c r="S29" s="20"/>
      <c r="T29" s="20"/>
      <c r="U29" s="20"/>
      <c r="V29" s="20"/>
      <c r="W29" s="20"/>
      <c r="X29" s="20"/>
      <c r="Y29" s="20"/>
      <c r="Z29" s="20"/>
      <c r="AA29" s="20"/>
      <c r="AB29" s="20"/>
      <c r="AC29" s="20"/>
      <c r="AD29" s="20"/>
      <c r="AE29" s="20"/>
      <c r="AF29" s="20"/>
      <c r="AG29" s="20"/>
      <c r="AH29" s="20"/>
    </row>
    <row r="30" spans="2:34" x14ac:dyDescent="0.25">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c r="AC30" s="20"/>
      <c r="AD30" s="20"/>
      <c r="AE30" s="20"/>
      <c r="AF30" s="20"/>
      <c r="AG30" s="20"/>
      <c r="AH30" s="20"/>
    </row>
    <row r="31" spans="2:34" x14ac:dyDescent="0.25">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c r="AC31" s="20"/>
      <c r="AD31" s="20"/>
      <c r="AE31" s="20"/>
      <c r="AF31" s="20"/>
      <c r="AG31" s="20"/>
      <c r="AH31" s="20"/>
    </row>
    <row r="32" spans="2:34" x14ac:dyDescent="0.25">
      <c r="B32" s="20"/>
      <c r="C32" s="20"/>
      <c r="D32" s="20"/>
      <c r="E32" s="20"/>
      <c r="F32" s="20"/>
      <c r="G32" s="20"/>
      <c r="H32" s="20"/>
      <c r="I32" s="20"/>
      <c r="J32" s="20"/>
      <c r="K32" s="20"/>
      <c r="L32" s="20"/>
      <c r="M32" s="20"/>
      <c r="N32" s="20"/>
      <c r="O32" s="20"/>
      <c r="P32" s="20"/>
      <c r="Q32" s="20"/>
      <c r="R32" s="20"/>
      <c r="S32" s="20"/>
      <c r="T32" s="20"/>
      <c r="U32" s="20"/>
      <c r="V32" s="20"/>
      <c r="W32" s="20"/>
      <c r="X32" s="20"/>
      <c r="Y32" s="20"/>
      <c r="Z32" s="20"/>
      <c r="AA32" s="20"/>
      <c r="AB32" s="20"/>
      <c r="AC32" s="20"/>
      <c r="AD32" s="20"/>
      <c r="AE32" s="20"/>
      <c r="AF32" s="20"/>
      <c r="AG32" s="20"/>
      <c r="AH32" s="20"/>
    </row>
    <row r="33" spans="2:34" x14ac:dyDescent="0.25">
      <c r="B33" s="20"/>
      <c r="C33" s="20"/>
      <c r="D33" s="20"/>
      <c r="E33" s="20"/>
      <c r="F33" s="20"/>
      <c r="G33" s="20"/>
      <c r="H33" s="20"/>
      <c r="I33" s="20"/>
      <c r="J33" s="20"/>
      <c r="K33" s="20"/>
      <c r="L33" s="20"/>
      <c r="M33" s="20"/>
      <c r="N33" s="20"/>
      <c r="O33" s="20"/>
      <c r="P33" s="20"/>
      <c r="Q33" s="20"/>
      <c r="R33" s="20"/>
      <c r="S33" s="20"/>
      <c r="T33" s="20"/>
      <c r="U33" s="20"/>
      <c r="V33" s="20"/>
      <c r="W33" s="20"/>
      <c r="X33" s="20"/>
      <c r="Y33" s="20"/>
      <c r="Z33" s="20"/>
      <c r="AA33" s="20"/>
      <c r="AB33" s="20"/>
      <c r="AC33" s="20"/>
      <c r="AD33" s="20"/>
      <c r="AE33" s="20"/>
      <c r="AF33" s="20"/>
      <c r="AG33" s="20"/>
      <c r="AH33" s="20"/>
    </row>
    <row r="34" spans="2:34" x14ac:dyDescent="0.25">
      <c r="B34" s="20"/>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c r="AC34" s="20"/>
      <c r="AD34" s="20"/>
      <c r="AE34" s="20"/>
      <c r="AF34" s="20"/>
      <c r="AG34" s="20"/>
      <c r="AH34" s="20"/>
    </row>
    <row r="35" spans="2:34" x14ac:dyDescent="0.25">
      <c r="B35" s="20"/>
      <c r="C35" s="20"/>
      <c r="D35" s="20"/>
      <c r="E35" s="20"/>
      <c r="F35" s="20"/>
      <c r="G35" s="20"/>
      <c r="H35" s="20"/>
      <c r="I35" s="20"/>
      <c r="J35" s="20"/>
      <c r="K35" s="20"/>
      <c r="L35" s="20"/>
      <c r="M35" s="20"/>
      <c r="N35" s="20"/>
      <c r="O35" s="20"/>
      <c r="P35" s="20"/>
      <c r="Q35" s="20"/>
      <c r="R35" s="20"/>
      <c r="S35" s="20"/>
      <c r="T35" s="20"/>
      <c r="U35" s="20"/>
      <c r="V35" s="20"/>
      <c r="W35" s="20"/>
      <c r="X35" s="20"/>
      <c r="Y35" s="20"/>
      <c r="Z35" s="20"/>
      <c r="AA35" s="20"/>
      <c r="AB35" s="20"/>
      <c r="AC35" s="20"/>
      <c r="AD35" s="20"/>
      <c r="AE35" s="20"/>
      <c r="AF35" s="20"/>
      <c r="AG35" s="20"/>
      <c r="AH35" s="20"/>
    </row>
    <row r="36" spans="2:34" x14ac:dyDescent="0.25">
      <c r="B36" s="20"/>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c r="AC36" s="20"/>
      <c r="AD36" s="20"/>
      <c r="AE36" s="20"/>
      <c r="AF36" s="20"/>
      <c r="AG36" s="20"/>
      <c r="AH36" s="20"/>
    </row>
    <row r="37" spans="2:34" x14ac:dyDescent="0.25">
      <c r="B37" s="20"/>
      <c r="C37" s="20"/>
      <c r="D37" s="20"/>
      <c r="E37" s="20"/>
      <c r="F37" s="20"/>
      <c r="G37" s="20"/>
      <c r="H37" s="20"/>
      <c r="I37" s="20"/>
      <c r="J37" s="20"/>
      <c r="K37" s="20"/>
      <c r="L37" s="20"/>
      <c r="M37" s="20"/>
      <c r="N37" s="20"/>
      <c r="O37" s="20"/>
      <c r="P37" s="20"/>
      <c r="Q37" s="20"/>
      <c r="R37" s="20"/>
      <c r="S37" s="20"/>
      <c r="T37" s="20"/>
      <c r="U37" s="20"/>
      <c r="V37" s="20"/>
      <c r="W37" s="20"/>
      <c r="X37" s="20"/>
      <c r="Y37" s="20"/>
      <c r="Z37" s="20"/>
      <c r="AA37" s="20"/>
      <c r="AB37" s="20"/>
      <c r="AC37" s="20"/>
      <c r="AD37" s="20"/>
      <c r="AE37" s="20"/>
      <c r="AF37" s="20"/>
      <c r="AG37" s="20"/>
      <c r="AH37" s="20"/>
    </row>
    <row r="38" spans="2:34" x14ac:dyDescent="0.25">
      <c r="B38" s="20"/>
      <c r="C38" s="20"/>
      <c r="D38" s="20"/>
      <c r="E38" s="20"/>
      <c r="F38" s="20"/>
      <c r="G38" s="20"/>
      <c r="H38" s="20"/>
      <c r="I38" s="20"/>
      <c r="J38" s="20"/>
      <c r="K38" s="20"/>
      <c r="L38" s="20"/>
      <c r="M38" s="20"/>
      <c r="N38" s="20"/>
      <c r="O38" s="20"/>
      <c r="P38" s="20"/>
      <c r="Q38" s="20"/>
      <c r="R38" s="20"/>
      <c r="S38" s="20"/>
      <c r="T38" s="20"/>
      <c r="U38" s="20"/>
      <c r="V38" s="20"/>
      <c r="W38" s="20"/>
      <c r="X38" s="20"/>
      <c r="Y38" s="20"/>
      <c r="Z38" s="20"/>
      <c r="AA38" s="20"/>
      <c r="AB38" s="20"/>
      <c r="AC38" s="20"/>
      <c r="AD38" s="20"/>
      <c r="AE38" s="20"/>
      <c r="AF38" s="20"/>
      <c r="AG38" s="20"/>
      <c r="AH38" s="20"/>
    </row>
    <row r="39" spans="2:34" x14ac:dyDescent="0.25">
      <c r="B39" s="20"/>
      <c r="C39" s="20"/>
      <c r="D39" s="20"/>
      <c r="E39" s="20"/>
      <c r="F39" s="20"/>
      <c r="G39" s="20"/>
      <c r="H39" s="20"/>
      <c r="I39" s="20"/>
      <c r="J39" s="20"/>
      <c r="K39" s="20"/>
      <c r="L39" s="20"/>
      <c r="M39" s="20"/>
      <c r="N39" s="20"/>
      <c r="O39" s="20"/>
      <c r="P39" s="20"/>
      <c r="Q39" s="20"/>
      <c r="R39" s="20"/>
      <c r="S39" s="20"/>
      <c r="T39" s="20"/>
      <c r="U39" s="20"/>
      <c r="V39" s="20"/>
      <c r="W39" s="20"/>
      <c r="X39" s="20"/>
      <c r="Y39" s="20"/>
      <c r="Z39" s="20"/>
      <c r="AA39" s="20"/>
      <c r="AB39" s="20"/>
      <c r="AC39" s="20"/>
      <c r="AD39" s="20"/>
      <c r="AE39" s="20"/>
      <c r="AF39" s="20"/>
      <c r="AG39" s="20"/>
      <c r="AH39" s="20"/>
    </row>
    <row r="40" spans="2:34" x14ac:dyDescent="0.25">
      <c r="B40" s="20"/>
      <c r="C40" s="20"/>
      <c r="D40" s="20"/>
      <c r="E40" s="20"/>
      <c r="F40" s="20"/>
      <c r="G40" s="20"/>
      <c r="H40" s="20"/>
      <c r="I40" s="20"/>
      <c r="J40" s="20"/>
      <c r="K40" s="20"/>
      <c r="L40" s="20"/>
      <c r="M40" s="20"/>
      <c r="N40" s="20"/>
      <c r="O40" s="20"/>
      <c r="P40" s="20"/>
      <c r="Q40" s="20"/>
      <c r="R40" s="20"/>
      <c r="S40" s="20"/>
      <c r="T40" s="20"/>
      <c r="U40" s="20"/>
      <c r="V40" s="20"/>
      <c r="W40" s="20"/>
      <c r="X40" s="20"/>
      <c r="Y40" s="20"/>
      <c r="Z40" s="20"/>
      <c r="AA40" s="20"/>
      <c r="AB40" s="20"/>
      <c r="AC40" s="20"/>
      <c r="AD40" s="20"/>
      <c r="AE40" s="20"/>
      <c r="AF40" s="20"/>
      <c r="AG40" s="20"/>
      <c r="AH40" s="20"/>
    </row>
    <row r="41" spans="2:34" x14ac:dyDescent="0.25">
      <c r="B41" s="20"/>
      <c r="C41" s="20"/>
      <c r="D41" s="20"/>
      <c r="E41" s="20"/>
      <c r="F41" s="20"/>
      <c r="G41" s="20"/>
      <c r="H41" s="20"/>
      <c r="I41" s="20"/>
      <c r="J41" s="20"/>
      <c r="K41" s="20"/>
      <c r="L41" s="20"/>
      <c r="M41" s="20"/>
      <c r="N41" s="20"/>
      <c r="O41" s="20"/>
      <c r="P41" s="20"/>
      <c r="Q41" s="20"/>
      <c r="R41" s="20"/>
      <c r="S41" s="20"/>
      <c r="T41" s="20"/>
      <c r="U41" s="20"/>
      <c r="V41" s="20"/>
      <c r="W41" s="20"/>
      <c r="X41" s="20"/>
      <c r="Y41" s="20"/>
      <c r="Z41" s="20"/>
      <c r="AA41" s="20"/>
      <c r="AB41" s="20"/>
      <c r="AC41" s="20"/>
      <c r="AD41" s="20"/>
      <c r="AE41" s="20"/>
      <c r="AF41" s="20"/>
      <c r="AG41" s="20"/>
      <c r="AH41" s="20"/>
    </row>
    <row r="42" spans="2:34" x14ac:dyDescent="0.25">
      <c r="B42" s="20"/>
      <c r="C42" s="20"/>
      <c r="D42" s="20"/>
      <c r="E42" s="20"/>
      <c r="F42" s="20"/>
      <c r="G42" s="20"/>
      <c r="H42" s="20"/>
      <c r="I42" s="20"/>
      <c r="J42" s="20"/>
      <c r="K42" s="20"/>
      <c r="L42" s="20"/>
      <c r="M42" s="20"/>
      <c r="N42" s="20"/>
      <c r="O42" s="20"/>
      <c r="P42" s="20"/>
      <c r="Q42" s="20"/>
      <c r="R42" s="20"/>
      <c r="S42" s="20"/>
      <c r="T42" s="20"/>
      <c r="U42" s="20"/>
      <c r="V42" s="20"/>
      <c r="W42" s="20"/>
      <c r="X42" s="20"/>
      <c r="Y42" s="20"/>
      <c r="Z42" s="20"/>
      <c r="AA42" s="20"/>
      <c r="AB42" s="20"/>
      <c r="AC42" s="20"/>
      <c r="AD42" s="20"/>
      <c r="AE42" s="20"/>
      <c r="AF42" s="20"/>
      <c r="AG42" s="20"/>
      <c r="AH42" s="20"/>
    </row>
    <row r="43" spans="2:34" x14ac:dyDescent="0.25">
      <c r="B43" s="20"/>
      <c r="C43" s="20"/>
      <c r="D43" s="20"/>
      <c r="E43" s="20"/>
      <c r="F43" s="20"/>
      <c r="G43" s="20"/>
      <c r="H43" s="20"/>
      <c r="I43" s="20"/>
      <c r="J43" s="20"/>
      <c r="K43" s="20"/>
      <c r="L43" s="20"/>
      <c r="M43" s="20"/>
      <c r="N43" s="20"/>
      <c r="O43" s="20"/>
      <c r="P43" s="20"/>
      <c r="Q43" s="20"/>
      <c r="R43" s="20"/>
      <c r="S43" s="20"/>
      <c r="T43" s="20"/>
      <c r="U43" s="20"/>
      <c r="V43" s="20"/>
      <c r="W43" s="20"/>
      <c r="X43" s="20"/>
      <c r="Y43" s="20"/>
      <c r="Z43" s="20"/>
      <c r="AA43" s="20"/>
      <c r="AB43" s="20"/>
      <c r="AC43" s="20"/>
      <c r="AD43" s="20"/>
      <c r="AE43" s="20"/>
      <c r="AF43" s="20"/>
      <c r="AG43" s="20"/>
      <c r="AH43" s="20"/>
    </row>
    <row r="44" spans="2:34" x14ac:dyDescent="0.25">
      <c r="B44" s="20"/>
      <c r="C44" s="20"/>
      <c r="D44" s="20"/>
      <c r="E44" s="20"/>
      <c r="F44" s="20"/>
      <c r="G44" s="20"/>
      <c r="H44" s="20"/>
      <c r="I44" s="20"/>
      <c r="J44" s="20"/>
      <c r="K44" s="20"/>
      <c r="L44" s="20"/>
      <c r="M44" s="20"/>
      <c r="N44" s="20"/>
      <c r="O44" s="20"/>
      <c r="P44" s="20"/>
      <c r="Q44" s="20"/>
      <c r="R44" s="20"/>
      <c r="S44" s="20"/>
      <c r="T44" s="20"/>
      <c r="U44" s="20"/>
      <c r="V44" s="20"/>
      <c r="W44" s="20"/>
      <c r="X44" s="20"/>
      <c r="Y44" s="20"/>
      <c r="Z44" s="20"/>
      <c r="AA44" s="20"/>
      <c r="AB44" s="20"/>
      <c r="AC44" s="20"/>
      <c r="AD44" s="20"/>
      <c r="AE44" s="20"/>
      <c r="AF44" s="20"/>
      <c r="AG44" s="20"/>
      <c r="AH44" s="20"/>
    </row>
    <row r="45" spans="2:34" x14ac:dyDescent="0.25">
      <c r="B45" s="20"/>
      <c r="C45" s="20"/>
      <c r="D45" s="20"/>
      <c r="E45" s="20"/>
      <c r="F45" s="20"/>
      <c r="G45" s="20"/>
      <c r="H45" s="20"/>
      <c r="I45" s="20"/>
      <c r="J45" s="20"/>
      <c r="K45" s="20"/>
      <c r="L45" s="20"/>
      <c r="M45" s="20"/>
      <c r="N45" s="20"/>
      <c r="O45" s="20"/>
      <c r="P45" s="20"/>
      <c r="Q45" s="20"/>
      <c r="R45" s="20"/>
      <c r="S45" s="20"/>
      <c r="T45" s="20"/>
      <c r="U45" s="20"/>
      <c r="V45" s="20"/>
      <c r="W45" s="20"/>
      <c r="X45" s="20"/>
      <c r="Y45" s="20"/>
      <c r="Z45" s="20"/>
      <c r="AA45" s="20"/>
      <c r="AB45" s="20"/>
      <c r="AC45" s="20"/>
      <c r="AD45" s="20"/>
      <c r="AE45" s="20"/>
      <c r="AF45" s="20"/>
      <c r="AG45" s="20"/>
      <c r="AH45" s="20"/>
    </row>
    <row r="46" spans="2:34" x14ac:dyDescent="0.25">
      <c r="B46" s="20"/>
      <c r="C46" s="20"/>
      <c r="D46" s="20"/>
      <c r="E46" s="20"/>
      <c r="F46" s="20"/>
      <c r="G46" s="20"/>
      <c r="H46" s="20"/>
      <c r="I46" s="20"/>
      <c r="J46" s="20"/>
      <c r="K46" s="20"/>
      <c r="L46" s="20"/>
      <c r="M46" s="20"/>
      <c r="N46" s="20"/>
      <c r="O46" s="20"/>
      <c r="P46" s="20"/>
      <c r="Q46" s="20"/>
      <c r="R46" s="20"/>
      <c r="S46" s="20"/>
      <c r="T46" s="20"/>
      <c r="U46" s="20"/>
      <c r="V46" s="20"/>
      <c r="W46" s="20"/>
      <c r="X46" s="20"/>
      <c r="Y46" s="20"/>
      <c r="Z46" s="20"/>
      <c r="AA46" s="20"/>
      <c r="AB46" s="20"/>
      <c r="AC46" s="20"/>
      <c r="AD46" s="20"/>
      <c r="AE46" s="20"/>
      <c r="AF46" s="20"/>
      <c r="AG46" s="20"/>
      <c r="AH46" s="20"/>
    </row>
    <row r="47" spans="2:34" x14ac:dyDescent="0.25">
      <c r="B47" s="20"/>
      <c r="C47" s="20"/>
      <c r="D47" s="20"/>
      <c r="E47" s="20"/>
      <c r="F47" s="20"/>
      <c r="G47" s="20"/>
      <c r="H47" s="20"/>
      <c r="I47" s="20"/>
      <c r="J47" s="20"/>
      <c r="K47" s="20"/>
      <c r="L47" s="20"/>
      <c r="M47" s="20"/>
      <c r="N47" s="20"/>
      <c r="O47" s="20"/>
      <c r="P47" s="20"/>
      <c r="Q47" s="20"/>
      <c r="R47" s="20"/>
      <c r="S47" s="20"/>
      <c r="T47" s="20"/>
      <c r="U47" s="20"/>
      <c r="V47" s="20"/>
      <c r="W47" s="20"/>
      <c r="X47" s="20"/>
      <c r="Y47" s="20"/>
      <c r="Z47" s="20"/>
      <c r="AA47" s="20"/>
      <c r="AB47" s="20"/>
      <c r="AC47" s="20"/>
      <c r="AD47" s="20"/>
      <c r="AE47" s="20"/>
      <c r="AF47" s="20"/>
      <c r="AG47" s="20"/>
      <c r="AH47" s="20"/>
    </row>
    <row r="48" spans="2:34" x14ac:dyDescent="0.25">
      <c r="B48" s="20"/>
      <c r="C48" s="20"/>
      <c r="D48" s="20"/>
      <c r="E48" s="20"/>
      <c r="F48" s="20"/>
      <c r="G48" s="20"/>
      <c r="H48" s="20"/>
      <c r="I48" s="20"/>
      <c r="J48" s="20"/>
      <c r="K48" s="20"/>
      <c r="L48" s="20"/>
      <c r="M48" s="20"/>
      <c r="N48" s="20"/>
      <c r="O48" s="20"/>
      <c r="P48" s="20"/>
      <c r="Q48" s="20"/>
      <c r="R48" s="20"/>
      <c r="S48" s="20"/>
      <c r="T48" s="20"/>
      <c r="U48" s="20"/>
      <c r="V48" s="20"/>
      <c r="W48" s="20"/>
      <c r="X48" s="20"/>
      <c r="Y48" s="20"/>
      <c r="Z48" s="20"/>
      <c r="AA48" s="20"/>
      <c r="AB48" s="20"/>
      <c r="AC48" s="20"/>
      <c r="AD48" s="20"/>
      <c r="AE48" s="20"/>
      <c r="AF48" s="20"/>
      <c r="AG48" s="20"/>
      <c r="AH48" s="20"/>
    </row>
    <row r="49" spans="2:34" x14ac:dyDescent="0.25">
      <c r="B49" s="20"/>
      <c r="C49" s="20"/>
      <c r="D49" s="20"/>
      <c r="E49" s="20"/>
      <c r="F49" s="20"/>
      <c r="G49" s="20"/>
      <c r="H49" s="20"/>
      <c r="I49" s="20"/>
      <c r="J49" s="20"/>
      <c r="K49" s="20"/>
      <c r="L49" s="20"/>
      <c r="M49" s="20"/>
      <c r="N49" s="20"/>
      <c r="O49" s="20"/>
      <c r="P49" s="20"/>
      <c r="Q49" s="20"/>
      <c r="R49" s="20"/>
      <c r="S49" s="20"/>
      <c r="T49" s="20"/>
      <c r="U49" s="20"/>
      <c r="V49" s="20"/>
      <c r="W49" s="20"/>
      <c r="X49" s="20"/>
      <c r="Y49" s="20"/>
      <c r="Z49" s="20"/>
      <c r="AA49" s="20"/>
      <c r="AB49" s="20"/>
      <c r="AC49" s="20"/>
      <c r="AD49" s="20"/>
      <c r="AE49" s="20"/>
      <c r="AF49" s="20"/>
      <c r="AG49" s="20"/>
      <c r="AH49" s="20"/>
    </row>
    <row r="50" spans="2:34" x14ac:dyDescent="0.25">
      <c r="B50" s="20"/>
      <c r="C50" s="20"/>
      <c r="D50" s="20"/>
      <c r="E50" s="20"/>
      <c r="F50" s="20"/>
      <c r="G50" s="20"/>
      <c r="H50" s="20"/>
      <c r="I50" s="20"/>
      <c r="J50" s="20"/>
      <c r="K50" s="20"/>
      <c r="L50" s="20"/>
      <c r="M50" s="20"/>
      <c r="N50" s="20"/>
      <c r="O50" s="20"/>
      <c r="P50" s="20"/>
      <c r="Q50" s="20"/>
      <c r="R50" s="20"/>
      <c r="S50" s="20"/>
      <c r="T50" s="20"/>
      <c r="U50" s="20"/>
      <c r="V50" s="20"/>
      <c r="W50" s="20"/>
      <c r="X50" s="20"/>
      <c r="Y50" s="20"/>
      <c r="Z50" s="20"/>
      <c r="AA50" s="20"/>
      <c r="AB50" s="20"/>
      <c r="AC50" s="20"/>
      <c r="AD50" s="20"/>
      <c r="AE50" s="20"/>
      <c r="AF50" s="20"/>
      <c r="AG50" s="20"/>
      <c r="AH50" s="20"/>
    </row>
    <row r="51" spans="2:34" x14ac:dyDescent="0.25">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c r="AE51" s="20"/>
      <c r="AF51" s="20"/>
      <c r="AG51" s="20"/>
      <c r="AH51" s="20"/>
    </row>
    <row r="52" spans="2:34" x14ac:dyDescent="0.25">
      <c r="B52" s="20"/>
      <c r="C52" s="20"/>
      <c r="D52" s="20"/>
      <c r="E52" s="20"/>
      <c r="F52" s="20"/>
      <c r="G52" s="20"/>
      <c r="H52" s="20"/>
      <c r="I52" s="20"/>
      <c r="J52" s="20"/>
      <c r="K52" s="20"/>
      <c r="L52" s="20"/>
      <c r="M52" s="20"/>
      <c r="N52" s="20"/>
      <c r="O52" s="20"/>
      <c r="P52" s="20"/>
      <c r="Q52" s="20"/>
      <c r="R52" s="20"/>
      <c r="S52" s="20"/>
      <c r="T52" s="20"/>
      <c r="U52" s="20"/>
      <c r="V52" s="20"/>
      <c r="W52" s="20"/>
      <c r="X52" s="20"/>
      <c r="Y52" s="20"/>
      <c r="Z52" s="20"/>
      <c r="AA52" s="20"/>
      <c r="AB52" s="20"/>
      <c r="AC52" s="20"/>
      <c r="AD52" s="20"/>
      <c r="AE52" s="20"/>
      <c r="AF52" s="20"/>
      <c r="AG52" s="20"/>
      <c r="AH52" s="20"/>
    </row>
    <row r="53" spans="2:34" x14ac:dyDescent="0.25">
      <c r="B53" s="20"/>
      <c r="C53" s="20"/>
      <c r="D53" s="20"/>
      <c r="E53" s="20"/>
      <c r="F53" s="20"/>
      <c r="G53" s="20"/>
      <c r="H53" s="20"/>
      <c r="I53" s="20"/>
      <c r="J53" s="20"/>
      <c r="K53" s="20"/>
      <c r="L53" s="20"/>
      <c r="M53" s="20"/>
      <c r="N53" s="20"/>
      <c r="O53" s="20"/>
      <c r="P53" s="20"/>
      <c r="Q53" s="20"/>
      <c r="R53" s="20"/>
      <c r="S53" s="20"/>
      <c r="T53" s="20"/>
      <c r="U53" s="20"/>
      <c r="V53" s="20"/>
      <c r="W53" s="20"/>
      <c r="X53" s="20"/>
      <c r="Y53" s="20"/>
      <c r="Z53" s="20"/>
      <c r="AA53" s="20"/>
      <c r="AB53" s="20"/>
      <c r="AC53" s="20"/>
      <c r="AD53" s="20"/>
      <c r="AE53" s="20"/>
      <c r="AF53" s="20"/>
      <c r="AG53" s="20"/>
      <c r="AH53" s="20"/>
    </row>
    <row r="54" spans="2:34" x14ac:dyDescent="0.25">
      <c r="B54" s="20"/>
      <c r="C54" s="20"/>
      <c r="D54" s="20"/>
      <c r="E54" s="20"/>
      <c r="F54" s="20"/>
      <c r="G54" s="20"/>
      <c r="H54" s="20"/>
      <c r="I54" s="20"/>
      <c r="J54" s="20"/>
      <c r="K54" s="20"/>
      <c r="L54" s="20"/>
      <c r="M54" s="20"/>
      <c r="N54" s="20"/>
      <c r="O54" s="20"/>
      <c r="P54" s="20"/>
      <c r="Q54" s="20"/>
      <c r="R54" s="20"/>
      <c r="S54" s="20"/>
      <c r="T54" s="20"/>
      <c r="U54" s="20"/>
      <c r="V54" s="20"/>
      <c r="W54" s="20"/>
      <c r="X54" s="20"/>
      <c r="Y54" s="20"/>
      <c r="Z54" s="20"/>
      <c r="AA54" s="20"/>
      <c r="AB54" s="20"/>
      <c r="AC54" s="20"/>
      <c r="AD54" s="20"/>
      <c r="AE54" s="20"/>
      <c r="AF54" s="20"/>
      <c r="AG54" s="20"/>
      <c r="AH54" s="20"/>
    </row>
    <row r="55" spans="2:34" x14ac:dyDescent="0.25">
      <c r="B55" s="87" t="s">
        <v>384</v>
      </c>
      <c r="C55" s="88">
        <f>SUM(C5:C54)</f>
        <v>0</v>
      </c>
      <c r="D55" s="88">
        <f t="shared" ref="D55:AH55" si="0">SUM(D5:D54)</f>
        <v>0</v>
      </c>
      <c r="E55" s="88">
        <f t="shared" si="0"/>
        <v>0</v>
      </c>
      <c r="F55" s="88">
        <f t="shared" si="0"/>
        <v>0</v>
      </c>
      <c r="G55" s="88">
        <f t="shared" si="0"/>
        <v>0</v>
      </c>
      <c r="H55" s="88">
        <f t="shared" si="0"/>
        <v>0</v>
      </c>
      <c r="I55" s="88">
        <f t="shared" si="0"/>
        <v>0</v>
      </c>
      <c r="J55" s="88">
        <f t="shared" si="0"/>
        <v>0</v>
      </c>
      <c r="K55" s="88">
        <f t="shared" si="0"/>
        <v>0</v>
      </c>
      <c r="L55" s="88">
        <f t="shared" si="0"/>
        <v>0</v>
      </c>
      <c r="M55" s="88">
        <f t="shared" si="0"/>
        <v>0</v>
      </c>
      <c r="N55" s="88">
        <f t="shared" si="0"/>
        <v>0</v>
      </c>
      <c r="O55" s="88">
        <f t="shared" si="0"/>
        <v>0</v>
      </c>
      <c r="P55" s="88">
        <f t="shared" si="0"/>
        <v>0</v>
      </c>
      <c r="Q55" s="88">
        <f t="shared" si="0"/>
        <v>0</v>
      </c>
      <c r="R55" s="88">
        <f t="shared" si="0"/>
        <v>0</v>
      </c>
      <c r="S55" s="88">
        <f t="shared" si="0"/>
        <v>0</v>
      </c>
      <c r="T55" s="88">
        <f t="shared" si="0"/>
        <v>0</v>
      </c>
      <c r="U55" s="88">
        <f t="shared" si="0"/>
        <v>0</v>
      </c>
      <c r="V55" s="88">
        <f t="shared" si="0"/>
        <v>0</v>
      </c>
      <c r="W55" s="88">
        <f t="shared" si="0"/>
        <v>0</v>
      </c>
      <c r="X55" s="88">
        <f t="shared" si="0"/>
        <v>0</v>
      </c>
      <c r="Y55" s="88">
        <f t="shared" si="0"/>
        <v>0</v>
      </c>
      <c r="Z55" s="88">
        <f t="shared" si="0"/>
        <v>0</v>
      </c>
      <c r="AA55" s="88">
        <f t="shared" si="0"/>
        <v>0</v>
      </c>
      <c r="AB55" s="88">
        <f t="shared" si="0"/>
        <v>0</v>
      </c>
      <c r="AC55" s="88">
        <f t="shared" si="0"/>
        <v>0</v>
      </c>
      <c r="AD55" s="88">
        <f t="shared" si="0"/>
        <v>0</v>
      </c>
      <c r="AE55" s="88">
        <f t="shared" si="0"/>
        <v>0</v>
      </c>
      <c r="AF55" s="88">
        <f t="shared" si="0"/>
        <v>0</v>
      </c>
      <c r="AG55" s="88">
        <f t="shared" si="0"/>
        <v>0</v>
      </c>
      <c r="AH55" s="88">
        <f t="shared" si="0"/>
        <v>0</v>
      </c>
    </row>
    <row r="56" spans="2:34" x14ac:dyDescent="0.25"/>
    <row r="57" spans="2:34" x14ac:dyDescent="0.25">
      <c r="B57" s="9" t="s">
        <v>306</v>
      </c>
    </row>
    <row r="58" spans="2:34" x14ac:dyDescent="0.25">
      <c r="B58" s="68" t="s">
        <v>0</v>
      </c>
      <c r="C58" s="68" t="s">
        <v>277</v>
      </c>
      <c r="D58" s="68" t="s">
        <v>278</v>
      </c>
      <c r="E58" s="68" t="s">
        <v>279</v>
      </c>
      <c r="F58" s="68" t="s">
        <v>280</v>
      </c>
      <c r="G58" s="68" t="s">
        <v>226</v>
      </c>
      <c r="H58" s="68" t="s">
        <v>228</v>
      </c>
      <c r="I58" s="68" t="s">
        <v>229</v>
      </c>
      <c r="J58" s="68" t="s">
        <v>281</v>
      </c>
      <c r="K58" s="68" t="s">
        <v>282</v>
      </c>
      <c r="L58" s="68" t="s">
        <v>283</v>
      </c>
      <c r="M58" s="68" t="s">
        <v>284</v>
      </c>
      <c r="N58" s="68" t="s">
        <v>285</v>
      </c>
      <c r="O58" s="68" t="s">
        <v>286</v>
      </c>
      <c r="P58" s="68" t="s">
        <v>287</v>
      </c>
      <c r="Q58" s="68" t="s">
        <v>288</v>
      </c>
      <c r="R58" s="68" t="s">
        <v>289</v>
      </c>
      <c r="S58" s="68" t="s">
        <v>293</v>
      </c>
      <c r="T58" s="68" t="s">
        <v>307</v>
      </c>
      <c r="U58" s="68" t="s">
        <v>290</v>
      </c>
      <c r="V58" s="68" t="s">
        <v>292</v>
      </c>
      <c r="W58" s="68" t="s">
        <v>294</v>
      </c>
      <c r="X58" s="68" t="s">
        <v>295</v>
      </c>
      <c r="Y58" s="68" t="s">
        <v>296</v>
      </c>
      <c r="Z58" s="68" t="s">
        <v>297</v>
      </c>
      <c r="AA58" s="68" t="s">
        <v>298</v>
      </c>
      <c r="AB58" s="68" t="s">
        <v>299</v>
      </c>
      <c r="AC58" s="68" t="s">
        <v>300</v>
      </c>
      <c r="AD58" s="68" t="s">
        <v>301</v>
      </c>
      <c r="AE58" s="68" t="s">
        <v>383</v>
      </c>
      <c r="AF58" s="68" t="s">
        <v>302</v>
      </c>
      <c r="AG58" s="68" t="s">
        <v>303</v>
      </c>
      <c r="AH58" s="68" t="s">
        <v>304</v>
      </c>
    </row>
    <row r="59" spans="2:34" x14ac:dyDescent="0.25">
      <c r="B59" s="20"/>
      <c r="C59" s="20"/>
      <c r="D59" s="20"/>
      <c r="E59" s="20"/>
      <c r="F59" s="20"/>
      <c r="G59" s="20"/>
      <c r="H59" s="20"/>
      <c r="I59" s="20"/>
      <c r="J59" s="20"/>
      <c r="K59" s="20"/>
      <c r="L59" s="20"/>
      <c r="M59" s="20"/>
      <c r="N59" s="20"/>
      <c r="O59" s="20"/>
      <c r="P59" s="20"/>
      <c r="Q59" s="20"/>
      <c r="R59" s="20"/>
      <c r="S59" s="20"/>
      <c r="T59" s="20"/>
      <c r="U59" s="20"/>
      <c r="V59" s="20"/>
      <c r="W59" s="20"/>
      <c r="X59" s="20"/>
      <c r="Y59" s="20"/>
      <c r="Z59" s="20"/>
      <c r="AA59" s="20"/>
      <c r="AB59" s="20"/>
      <c r="AC59" s="20"/>
      <c r="AD59" s="20"/>
      <c r="AE59" s="20"/>
      <c r="AF59" s="20"/>
      <c r="AG59" s="20"/>
      <c r="AH59" s="20"/>
    </row>
    <row r="60" spans="2:34" x14ac:dyDescent="0.25">
      <c r="B60" s="20"/>
      <c r="C60" s="20"/>
      <c r="D60" s="20"/>
      <c r="E60" s="20"/>
      <c r="F60" s="20"/>
      <c r="G60" s="20"/>
      <c r="H60" s="20"/>
      <c r="I60" s="20"/>
      <c r="J60" s="20"/>
      <c r="K60" s="20"/>
      <c r="L60" s="20"/>
      <c r="M60" s="20"/>
      <c r="N60" s="20"/>
      <c r="O60" s="20"/>
      <c r="P60" s="20"/>
      <c r="Q60" s="20"/>
      <c r="R60" s="20"/>
      <c r="S60" s="20"/>
      <c r="T60" s="20"/>
      <c r="U60" s="20"/>
      <c r="V60" s="20"/>
      <c r="W60" s="20"/>
      <c r="X60" s="20"/>
      <c r="Y60" s="20"/>
      <c r="Z60" s="20"/>
      <c r="AA60" s="20"/>
      <c r="AB60" s="20"/>
      <c r="AC60" s="20"/>
      <c r="AD60" s="20"/>
      <c r="AE60" s="20"/>
      <c r="AF60" s="20"/>
      <c r="AG60" s="20"/>
      <c r="AH60" s="20"/>
    </row>
    <row r="61" spans="2:34" x14ac:dyDescent="0.25">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c r="AC61" s="20"/>
      <c r="AD61" s="20"/>
      <c r="AE61" s="20"/>
      <c r="AF61" s="20"/>
      <c r="AG61" s="20"/>
      <c r="AH61" s="20"/>
    </row>
    <row r="62" spans="2:34" x14ac:dyDescent="0.25">
      <c r="B62" s="20"/>
      <c r="C62" s="20"/>
      <c r="D62" s="20"/>
      <c r="E62" s="20"/>
      <c r="F62" s="20"/>
      <c r="G62" s="20"/>
      <c r="H62" s="20"/>
      <c r="I62" s="20"/>
      <c r="J62" s="20"/>
      <c r="K62" s="20"/>
      <c r="L62" s="20"/>
      <c r="M62" s="20"/>
      <c r="N62" s="20"/>
      <c r="O62" s="20"/>
      <c r="P62" s="20"/>
      <c r="Q62" s="20"/>
      <c r="R62" s="20"/>
      <c r="S62" s="20"/>
      <c r="T62" s="20"/>
      <c r="U62" s="20"/>
      <c r="V62" s="20"/>
      <c r="W62" s="20"/>
      <c r="X62" s="20"/>
      <c r="Y62" s="20"/>
      <c r="Z62" s="20"/>
      <c r="AA62" s="20"/>
      <c r="AB62" s="20"/>
      <c r="AC62" s="20"/>
      <c r="AD62" s="20"/>
      <c r="AE62" s="20"/>
      <c r="AF62" s="20"/>
      <c r="AG62" s="20"/>
      <c r="AH62" s="20"/>
    </row>
    <row r="63" spans="2:34" x14ac:dyDescent="0.25">
      <c r="B63" s="20"/>
      <c r="C63" s="20"/>
      <c r="D63" s="20"/>
      <c r="E63" s="20"/>
      <c r="F63" s="20"/>
      <c r="G63" s="20"/>
      <c r="H63" s="20"/>
      <c r="I63" s="20"/>
      <c r="J63" s="20"/>
      <c r="K63" s="20"/>
      <c r="L63" s="20"/>
      <c r="M63" s="20"/>
      <c r="N63" s="20"/>
      <c r="O63" s="20"/>
      <c r="P63" s="20"/>
      <c r="Q63" s="20"/>
      <c r="R63" s="20"/>
      <c r="S63" s="20"/>
      <c r="T63" s="20"/>
      <c r="U63" s="20"/>
      <c r="V63" s="20"/>
      <c r="W63" s="20"/>
      <c r="X63" s="20"/>
      <c r="Y63" s="20"/>
      <c r="Z63" s="20"/>
      <c r="AA63" s="20"/>
      <c r="AB63" s="20"/>
      <c r="AC63" s="20"/>
      <c r="AD63" s="20"/>
      <c r="AE63" s="20"/>
      <c r="AF63" s="20"/>
      <c r="AG63" s="20"/>
      <c r="AH63" s="20"/>
    </row>
    <row r="64" spans="2:34" x14ac:dyDescent="0.25">
      <c r="B64" s="20"/>
      <c r="C64" s="20"/>
      <c r="D64" s="20"/>
      <c r="E64" s="20"/>
      <c r="F64" s="20"/>
      <c r="G64" s="20"/>
      <c r="H64" s="20"/>
      <c r="I64" s="20"/>
      <c r="J64" s="20"/>
      <c r="K64" s="20"/>
      <c r="L64" s="20"/>
      <c r="M64" s="20"/>
      <c r="N64" s="20"/>
      <c r="O64" s="20"/>
      <c r="P64" s="20"/>
      <c r="Q64" s="20"/>
      <c r="R64" s="20"/>
      <c r="S64" s="20"/>
      <c r="T64" s="20"/>
      <c r="U64" s="20"/>
      <c r="V64" s="20"/>
      <c r="W64" s="20"/>
      <c r="X64" s="20"/>
      <c r="Y64" s="20"/>
      <c r="Z64" s="20"/>
      <c r="AA64" s="20"/>
      <c r="AB64" s="20"/>
      <c r="AC64" s="20"/>
      <c r="AD64" s="20"/>
      <c r="AE64" s="20"/>
      <c r="AF64" s="20"/>
      <c r="AG64" s="20"/>
      <c r="AH64" s="20"/>
    </row>
    <row r="65" spans="2:34" x14ac:dyDescent="0.25">
      <c r="B65" s="20"/>
      <c r="C65" s="20"/>
      <c r="D65" s="20"/>
      <c r="E65" s="20"/>
      <c r="F65" s="20"/>
      <c r="G65" s="20"/>
      <c r="H65" s="20"/>
      <c r="I65" s="20"/>
      <c r="J65" s="20"/>
      <c r="K65" s="20"/>
      <c r="L65" s="20"/>
      <c r="M65" s="20"/>
      <c r="N65" s="20"/>
      <c r="O65" s="20"/>
      <c r="P65" s="20"/>
      <c r="Q65" s="20"/>
      <c r="R65" s="20"/>
      <c r="S65" s="20"/>
      <c r="T65" s="20"/>
      <c r="U65" s="20"/>
      <c r="V65" s="20"/>
      <c r="W65" s="20"/>
      <c r="X65" s="20"/>
      <c r="Y65" s="20"/>
      <c r="Z65" s="20"/>
      <c r="AA65" s="20"/>
      <c r="AB65" s="20"/>
      <c r="AC65" s="20"/>
      <c r="AD65" s="20"/>
      <c r="AE65" s="20"/>
      <c r="AF65" s="20"/>
      <c r="AG65" s="20"/>
      <c r="AH65" s="20"/>
    </row>
    <row r="66" spans="2:34" x14ac:dyDescent="0.25">
      <c r="B66" s="20"/>
      <c r="C66" s="20"/>
      <c r="D66" s="20"/>
      <c r="E66" s="20"/>
      <c r="F66" s="20"/>
      <c r="G66" s="20"/>
      <c r="H66" s="20"/>
      <c r="I66" s="20"/>
      <c r="J66" s="20"/>
      <c r="K66" s="20"/>
      <c r="L66" s="20"/>
      <c r="M66" s="20"/>
      <c r="N66" s="20"/>
      <c r="O66" s="20"/>
      <c r="P66" s="20"/>
      <c r="Q66" s="20"/>
      <c r="R66" s="20"/>
      <c r="S66" s="20"/>
      <c r="T66" s="20"/>
      <c r="U66" s="20"/>
      <c r="V66" s="20"/>
      <c r="W66" s="20"/>
      <c r="X66" s="20"/>
      <c r="Y66" s="20"/>
      <c r="Z66" s="20"/>
      <c r="AA66" s="20"/>
      <c r="AB66" s="20"/>
      <c r="AC66" s="20"/>
      <c r="AD66" s="20"/>
      <c r="AE66" s="20"/>
      <c r="AF66" s="20"/>
      <c r="AG66" s="20"/>
      <c r="AH66" s="20"/>
    </row>
    <row r="67" spans="2:34" x14ac:dyDescent="0.25">
      <c r="B67" s="20"/>
      <c r="C67" s="20"/>
      <c r="D67" s="20"/>
      <c r="E67" s="20"/>
      <c r="F67" s="20"/>
      <c r="G67" s="20"/>
      <c r="H67" s="20"/>
      <c r="I67" s="20"/>
      <c r="J67" s="20"/>
      <c r="K67" s="20"/>
      <c r="L67" s="20"/>
      <c r="M67" s="20"/>
      <c r="N67" s="20"/>
      <c r="O67" s="20"/>
      <c r="P67" s="20"/>
      <c r="Q67" s="20"/>
      <c r="R67" s="20"/>
      <c r="S67" s="20"/>
      <c r="T67" s="20"/>
      <c r="U67" s="20"/>
      <c r="V67" s="20"/>
      <c r="W67" s="20"/>
      <c r="X67" s="20"/>
      <c r="Y67" s="20"/>
      <c r="Z67" s="20"/>
      <c r="AA67" s="20"/>
      <c r="AB67" s="20"/>
      <c r="AC67" s="20"/>
      <c r="AD67" s="20"/>
      <c r="AE67" s="20"/>
      <c r="AF67" s="20"/>
      <c r="AG67" s="20"/>
      <c r="AH67" s="20"/>
    </row>
    <row r="68" spans="2:34" x14ac:dyDescent="0.25">
      <c r="B68" s="20"/>
      <c r="C68" s="20"/>
      <c r="D68" s="20"/>
      <c r="E68" s="20"/>
      <c r="F68" s="20"/>
      <c r="G68" s="20"/>
      <c r="H68" s="20"/>
      <c r="I68" s="20"/>
      <c r="J68" s="20"/>
      <c r="K68" s="20"/>
      <c r="L68" s="20"/>
      <c r="M68" s="20"/>
      <c r="N68" s="20"/>
      <c r="O68" s="20"/>
      <c r="P68" s="20"/>
      <c r="Q68" s="20"/>
      <c r="R68" s="20"/>
      <c r="S68" s="20"/>
      <c r="T68" s="20"/>
      <c r="U68" s="20"/>
      <c r="V68" s="20"/>
      <c r="W68" s="20"/>
      <c r="X68" s="20"/>
      <c r="Y68" s="20"/>
      <c r="Z68" s="20"/>
      <c r="AA68" s="20"/>
      <c r="AB68" s="20"/>
      <c r="AC68" s="20"/>
      <c r="AD68" s="20"/>
      <c r="AE68" s="20"/>
      <c r="AF68" s="20"/>
      <c r="AG68" s="20"/>
      <c r="AH68" s="20"/>
    </row>
    <row r="69" spans="2:34" x14ac:dyDescent="0.25">
      <c r="B69" s="20"/>
      <c r="C69" s="20"/>
      <c r="D69" s="20"/>
      <c r="E69" s="20"/>
      <c r="F69" s="20"/>
      <c r="G69" s="20"/>
      <c r="H69" s="20"/>
      <c r="I69" s="20"/>
      <c r="J69" s="20"/>
      <c r="K69" s="20"/>
      <c r="L69" s="20"/>
      <c r="M69" s="20"/>
      <c r="N69" s="20"/>
      <c r="O69" s="20"/>
      <c r="P69" s="20"/>
      <c r="Q69" s="20"/>
      <c r="R69" s="20"/>
      <c r="S69" s="20"/>
      <c r="T69" s="20"/>
      <c r="U69" s="20"/>
      <c r="V69" s="20"/>
      <c r="W69" s="20"/>
      <c r="X69" s="20"/>
      <c r="Y69" s="20"/>
      <c r="Z69" s="20"/>
      <c r="AA69" s="20"/>
      <c r="AB69" s="20"/>
      <c r="AC69" s="20"/>
      <c r="AD69" s="20"/>
      <c r="AE69" s="20"/>
      <c r="AF69" s="20"/>
      <c r="AG69" s="20"/>
      <c r="AH69" s="20"/>
    </row>
    <row r="70" spans="2:34" x14ac:dyDescent="0.25">
      <c r="B70" s="20"/>
      <c r="C70" s="20"/>
      <c r="D70" s="20"/>
      <c r="E70" s="20"/>
      <c r="F70" s="20"/>
      <c r="G70" s="20"/>
      <c r="H70" s="20"/>
      <c r="I70" s="20"/>
      <c r="J70" s="20"/>
      <c r="K70" s="20"/>
      <c r="L70" s="20"/>
      <c r="M70" s="20"/>
      <c r="N70" s="20"/>
      <c r="O70" s="20"/>
      <c r="P70" s="20"/>
      <c r="Q70" s="20"/>
      <c r="R70" s="20"/>
      <c r="S70" s="20"/>
      <c r="T70" s="20"/>
      <c r="U70" s="20"/>
      <c r="V70" s="20"/>
      <c r="W70" s="20"/>
      <c r="X70" s="20"/>
      <c r="Y70" s="20"/>
      <c r="Z70" s="20"/>
      <c r="AA70" s="20"/>
      <c r="AB70" s="20"/>
      <c r="AC70" s="20"/>
      <c r="AD70" s="20"/>
      <c r="AE70" s="20"/>
      <c r="AF70" s="20"/>
      <c r="AG70" s="20"/>
      <c r="AH70" s="20"/>
    </row>
    <row r="71" spans="2:34" x14ac:dyDescent="0.25">
      <c r="B71" s="20"/>
      <c r="C71" s="20"/>
      <c r="D71" s="20"/>
      <c r="E71" s="20"/>
      <c r="F71" s="20"/>
      <c r="G71" s="20"/>
      <c r="H71" s="20"/>
      <c r="I71" s="20"/>
      <c r="J71" s="20"/>
      <c r="K71" s="20"/>
      <c r="L71" s="20"/>
      <c r="M71" s="20"/>
      <c r="N71" s="20"/>
      <c r="O71" s="20"/>
      <c r="P71" s="20"/>
      <c r="Q71" s="20"/>
      <c r="R71" s="20"/>
      <c r="S71" s="20"/>
      <c r="T71" s="20"/>
      <c r="U71" s="20"/>
      <c r="V71" s="20"/>
      <c r="W71" s="20"/>
      <c r="X71" s="20"/>
      <c r="Y71" s="20"/>
      <c r="Z71" s="20"/>
      <c r="AA71" s="20"/>
      <c r="AB71" s="20"/>
      <c r="AC71" s="20"/>
      <c r="AD71" s="20"/>
      <c r="AE71" s="20"/>
      <c r="AF71" s="20"/>
      <c r="AG71" s="20"/>
      <c r="AH71" s="20"/>
    </row>
    <row r="72" spans="2:34" x14ac:dyDescent="0.25">
      <c r="B72" s="20"/>
      <c r="C72" s="20"/>
      <c r="D72" s="20"/>
      <c r="E72" s="20"/>
      <c r="F72" s="20"/>
      <c r="G72" s="20"/>
      <c r="H72" s="20"/>
      <c r="I72" s="20"/>
      <c r="J72" s="20"/>
      <c r="K72" s="20"/>
      <c r="L72" s="20"/>
      <c r="M72" s="20"/>
      <c r="N72" s="20"/>
      <c r="O72" s="20"/>
      <c r="P72" s="20"/>
      <c r="Q72" s="20"/>
      <c r="R72" s="20"/>
      <c r="S72" s="20"/>
      <c r="T72" s="20"/>
      <c r="U72" s="20"/>
      <c r="V72" s="20"/>
      <c r="W72" s="20"/>
      <c r="X72" s="20"/>
      <c r="Y72" s="20"/>
      <c r="Z72" s="20"/>
      <c r="AA72" s="20"/>
      <c r="AB72" s="20"/>
      <c r="AC72" s="20"/>
      <c r="AD72" s="20"/>
      <c r="AE72" s="20"/>
      <c r="AF72" s="20"/>
      <c r="AG72" s="20"/>
      <c r="AH72" s="20"/>
    </row>
    <row r="73" spans="2:34" x14ac:dyDescent="0.25">
      <c r="B73" s="20"/>
      <c r="C73" s="20"/>
      <c r="D73" s="20"/>
      <c r="E73" s="20"/>
      <c r="F73" s="20"/>
      <c r="G73" s="20"/>
      <c r="H73" s="20"/>
      <c r="I73" s="20"/>
      <c r="J73" s="20"/>
      <c r="K73" s="20"/>
      <c r="L73" s="20"/>
      <c r="M73" s="20"/>
      <c r="N73" s="20"/>
      <c r="O73" s="20"/>
      <c r="P73" s="20"/>
      <c r="Q73" s="20"/>
      <c r="R73" s="20"/>
      <c r="S73" s="20"/>
      <c r="T73" s="20"/>
      <c r="U73" s="20"/>
      <c r="V73" s="20"/>
      <c r="W73" s="20"/>
      <c r="X73" s="20"/>
      <c r="Y73" s="20"/>
      <c r="Z73" s="20"/>
      <c r="AA73" s="20"/>
      <c r="AB73" s="20"/>
      <c r="AC73" s="20"/>
      <c r="AD73" s="20"/>
      <c r="AE73" s="20"/>
      <c r="AF73" s="20"/>
      <c r="AG73" s="20"/>
      <c r="AH73" s="20"/>
    </row>
    <row r="74" spans="2:34" x14ac:dyDescent="0.25">
      <c r="B74" s="20"/>
      <c r="C74" s="20"/>
      <c r="D74" s="20"/>
      <c r="E74" s="20"/>
      <c r="F74" s="20"/>
      <c r="G74" s="20"/>
      <c r="H74" s="20"/>
      <c r="I74" s="20"/>
      <c r="J74" s="20"/>
      <c r="K74" s="20"/>
      <c r="L74" s="20"/>
      <c r="M74" s="20"/>
      <c r="N74" s="20"/>
      <c r="O74" s="20"/>
      <c r="P74" s="20"/>
      <c r="Q74" s="20"/>
      <c r="R74" s="20"/>
      <c r="S74" s="20"/>
      <c r="T74" s="20"/>
      <c r="U74" s="20"/>
      <c r="V74" s="20"/>
      <c r="W74" s="20"/>
      <c r="X74" s="20"/>
      <c r="Y74" s="20"/>
      <c r="Z74" s="20"/>
      <c r="AA74" s="20"/>
      <c r="AB74" s="20"/>
      <c r="AC74" s="20"/>
      <c r="AD74" s="20"/>
      <c r="AE74" s="20"/>
      <c r="AF74" s="20"/>
      <c r="AG74" s="20"/>
      <c r="AH74" s="20"/>
    </row>
    <row r="75" spans="2:34" x14ac:dyDescent="0.25">
      <c r="B75" s="20"/>
      <c r="C75" s="20"/>
      <c r="D75" s="20"/>
      <c r="E75" s="20"/>
      <c r="F75" s="20"/>
      <c r="G75" s="20"/>
      <c r="H75" s="20"/>
      <c r="I75" s="20"/>
      <c r="J75" s="20"/>
      <c r="K75" s="20"/>
      <c r="L75" s="20"/>
      <c r="M75" s="20"/>
      <c r="N75" s="20"/>
      <c r="O75" s="20"/>
      <c r="P75" s="20"/>
      <c r="Q75" s="20"/>
      <c r="R75" s="20"/>
      <c r="S75" s="20"/>
      <c r="T75" s="20"/>
      <c r="U75" s="20"/>
      <c r="V75" s="20"/>
      <c r="W75" s="20"/>
      <c r="X75" s="20"/>
      <c r="Y75" s="20"/>
      <c r="Z75" s="20"/>
      <c r="AA75" s="20"/>
      <c r="AB75" s="20"/>
      <c r="AC75" s="20"/>
      <c r="AD75" s="20"/>
      <c r="AE75" s="20"/>
      <c r="AF75" s="20"/>
      <c r="AG75" s="20"/>
      <c r="AH75" s="20"/>
    </row>
    <row r="76" spans="2:34" x14ac:dyDescent="0.25">
      <c r="B76" s="20"/>
      <c r="C76" s="20"/>
      <c r="D76" s="20"/>
      <c r="E76" s="20"/>
      <c r="F76" s="20"/>
      <c r="G76" s="20"/>
      <c r="H76" s="20"/>
      <c r="I76" s="20"/>
      <c r="J76" s="20"/>
      <c r="K76" s="20"/>
      <c r="L76" s="20"/>
      <c r="M76" s="20"/>
      <c r="N76" s="20"/>
      <c r="O76" s="20"/>
      <c r="P76" s="20"/>
      <c r="Q76" s="20"/>
      <c r="R76" s="20"/>
      <c r="S76" s="20"/>
      <c r="T76" s="20"/>
      <c r="U76" s="20"/>
      <c r="V76" s="20"/>
      <c r="W76" s="20"/>
      <c r="X76" s="20"/>
      <c r="Y76" s="20"/>
      <c r="Z76" s="20"/>
      <c r="AA76" s="20"/>
      <c r="AB76" s="20"/>
      <c r="AC76" s="20"/>
      <c r="AD76" s="20"/>
      <c r="AE76" s="20"/>
      <c r="AF76" s="20"/>
      <c r="AG76" s="20"/>
      <c r="AH76" s="20"/>
    </row>
    <row r="77" spans="2:34" x14ac:dyDescent="0.25">
      <c r="B77" s="20"/>
      <c r="C77" s="20"/>
      <c r="D77" s="20"/>
      <c r="E77" s="20"/>
      <c r="F77" s="20"/>
      <c r="G77" s="20"/>
      <c r="H77" s="20"/>
      <c r="I77" s="20"/>
      <c r="J77" s="20"/>
      <c r="K77" s="20"/>
      <c r="L77" s="20"/>
      <c r="M77" s="20"/>
      <c r="N77" s="20"/>
      <c r="O77" s="20"/>
      <c r="P77" s="20"/>
      <c r="Q77" s="20"/>
      <c r="R77" s="20"/>
      <c r="S77" s="20"/>
      <c r="T77" s="20"/>
      <c r="U77" s="20"/>
      <c r="V77" s="20"/>
      <c r="W77" s="20"/>
      <c r="X77" s="20"/>
      <c r="Y77" s="20"/>
      <c r="Z77" s="20"/>
      <c r="AA77" s="20"/>
      <c r="AB77" s="20"/>
      <c r="AC77" s="20"/>
      <c r="AD77" s="20"/>
      <c r="AE77" s="20"/>
      <c r="AF77" s="20"/>
      <c r="AG77" s="20"/>
      <c r="AH77" s="20"/>
    </row>
    <row r="78" spans="2:34" x14ac:dyDescent="0.25">
      <c r="B78" s="20"/>
      <c r="C78" s="20"/>
      <c r="D78" s="20"/>
      <c r="E78" s="20"/>
      <c r="F78" s="20"/>
      <c r="G78" s="20"/>
      <c r="H78" s="20"/>
      <c r="I78" s="20"/>
      <c r="J78" s="20"/>
      <c r="K78" s="20"/>
      <c r="L78" s="20"/>
      <c r="M78" s="20"/>
      <c r="N78" s="20"/>
      <c r="O78" s="20"/>
      <c r="P78" s="20"/>
      <c r="Q78" s="20"/>
      <c r="R78" s="20"/>
      <c r="S78" s="20"/>
      <c r="T78" s="20"/>
      <c r="U78" s="20"/>
      <c r="V78" s="20"/>
      <c r="W78" s="20"/>
      <c r="X78" s="20"/>
      <c r="Y78" s="20"/>
      <c r="Z78" s="20"/>
      <c r="AA78" s="20"/>
      <c r="AB78" s="20"/>
      <c r="AC78" s="20"/>
      <c r="AD78" s="20"/>
      <c r="AE78" s="20"/>
      <c r="AF78" s="20"/>
      <c r="AG78" s="20"/>
      <c r="AH78" s="20"/>
    </row>
    <row r="79" spans="2:34" x14ac:dyDescent="0.25">
      <c r="B79" s="20"/>
      <c r="C79" s="20"/>
      <c r="D79" s="20"/>
      <c r="E79" s="20"/>
      <c r="F79" s="20"/>
      <c r="G79" s="20"/>
      <c r="H79" s="20"/>
      <c r="I79" s="20"/>
      <c r="J79" s="20"/>
      <c r="K79" s="20"/>
      <c r="L79" s="20"/>
      <c r="M79" s="20"/>
      <c r="N79" s="20"/>
      <c r="O79" s="20"/>
      <c r="P79" s="20"/>
      <c r="Q79" s="20"/>
      <c r="R79" s="20"/>
      <c r="S79" s="20"/>
      <c r="T79" s="20"/>
      <c r="U79" s="20"/>
      <c r="V79" s="20"/>
      <c r="W79" s="20"/>
      <c r="X79" s="20"/>
      <c r="Y79" s="20"/>
      <c r="Z79" s="20"/>
      <c r="AA79" s="20"/>
      <c r="AB79" s="20"/>
      <c r="AC79" s="20"/>
      <c r="AD79" s="20"/>
      <c r="AE79" s="20"/>
      <c r="AF79" s="20"/>
      <c r="AG79" s="20"/>
      <c r="AH79" s="20"/>
    </row>
    <row r="80" spans="2:34" x14ac:dyDescent="0.25">
      <c r="B80" s="20"/>
      <c r="C80" s="20"/>
      <c r="D80" s="20"/>
      <c r="E80" s="20"/>
      <c r="F80" s="20"/>
      <c r="G80" s="20"/>
      <c r="H80" s="20"/>
      <c r="I80" s="20"/>
      <c r="J80" s="20"/>
      <c r="K80" s="20"/>
      <c r="L80" s="20"/>
      <c r="M80" s="20"/>
      <c r="N80" s="20"/>
      <c r="O80" s="20"/>
      <c r="P80" s="20"/>
      <c r="Q80" s="20"/>
      <c r="R80" s="20"/>
      <c r="S80" s="20"/>
      <c r="T80" s="20"/>
      <c r="U80" s="20"/>
      <c r="V80" s="20"/>
      <c r="W80" s="20"/>
      <c r="X80" s="20"/>
      <c r="Y80" s="20"/>
      <c r="Z80" s="20"/>
      <c r="AA80" s="20"/>
      <c r="AB80" s="20"/>
      <c r="AC80" s="20"/>
      <c r="AD80" s="20"/>
      <c r="AE80" s="20"/>
      <c r="AF80" s="20"/>
      <c r="AG80" s="20"/>
      <c r="AH80" s="20"/>
    </row>
    <row r="81" spans="2:34" x14ac:dyDescent="0.25">
      <c r="B81" s="20"/>
      <c r="C81" s="20"/>
      <c r="D81" s="20"/>
      <c r="E81" s="20"/>
      <c r="F81" s="20"/>
      <c r="G81" s="20"/>
      <c r="H81" s="20"/>
      <c r="I81" s="20"/>
      <c r="J81" s="20"/>
      <c r="K81" s="20"/>
      <c r="L81" s="20"/>
      <c r="M81" s="20"/>
      <c r="N81" s="20"/>
      <c r="O81" s="20"/>
      <c r="P81" s="20"/>
      <c r="Q81" s="20"/>
      <c r="R81" s="20"/>
      <c r="S81" s="20"/>
      <c r="T81" s="20"/>
      <c r="U81" s="20"/>
      <c r="V81" s="20"/>
      <c r="W81" s="20"/>
      <c r="X81" s="20"/>
      <c r="Y81" s="20"/>
      <c r="Z81" s="20"/>
      <c r="AA81" s="20"/>
      <c r="AB81" s="20"/>
      <c r="AC81" s="20"/>
      <c r="AD81" s="20"/>
      <c r="AE81" s="20"/>
      <c r="AF81" s="20"/>
      <c r="AG81" s="20"/>
      <c r="AH81" s="20"/>
    </row>
    <row r="82" spans="2:34" x14ac:dyDescent="0.25">
      <c r="B82" s="20"/>
      <c r="C82" s="20"/>
      <c r="D82" s="20"/>
      <c r="E82" s="20"/>
      <c r="F82" s="20"/>
      <c r="G82" s="20"/>
      <c r="H82" s="20"/>
      <c r="I82" s="20"/>
      <c r="J82" s="20"/>
      <c r="K82" s="20"/>
      <c r="L82" s="20"/>
      <c r="M82" s="20"/>
      <c r="N82" s="20"/>
      <c r="O82" s="20"/>
      <c r="P82" s="20"/>
      <c r="Q82" s="20"/>
      <c r="R82" s="20"/>
      <c r="S82" s="20"/>
      <c r="T82" s="20"/>
      <c r="U82" s="20"/>
      <c r="V82" s="20"/>
      <c r="W82" s="20"/>
      <c r="X82" s="20"/>
      <c r="Y82" s="20"/>
      <c r="Z82" s="20"/>
      <c r="AA82" s="20"/>
      <c r="AB82" s="20"/>
      <c r="AC82" s="20"/>
      <c r="AD82" s="20"/>
      <c r="AE82" s="20"/>
      <c r="AF82" s="20"/>
      <c r="AG82" s="20"/>
      <c r="AH82" s="20"/>
    </row>
    <row r="83" spans="2:34" x14ac:dyDescent="0.25">
      <c r="B83" s="20"/>
      <c r="C83" s="20"/>
      <c r="D83" s="20"/>
      <c r="E83" s="20"/>
      <c r="F83" s="20"/>
      <c r="G83" s="20"/>
      <c r="H83" s="20"/>
      <c r="I83" s="20"/>
      <c r="J83" s="20"/>
      <c r="K83" s="20"/>
      <c r="L83" s="20"/>
      <c r="M83" s="20"/>
      <c r="N83" s="20"/>
      <c r="O83" s="20"/>
      <c r="P83" s="20"/>
      <c r="Q83" s="20"/>
      <c r="R83" s="20"/>
      <c r="S83" s="20"/>
      <c r="T83" s="20"/>
      <c r="U83" s="20"/>
      <c r="V83" s="20"/>
      <c r="W83" s="20"/>
      <c r="X83" s="20"/>
      <c r="Y83" s="20"/>
      <c r="Z83" s="20"/>
      <c r="AA83" s="20"/>
      <c r="AB83" s="20"/>
      <c r="AC83" s="20"/>
      <c r="AD83" s="20"/>
      <c r="AE83" s="20"/>
      <c r="AF83" s="20"/>
      <c r="AG83" s="20"/>
      <c r="AH83" s="20"/>
    </row>
    <row r="84" spans="2:34" x14ac:dyDescent="0.25">
      <c r="B84" s="20"/>
      <c r="C84" s="20"/>
      <c r="D84" s="20"/>
      <c r="E84" s="20"/>
      <c r="F84" s="20"/>
      <c r="G84" s="20"/>
      <c r="H84" s="20"/>
      <c r="I84" s="20"/>
      <c r="J84" s="20"/>
      <c r="K84" s="20"/>
      <c r="L84" s="20"/>
      <c r="M84" s="20"/>
      <c r="N84" s="20"/>
      <c r="O84" s="20"/>
      <c r="P84" s="20"/>
      <c r="Q84" s="20"/>
      <c r="R84" s="20"/>
      <c r="S84" s="20"/>
      <c r="T84" s="20"/>
      <c r="U84" s="20"/>
      <c r="V84" s="20"/>
      <c r="W84" s="20"/>
      <c r="X84" s="20"/>
      <c r="Y84" s="20"/>
      <c r="Z84" s="20"/>
      <c r="AA84" s="20"/>
      <c r="AB84" s="20"/>
      <c r="AC84" s="20"/>
      <c r="AD84" s="20"/>
      <c r="AE84" s="20"/>
      <c r="AF84" s="20"/>
      <c r="AG84" s="20"/>
      <c r="AH84" s="20"/>
    </row>
    <row r="85" spans="2:34" x14ac:dyDescent="0.25">
      <c r="B85" s="20"/>
      <c r="C85" s="20"/>
      <c r="D85" s="20"/>
      <c r="E85" s="20"/>
      <c r="F85" s="20"/>
      <c r="G85" s="20"/>
      <c r="H85" s="20"/>
      <c r="I85" s="20"/>
      <c r="J85" s="20"/>
      <c r="K85" s="20"/>
      <c r="L85" s="20"/>
      <c r="M85" s="20"/>
      <c r="N85" s="20"/>
      <c r="O85" s="20"/>
      <c r="P85" s="20"/>
      <c r="Q85" s="20"/>
      <c r="R85" s="20"/>
      <c r="S85" s="20"/>
      <c r="T85" s="20"/>
      <c r="U85" s="20"/>
      <c r="V85" s="20"/>
      <c r="W85" s="20"/>
      <c r="X85" s="20"/>
      <c r="Y85" s="20"/>
      <c r="Z85" s="20"/>
      <c r="AA85" s="20"/>
      <c r="AB85" s="20"/>
      <c r="AC85" s="20"/>
      <c r="AD85" s="20"/>
      <c r="AE85" s="20"/>
      <c r="AF85" s="20"/>
      <c r="AG85" s="20"/>
      <c r="AH85" s="20"/>
    </row>
    <row r="86" spans="2:34" x14ac:dyDescent="0.25">
      <c r="B86" s="20"/>
      <c r="C86" s="20"/>
      <c r="D86" s="20"/>
      <c r="E86" s="20"/>
      <c r="F86" s="20"/>
      <c r="G86" s="20"/>
      <c r="H86" s="20"/>
      <c r="I86" s="20"/>
      <c r="J86" s="20"/>
      <c r="K86" s="20"/>
      <c r="L86" s="20"/>
      <c r="M86" s="20"/>
      <c r="N86" s="20"/>
      <c r="O86" s="20"/>
      <c r="P86" s="20"/>
      <c r="Q86" s="20"/>
      <c r="R86" s="20"/>
      <c r="S86" s="20"/>
      <c r="T86" s="20"/>
      <c r="U86" s="20"/>
      <c r="V86" s="20"/>
      <c r="W86" s="20"/>
      <c r="X86" s="20"/>
      <c r="Y86" s="20"/>
      <c r="Z86" s="20"/>
      <c r="AA86" s="20"/>
      <c r="AB86" s="20"/>
      <c r="AC86" s="20"/>
      <c r="AD86" s="20"/>
      <c r="AE86" s="20"/>
      <c r="AF86" s="20"/>
      <c r="AG86" s="20"/>
      <c r="AH86" s="20"/>
    </row>
    <row r="87" spans="2:34" x14ac:dyDescent="0.25">
      <c r="B87" s="20"/>
      <c r="C87" s="20"/>
      <c r="D87" s="20"/>
      <c r="E87" s="20"/>
      <c r="F87" s="20"/>
      <c r="G87" s="20"/>
      <c r="H87" s="20"/>
      <c r="I87" s="20"/>
      <c r="J87" s="20"/>
      <c r="K87" s="20"/>
      <c r="L87" s="20"/>
      <c r="M87" s="20"/>
      <c r="N87" s="20"/>
      <c r="O87" s="20"/>
      <c r="P87" s="20"/>
      <c r="Q87" s="20"/>
      <c r="R87" s="20"/>
      <c r="S87" s="20"/>
      <c r="T87" s="20"/>
      <c r="U87" s="20"/>
      <c r="V87" s="20"/>
      <c r="W87" s="20"/>
      <c r="X87" s="20"/>
      <c r="Y87" s="20"/>
      <c r="Z87" s="20"/>
      <c r="AA87" s="20"/>
      <c r="AB87" s="20"/>
      <c r="AC87" s="20"/>
      <c r="AD87" s="20"/>
      <c r="AE87" s="20"/>
      <c r="AF87" s="20"/>
      <c r="AG87" s="20"/>
      <c r="AH87" s="20"/>
    </row>
    <row r="88" spans="2:34" x14ac:dyDescent="0.25">
      <c r="B88" s="20"/>
      <c r="C88" s="20"/>
      <c r="D88" s="20"/>
      <c r="E88" s="20"/>
      <c r="F88" s="20"/>
      <c r="G88" s="20"/>
      <c r="H88" s="20"/>
      <c r="I88" s="20"/>
      <c r="J88" s="20"/>
      <c r="K88" s="20"/>
      <c r="L88" s="20"/>
      <c r="M88" s="20"/>
      <c r="N88" s="20"/>
      <c r="O88" s="20"/>
      <c r="P88" s="20"/>
      <c r="Q88" s="20"/>
      <c r="R88" s="20"/>
      <c r="S88" s="20"/>
      <c r="T88" s="20"/>
      <c r="U88" s="20"/>
      <c r="V88" s="20"/>
      <c r="W88" s="20"/>
      <c r="X88" s="20"/>
      <c r="Y88" s="20"/>
      <c r="Z88" s="20"/>
      <c r="AA88" s="20"/>
      <c r="AB88" s="20"/>
      <c r="AC88" s="20"/>
      <c r="AD88" s="20"/>
      <c r="AE88" s="20"/>
      <c r="AF88" s="20"/>
      <c r="AG88" s="20"/>
      <c r="AH88" s="20"/>
    </row>
    <row r="89" spans="2:34" x14ac:dyDescent="0.25">
      <c r="B89" s="20"/>
      <c r="C89" s="20"/>
      <c r="D89" s="20"/>
      <c r="E89" s="20"/>
      <c r="F89" s="20"/>
      <c r="G89" s="20"/>
      <c r="H89" s="20"/>
      <c r="I89" s="20"/>
      <c r="J89" s="20"/>
      <c r="K89" s="20"/>
      <c r="L89" s="20"/>
      <c r="M89" s="20"/>
      <c r="N89" s="20"/>
      <c r="O89" s="20"/>
      <c r="P89" s="20"/>
      <c r="Q89" s="20"/>
      <c r="R89" s="20"/>
      <c r="S89" s="20"/>
      <c r="T89" s="20"/>
      <c r="U89" s="20"/>
      <c r="V89" s="20"/>
      <c r="W89" s="20"/>
      <c r="X89" s="20"/>
      <c r="Y89" s="20"/>
      <c r="Z89" s="20"/>
      <c r="AA89" s="20"/>
      <c r="AB89" s="20"/>
      <c r="AC89" s="20"/>
      <c r="AD89" s="20"/>
      <c r="AE89" s="20"/>
      <c r="AF89" s="20"/>
      <c r="AG89" s="20"/>
      <c r="AH89" s="20"/>
    </row>
    <row r="90" spans="2:34" x14ac:dyDescent="0.25">
      <c r="B90" s="20"/>
      <c r="C90" s="20"/>
      <c r="D90" s="20"/>
      <c r="E90" s="20"/>
      <c r="F90" s="20"/>
      <c r="G90" s="20"/>
      <c r="H90" s="20"/>
      <c r="I90" s="20"/>
      <c r="J90" s="20"/>
      <c r="K90" s="20"/>
      <c r="L90" s="20"/>
      <c r="M90" s="20"/>
      <c r="N90" s="20"/>
      <c r="O90" s="20"/>
      <c r="P90" s="20"/>
      <c r="Q90" s="20"/>
      <c r="R90" s="20"/>
      <c r="S90" s="20"/>
      <c r="T90" s="20"/>
      <c r="U90" s="20"/>
      <c r="V90" s="20"/>
      <c r="W90" s="20"/>
      <c r="X90" s="20"/>
      <c r="Y90" s="20"/>
      <c r="Z90" s="20"/>
      <c r="AA90" s="20"/>
      <c r="AB90" s="20"/>
      <c r="AC90" s="20"/>
      <c r="AD90" s="20"/>
      <c r="AE90" s="20"/>
      <c r="AF90" s="20"/>
      <c r="AG90" s="20"/>
      <c r="AH90" s="20"/>
    </row>
    <row r="91" spans="2:34" x14ac:dyDescent="0.25">
      <c r="B91" s="20"/>
      <c r="C91" s="20"/>
      <c r="D91" s="20"/>
      <c r="E91" s="20"/>
      <c r="F91" s="20"/>
      <c r="G91" s="20"/>
      <c r="H91" s="20"/>
      <c r="I91" s="20"/>
      <c r="J91" s="20"/>
      <c r="K91" s="20"/>
      <c r="L91" s="20"/>
      <c r="M91" s="20"/>
      <c r="N91" s="20"/>
      <c r="O91" s="20"/>
      <c r="P91" s="20"/>
      <c r="Q91" s="20"/>
      <c r="R91" s="20"/>
      <c r="S91" s="20"/>
      <c r="T91" s="20"/>
      <c r="U91" s="20"/>
      <c r="V91" s="20"/>
      <c r="W91" s="20"/>
      <c r="X91" s="20"/>
      <c r="Y91" s="20"/>
      <c r="Z91" s="20"/>
      <c r="AA91" s="20"/>
      <c r="AB91" s="20"/>
      <c r="AC91" s="20"/>
      <c r="AD91" s="20"/>
      <c r="AE91" s="20"/>
      <c r="AF91" s="20"/>
      <c r="AG91" s="20"/>
      <c r="AH91" s="20"/>
    </row>
    <row r="92" spans="2:34" x14ac:dyDescent="0.25">
      <c r="B92" s="20"/>
      <c r="C92" s="20"/>
      <c r="D92" s="20"/>
      <c r="E92" s="20"/>
      <c r="F92" s="20"/>
      <c r="G92" s="20"/>
      <c r="H92" s="20"/>
      <c r="I92" s="20"/>
      <c r="J92" s="20"/>
      <c r="K92" s="20"/>
      <c r="L92" s="20"/>
      <c r="M92" s="20"/>
      <c r="N92" s="20"/>
      <c r="O92" s="20"/>
      <c r="P92" s="20"/>
      <c r="Q92" s="20"/>
      <c r="R92" s="20"/>
      <c r="S92" s="20"/>
      <c r="T92" s="20"/>
      <c r="U92" s="20"/>
      <c r="V92" s="20"/>
      <c r="W92" s="20"/>
      <c r="X92" s="20"/>
      <c r="Y92" s="20"/>
      <c r="Z92" s="20"/>
      <c r="AA92" s="20"/>
      <c r="AB92" s="20"/>
      <c r="AC92" s="20"/>
      <c r="AD92" s="20"/>
      <c r="AE92" s="20"/>
      <c r="AF92" s="20"/>
      <c r="AG92" s="20"/>
      <c r="AH92" s="20"/>
    </row>
    <row r="93" spans="2:34" x14ac:dyDescent="0.25">
      <c r="B93" s="20"/>
      <c r="C93" s="20"/>
      <c r="D93" s="20"/>
      <c r="E93" s="20"/>
      <c r="F93" s="20"/>
      <c r="G93" s="20"/>
      <c r="H93" s="20"/>
      <c r="I93" s="20"/>
      <c r="J93" s="20"/>
      <c r="K93" s="20"/>
      <c r="L93" s="20"/>
      <c r="M93" s="20"/>
      <c r="N93" s="20"/>
      <c r="O93" s="20"/>
      <c r="P93" s="20"/>
      <c r="Q93" s="20"/>
      <c r="R93" s="20"/>
      <c r="S93" s="20"/>
      <c r="T93" s="20"/>
      <c r="U93" s="20"/>
      <c r="V93" s="20"/>
      <c r="W93" s="20"/>
      <c r="X93" s="20"/>
      <c r="Y93" s="20"/>
      <c r="Z93" s="20"/>
      <c r="AA93" s="20"/>
      <c r="AB93" s="20"/>
      <c r="AC93" s="20"/>
      <c r="AD93" s="20"/>
      <c r="AE93" s="20"/>
      <c r="AF93" s="20"/>
      <c r="AG93" s="20"/>
      <c r="AH93" s="20"/>
    </row>
    <row r="94" spans="2:34" x14ac:dyDescent="0.25">
      <c r="B94" s="20"/>
      <c r="C94" s="20"/>
      <c r="D94" s="20"/>
      <c r="E94" s="20"/>
      <c r="F94" s="20"/>
      <c r="G94" s="20"/>
      <c r="H94" s="20"/>
      <c r="I94" s="20"/>
      <c r="J94" s="20"/>
      <c r="K94" s="20"/>
      <c r="L94" s="20"/>
      <c r="M94" s="20"/>
      <c r="N94" s="20"/>
      <c r="O94" s="20"/>
      <c r="P94" s="20"/>
      <c r="Q94" s="20"/>
      <c r="R94" s="20"/>
      <c r="S94" s="20"/>
      <c r="T94" s="20"/>
      <c r="U94" s="20"/>
      <c r="V94" s="20"/>
      <c r="W94" s="20"/>
      <c r="X94" s="20"/>
      <c r="Y94" s="20"/>
      <c r="Z94" s="20"/>
      <c r="AA94" s="20"/>
      <c r="AB94" s="20"/>
      <c r="AC94" s="20"/>
      <c r="AD94" s="20"/>
      <c r="AE94" s="20"/>
      <c r="AF94" s="20"/>
      <c r="AG94" s="20"/>
      <c r="AH94" s="20"/>
    </row>
    <row r="95" spans="2:34" x14ac:dyDescent="0.25">
      <c r="B95" s="20"/>
      <c r="C95" s="20"/>
      <c r="D95" s="20"/>
      <c r="E95" s="20"/>
      <c r="F95" s="20"/>
      <c r="G95" s="20"/>
      <c r="H95" s="20"/>
      <c r="I95" s="20"/>
      <c r="J95" s="20"/>
      <c r="K95" s="20"/>
      <c r="L95" s="20"/>
      <c r="M95" s="20"/>
      <c r="N95" s="20"/>
      <c r="O95" s="20"/>
      <c r="P95" s="20"/>
      <c r="Q95" s="20"/>
      <c r="R95" s="20"/>
      <c r="S95" s="20"/>
      <c r="T95" s="20"/>
      <c r="U95" s="20"/>
      <c r="V95" s="20"/>
      <c r="W95" s="20"/>
      <c r="X95" s="20"/>
      <c r="Y95" s="20"/>
      <c r="Z95" s="20"/>
      <c r="AA95" s="20"/>
      <c r="AB95" s="20"/>
      <c r="AC95" s="20"/>
      <c r="AD95" s="20"/>
      <c r="AE95" s="20"/>
      <c r="AF95" s="20"/>
      <c r="AG95" s="20"/>
      <c r="AH95" s="20"/>
    </row>
    <row r="96" spans="2:34" x14ac:dyDescent="0.25">
      <c r="B96" s="20"/>
      <c r="C96" s="20"/>
      <c r="D96" s="20"/>
      <c r="E96" s="20"/>
      <c r="F96" s="20"/>
      <c r="G96" s="20"/>
      <c r="H96" s="20"/>
      <c r="I96" s="20"/>
      <c r="J96" s="20"/>
      <c r="K96" s="20"/>
      <c r="L96" s="20"/>
      <c r="M96" s="20"/>
      <c r="N96" s="20"/>
      <c r="O96" s="20"/>
      <c r="P96" s="20"/>
      <c r="Q96" s="20"/>
      <c r="R96" s="20"/>
      <c r="S96" s="20"/>
      <c r="T96" s="20"/>
      <c r="U96" s="20"/>
      <c r="V96" s="20"/>
      <c r="W96" s="20"/>
      <c r="X96" s="20"/>
      <c r="Y96" s="20"/>
      <c r="Z96" s="20"/>
      <c r="AA96" s="20"/>
      <c r="AB96" s="20"/>
      <c r="AC96" s="20"/>
      <c r="AD96" s="20"/>
      <c r="AE96" s="20"/>
      <c r="AF96" s="20"/>
      <c r="AG96" s="20"/>
      <c r="AH96" s="20"/>
    </row>
    <row r="97" spans="2:38" x14ac:dyDescent="0.25">
      <c r="B97" s="20"/>
      <c r="C97" s="20"/>
      <c r="D97" s="20"/>
      <c r="E97" s="20"/>
      <c r="F97" s="20"/>
      <c r="G97" s="20"/>
      <c r="H97" s="20"/>
      <c r="I97" s="20"/>
      <c r="J97" s="20"/>
      <c r="K97" s="20"/>
      <c r="L97" s="20"/>
      <c r="M97" s="20"/>
      <c r="N97" s="20"/>
      <c r="O97" s="20"/>
      <c r="P97" s="20"/>
      <c r="Q97" s="20"/>
      <c r="R97" s="20"/>
      <c r="S97" s="20"/>
      <c r="T97" s="20"/>
      <c r="U97" s="20"/>
      <c r="V97" s="20"/>
      <c r="W97" s="20"/>
      <c r="X97" s="20"/>
      <c r="Y97" s="20"/>
      <c r="Z97" s="20"/>
      <c r="AA97" s="20"/>
      <c r="AB97" s="20"/>
      <c r="AC97" s="20"/>
      <c r="AD97" s="20"/>
      <c r="AE97" s="20"/>
      <c r="AF97" s="20"/>
      <c r="AG97" s="20"/>
      <c r="AH97" s="20"/>
    </row>
    <row r="98" spans="2:38" x14ac:dyDescent="0.25">
      <c r="B98" s="20"/>
      <c r="C98" s="20"/>
      <c r="D98" s="20"/>
      <c r="E98" s="20"/>
      <c r="F98" s="20"/>
      <c r="G98" s="20"/>
      <c r="H98" s="20"/>
      <c r="I98" s="20"/>
      <c r="J98" s="20"/>
      <c r="K98" s="20"/>
      <c r="L98" s="20"/>
      <c r="M98" s="20"/>
      <c r="N98" s="20"/>
      <c r="O98" s="20"/>
      <c r="P98" s="20"/>
      <c r="Q98" s="20"/>
      <c r="R98" s="20"/>
      <c r="S98" s="20"/>
      <c r="T98" s="20"/>
      <c r="U98" s="20"/>
      <c r="V98" s="20"/>
      <c r="W98" s="20"/>
      <c r="X98" s="20"/>
      <c r="Y98" s="20"/>
      <c r="Z98" s="20"/>
      <c r="AA98" s="20"/>
      <c r="AB98" s="20"/>
      <c r="AC98" s="20"/>
      <c r="AD98" s="20"/>
      <c r="AE98" s="20"/>
      <c r="AF98" s="20"/>
      <c r="AG98" s="20"/>
      <c r="AH98" s="20"/>
    </row>
    <row r="99" spans="2:38" x14ac:dyDescent="0.25">
      <c r="B99" s="20"/>
      <c r="C99" s="20"/>
      <c r="D99" s="20"/>
      <c r="E99" s="20"/>
      <c r="F99" s="20"/>
      <c r="G99" s="20"/>
      <c r="H99" s="20"/>
      <c r="I99" s="20"/>
      <c r="J99" s="20"/>
      <c r="K99" s="20"/>
      <c r="L99" s="20"/>
      <c r="M99" s="20"/>
      <c r="N99" s="20"/>
      <c r="O99" s="20"/>
      <c r="P99" s="20"/>
      <c r="Q99" s="20"/>
      <c r="R99" s="20"/>
      <c r="S99" s="20"/>
      <c r="T99" s="20"/>
      <c r="U99" s="20"/>
      <c r="V99" s="20"/>
      <c r="W99" s="20"/>
      <c r="X99" s="20"/>
      <c r="Y99" s="20"/>
      <c r="Z99" s="20"/>
      <c r="AA99" s="20"/>
      <c r="AB99" s="20"/>
      <c r="AC99" s="20"/>
      <c r="AD99" s="20"/>
      <c r="AE99" s="20"/>
      <c r="AF99" s="20"/>
      <c r="AG99" s="20"/>
      <c r="AH99" s="20"/>
    </row>
    <row r="100" spans="2:38" x14ac:dyDescent="0.25">
      <c r="B100" s="20"/>
      <c r="C100" s="20"/>
      <c r="D100" s="20"/>
      <c r="E100" s="20"/>
      <c r="F100" s="20"/>
      <c r="G100" s="20"/>
      <c r="H100" s="20"/>
      <c r="I100" s="20"/>
      <c r="J100" s="20"/>
      <c r="K100" s="20"/>
      <c r="L100" s="20"/>
      <c r="M100" s="20"/>
      <c r="N100" s="20"/>
      <c r="O100" s="20"/>
      <c r="P100" s="20"/>
      <c r="Q100" s="20"/>
      <c r="R100" s="20"/>
      <c r="S100" s="20"/>
      <c r="T100" s="20"/>
      <c r="U100" s="20"/>
      <c r="V100" s="20"/>
      <c r="W100" s="20"/>
      <c r="X100" s="20"/>
      <c r="Y100" s="20"/>
      <c r="Z100" s="20"/>
      <c r="AA100" s="20"/>
      <c r="AB100" s="20"/>
      <c r="AC100" s="20"/>
      <c r="AD100" s="20"/>
      <c r="AE100" s="20"/>
      <c r="AF100" s="20"/>
      <c r="AG100" s="20"/>
      <c r="AH100" s="20"/>
    </row>
    <row r="101" spans="2:38" x14ac:dyDescent="0.25">
      <c r="B101" s="20"/>
      <c r="C101" s="20"/>
      <c r="D101" s="20"/>
      <c r="E101" s="20"/>
      <c r="F101" s="20"/>
      <c r="G101" s="20"/>
      <c r="H101" s="20"/>
      <c r="I101" s="20"/>
      <c r="J101" s="20"/>
      <c r="K101" s="20"/>
      <c r="L101" s="20"/>
      <c r="M101" s="20"/>
      <c r="N101" s="20"/>
      <c r="O101" s="20"/>
      <c r="P101" s="20"/>
      <c r="Q101" s="20"/>
      <c r="R101" s="20"/>
      <c r="S101" s="20"/>
      <c r="T101" s="20"/>
      <c r="U101" s="20"/>
      <c r="V101" s="20"/>
      <c r="W101" s="20"/>
      <c r="X101" s="20"/>
      <c r="Y101" s="20"/>
      <c r="Z101" s="20"/>
      <c r="AA101" s="20"/>
      <c r="AB101" s="20"/>
      <c r="AC101" s="20"/>
      <c r="AD101" s="20"/>
      <c r="AE101" s="20"/>
      <c r="AF101" s="20"/>
      <c r="AG101" s="20"/>
      <c r="AH101" s="20"/>
    </row>
    <row r="102" spans="2:38" x14ac:dyDescent="0.25">
      <c r="B102" s="20"/>
      <c r="C102" s="20"/>
      <c r="D102" s="20"/>
      <c r="E102" s="20"/>
      <c r="F102" s="20"/>
      <c r="G102" s="20"/>
      <c r="H102" s="20"/>
      <c r="I102" s="20"/>
      <c r="J102" s="20"/>
      <c r="K102" s="20"/>
      <c r="L102" s="20"/>
      <c r="M102" s="20"/>
      <c r="N102" s="20"/>
      <c r="O102" s="20"/>
      <c r="P102" s="20"/>
      <c r="Q102" s="20"/>
      <c r="R102" s="20"/>
      <c r="S102" s="20"/>
      <c r="T102" s="20"/>
      <c r="U102" s="20"/>
      <c r="V102" s="20"/>
      <c r="W102" s="20"/>
      <c r="X102" s="20"/>
      <c r="Y102" s="20"/>
      <c r="Z102" s="20"/>
      <c r="AA102" s="20"/>
      <c r="AB102" s="20"/>
      <c r="AC102" s="20"/>
      <c r="AD102" s="20"/>
      <c r="AE102" s="20"/>
      <c r="AF102" s="20"/>
      <c r="AG102" s="20"/>
      <c r="AH102" s="20"/>
    </row>
    <row r="103" spans="2:38" x14ac:dyDescent="0.25">
      <c r="B103" s="20"/>
      <c r="C103" s="20"/>
      <c r="D103" s="20"/>
      <c r="E103" s="20"/>
      <c r="F103" s="20"/>
      <c r="G103" s="20"/>
      <c r="H103" s="20"/>
      <c r="I103" s="20"/>
      <c r="J103" s="20"/>
      <c r="K103" s="20"/>
      <c r="L103" s="20"/>
      <c r="M103" s="20"/>
      <c r="N103" s="20"/>
      <c r="O103" s="20"/>
      <c r="P103" s="20"/>
      <c r="Q103" s="20"/>
      <c r="R103" s="20"/>
      <c r="S103" s="20"/>
      <c r="T103" s="20"/>
      <c r="U103" s="20"/>
      <c r="V103" s="20"/>
      <c r="W103" s="20"/>
      <c r="X103" s="20"/>
      <c r="Y103" s="20"/>
      <c r="Z103" s="20"/>
      <c r="AA103" s="20"/>
      <c r="AB103" s="20"/>
      <c r="AC103" s="20"/>
      <c r="AD103" s="20"/>
      <c r="AE103" s="20"/>
      <c r="AF103" s="20"/>
      <c r="AG103" s="20"/>
      <c r="AH103" s="20"/>
    </row>
    <row r="104" spans="2:38" x14ac:dyDescent="0.25">
      <c r="B104" s="20"/>
      <c r="C104" s="20"/>
      <c r="D104" s="20"/>
      <c r="E104" s="20"/>
      <c r="F104" s="20"/>
      <c r="G104" s="20"/>
      <c r="H104" s="20"/>
      <c r="I104" s="20"/>
      <c r="J104" s="20"/>
      <c r="K104" s="20"/>
      <c r="L104" s="20"/>
      <c r="M104" s="20"/>
      <c r="N104" s="20"/>
      <c r="O104" s="20"/>
      <c r="P104" s="20"/>
      <c r="Q104" s="20"/>
      <c r="R104" s="20"/>
      <c r="S104" s="20"/>
      <c r="T104" s="20"/>
      <c r="U104" s="20"/>
      <c r="V104" s="20"/>
      <c r="W104" s="20"/>
      <c r="X104" s="20"/>
      <c r="Y104" s="20"/>
      <c r="Z104" s="20"/>
      <c r="AA104" s="20"/>
      <c r="AB104" s="20"/>
      <c r="AC104" s="20"/>
      <c r="AD104" s="20"/>
      <c r="AE104" s="20"/>
      <c r="AF104" s="20"/>
      <c r="AG104" s="20"/>
      <c r="AH104" s="20"/>
    </row>
    <row r="105" spans="2:38" x14ac:dyDescent="0.25">
      <c r="B105" s="20"/>
      <c r="C105" s="20"/>
      <c r="D105" s="20"/>
      <c r="E105" s="20"/>
      <c r="F105" s="20"/>
      <c r="G105" s="20"/>
      <c r="H105" s="20"/>
      <c r="I105" s="20"/>
      <c r="J105" s="20"/>
      <c r="K105" s="20"/>
      <c r="L105" s="20"/>
      <c r="M105" s="20"/>
      <c r="N105" s="20"/>
      <c r="O105" s="20"/>
      <c r="P105" s="20"/>
      <c r="Q105" s="20"/>
      <c r="R105" s="20"/>
      <c r="S105" s="20"/>
      <c r="T105" s="20"/>
      <c r="U105" s="20"/>
      <c r="V105" s="20"/>
      <c r="W105" s="20"/>
      <c r="X105" s="20"/>
      <c r="Y105" s="20"/>
      <c r="Z105" s="20"/>
      <c r="AA105" s="20"/>
      <c r="AB105" s="20"/>
      <c r="AC105" s="20"/>
      <c r="AD105" s="20"/>
      <c r="AE105" s="20"/>
      <c r="AF105" s="20"/>
      <c r="AG105" s="20"/>
      <c r="AH105" s="20"/>
    </row>
    <row r="106" spans="2:38" x14ac:dyDescent="0.25">
      <c r="B106" s="20"/>
      <c r="C106" s="20"/>
      <c r="D106" s="20"/>
      <c r="E106" s="20"/>
      <c r="F106" s="20"/>
      <c r="G106" s="20"/>
      <c r="H106" s="20"/>
      <c r="I106" s="20"/>
      <c r="J106" s="20"/>
      <c r="K106" s="20"/>
      <c r="L106" s="20"/>
      <c r="M106" s="20"/>
      <c r="N106" s="20"/>
      <c r="O106" s="20"/>
      <c r="P106" s="20"/>
      <c r="Q106" s="20"/>
      <c r="R106" s="20"/>
      <c r="S106" s="20"/>
      <c r="T106" s="20"/>
      <c r="U106" s="20"/>
      <c r="V106" s="20"/>
      <c r="W106" s="20"/>
      <c r="X106" s="20"/>
      <c r="Y106" s="20"/>
      <c r="Z106" s="20"/>
      <c r="AA106" s="20"/>
      <c r="AB106" s="20"/>
      <c r="AC106" s="20"/>
      <c r="AD106" s="20"/>
      <c r="AE106" s="20"/>
      <c r="AF106" s="20"/>
      <c r="AG106" s="20"/>
      <c r="AH106" s="20"/>
    </row>
    <row r="107" spans="2:38" x14ac:dyDescent="0.25">
      <c r="B107" s="20"/>
      <c r="C107" s="20"/>
      <c r="D107" s="20"/>
      <c r="E107" s="20"/>
      <c r="F107" s="20"/>
      <c r="G107" s="20"/>
      <c r="H107" s="20"/>
      <c r="I107" s="20"/>
      <c r="J107" s="20"/>
      <c r="K107" s="20"/>
      <c r="L107" s="20"/>
      <c r="M107" s="20"/>
      <c r="N107" s="20"/>
      <c r="O107" s="20"/>
      <c r="P107" s="20"/>
      <c r="Q107" s="20"/>
      <c r="R107" s="20"/>
      <c r="S107" s="20"/>
      <c r="T107" s="20"/>
      <c r="U107" s="20"/>
      <c r="V107" s="20"/>
      <c r="W107" s="20"/>
      <c r="X107" s="20"/>
      <c r="Y107" s="20"/>
      <c r="Z107" s="20"/>
      <c r="AA107" s="20"/>
      <c r="AB107" s="20"/>
      <c r="AC107" s="20"/>
      <c r="AD107" s="20"/>
      <c r="AE107" s="20"/>
      <c r="AF107" s="20"/>
      <c r="AG107" s="20"/>
      <c r="AH107" s="20"/>
    </row>
    <row r="108" spans="2:38" x14ac:dyDescent="0.25">
      <c r="B108" s="20"/>
      <c r="C108" s="20"/>
      <c r="D108" s="20"/>
      <c r="E108" s="20"/>
      <c r="F108" s="20"/>
      <c r="G108" s="20"/>
      <c r="H108" s="20"/>
      <c r="I108" s="20"/>
      <c r="J108" s="20"/>
      <c r="K108" s="20"/>
      <c r="L108" s="20"/>
      <c r="M108" s="20"/>
      <c r="N108" s="20"/>
      <c r="O108" s="20"/>
      <c r="P108" s="20"/>
      <c r="Q108" s="20"/>
      <c r="R108" s="20"/>
      <c r="S108" s="20"/>
      <c r="T108" s="20"/>
      <c r="U108" s="20"/>
      <c r="V108" s="20"/>
      <c r="W108" s="20"/>
      <c r="X108" s="20"/>
      <c r="Y108" s="20"/>
      <c r="Z108" s="20"/>
      <c r="AA108" s="20"/>
      <c r="AB108" s="20"/>
      <c r="AC108" s="20"/>
      <c r="AD108" s="20"/>
      <c r="AE108" s="20"/>
      <c r="AF108" s="20"/>
      <c r="AG108" s="20"/>
      <c r="AH108" s="20"/>
    </row>
    <row r="109" spans="2:38" x14ac:dyDescent="0.25">
      <c r="B109" s="87" t="s">
        <v>384</v>
      </c>
      <c r="C109" s="88">
        <f>SUM(C59:C108)</f>
        <v>0</v>
      </c>
      <c r="D109" s="88">
        <f t="shared" ref="D109:AH109" si="1">SUM(D59:D108)</f>
        <v>0</v>
      </c>
      <c r="E109" s="88">
        <f t="shared" si="1"/>
        <v>0</v>
      </c>
      <c r="F109" s="88">
        <f t="shared" si="1"/>
        <v>0</v>
      </c>
      <c r="G109" s="88">
        <f t="shared" si="1"/>
        <v>0</v>
      </c>
      <c r="H109" s="88">
        <f t="shared" si="1"/>
        <v>0</v>
      </c>
      <c r="I109" s="88">
        <f t="shared" si="1"/>
        <v>0</v>
      </c>
      <c r="J109" s="88">
        <f t="shared" si="1"/>
        <v>0</v>
      </c>
      <c r="K109" s="88">
        <f t="shared" si="1"/>
        <v>0</v>
      </c>
      <c r="L109" s="88">
        <f t="shared" si="1"/>
        <v>0</v>
      </c>
      <c r="M109" s="88">
        <f t="shared" si="1"/>
        <v>0</v>
      </c>
      <c r="N109" s="88">
        <f t="shared" si="1"/>
        <v>0</v>
      </c>
      <c r="O109" s="88">
        <f t="shared" si="1"/>
        <v>0</v>
      </c>
      <c r="P109" s="88">
        <f t="shared" si="1"/>
        <v>0</v>
      </c>
      <c r="Q109" s="88">
        <f t="shared" si="1"/>
        <v>0</v>
      </c>
      <c r="R109" s="88">
        <f t="shared" si="1"/>
        <v>0</v>
      </c>
      <c r="S109" s="88">
        <f t="shared" si="1"/>
        <v>0</v>
      </c>
      <c r="T109" s="88">
        <f t="shared" si="1"/>
        <v>0</v>
      </c>
      <c r="U109" s="88">
        <f t="shared" si="1"/>
        <v>0</v>
      </c>
      <c r="V109" s="88">
        <f t="shared" si="1"/>
        <v>0</v>
      </c>
      <c r="W109" s="88">
        <f t="shared" si="1"/>
        <v>0</v>
      </c>
      <c r="X109" s="88">
        <f t="shared" si="1"/>
        <v>0</v>
      </c>
      <c r="Y109" s="88">
        <f t="shared" si="1"/>
        <v>0</v>
      </c>
      <c r="Z109" s="88">
        <f t="shared" si="1"/>
        <v>0</v>
      </c>
      <c r="AA109" s="88">
        <f t="shared" si="1"/>
        <v>0</v>
      </c>
      <c r="AB109" s="88">
        <f t="shared" si="1"/>
        <v>0</v>
      </c>
      <c r="AC109" s="88">
        <f t="shared" si="1"/>
        <v>0</v>
      </c>
      <c r="AD109" s="88">
        <f t="shared" si="1"/>
        <v>0</v>
      </c>
      <c r="AE109" s="88">
        <f t="shared" si="1"/>
        <v>0</v>
      </c>
      <c r="AF109" s="88">
        <f t="shared" si="1"/>
        <v>0</v>
      </c>
      <c r="AG109" s="88">
        <f t="shared" si="1"/>
        <v>0</v>
      </c>
      <c r="AH109" s="88">
        <f t="shared" si="1"/>
        <v>0</v>
      </c>
    </row>
    <row r="110" spans="2:38" x14ac:dyDescent="0.25"/>
    <row r="111" spans="2:38" x14ac:dyDescent="0.25">
      <c r="B111" s="9" t="s">
        <v>308</v>
      </c>
    </row>
    <row r="112" spans="2:38" x14ac:dyDescent="0.25">
      <c r="B112" s="64" t="s">
        <v>0</v>
      </c>
      <c r="C112" s="64" t="s">
        <v>385</v>
      </c>
      <c r="D112" s="64" t="s">
        <v>386</v>
      </c>
      <c r="E112" s="64" t="s">
        <v>279</v>
      </c>
      <c r="F112" s="64" t="s">
        <v>280</v>
      </c>
      <c r="G112" s="64" t="s">
        <v>226</v>
      </c>
      <c r="H112" s="64" t="s">
        <v>228</v>
      </c>
      <c r="I112" s="64" t="s">
        <v>229</v>
      </c>
      <c r="J112" s="64" t="s">
        <v>281</v>
      </c>
      <c r="K112" s="64" t="s">
        <v>282</v>
      </c>
      <c r="L112" s="64" t="s">
        <v>283</v>
      </c>
      <c r="M112" s="64" t="s">
        <v>284</v>
      </c>
      <c r="N112" s="64" t="s">
        <v>285</v>
      </c>
      <c r="O112" s="64" t="s">
        <v>286</v>
      </c>
      <c r="P112" s="64" t="s">
        <v>287</v>
      </c>
      <c r="Q112" s="64" t="s">
        <v>288</v>
      </c>
      <c r="R112" s="64" t="s">
        <v>289</v>
      </c>
      <c r="S112" s="64" t="s">
        <v>293</v>
      </c>
      <c r="T112" s="64" t="s">
        <v>307</v>
      </c>
      <c r="U112" s="64" t="s">
        <v>290</v>
      </c>
      <c r="V112" s="64" t="s">
        <v>292</v>
      </c>
      <c r="W112" s="64" t="s">
        <v>294</v>
      </c>
      <c r="X112" s="64" t="s">
        <v>295</v>
      </c>
      <c r="Y112" s="64" t="s">
        <v>296</v>
      </c>
      <c r="Z112" s="64" t="s">
        <v>297</v>
      </c>
      <c r="AA112" s="64" t="s">
        <v>298</v>
      </c>
      <c r="AB112" s="64" t="s">
        <v>299</v>
      </c>
      <c r="AC112" s="64" t="s">
        <v>300</v>
      </c>
      <c r="AD112" s="64" t="s">
        <v>301</v>
      </c>
      <c r="AE112" s="64" t="s">
        <v>387</v>
      </c>
      <c r="AF112" s="64" t="s">
        <v>388</v>
      </c>
      <c r="AG112" s="64" t="s">
        <v>383</v>
      </c>
      <c r="AH112" s="64" t="s">
        <v>389</v>
      </c>
      <c r="AI112" s="85" t="s">
        <v>390</v>
      </c>
      <c r="AJ112" s="85" t="s">
        <v>323</v>
      </c>
      <c r="AK112" s="85" t="s">
        <v>391</v>
      </c>
      <c r="AL112" s="84" t="s">
        <v>392</v>
      </c>
    </row>
    <row r="113" spans="2:38" x14ac:dyDescent="0.25">
      <c r="B113" s="20"/>
      <c r="C113" s="20"/>
      <c r="D113" s="20"/>
      <c r="E113" s="20"/>
      <c r="F113" s="20"/>
      <c r="G113" s="20"/>
      <c r="H113" s="20"/>
      <c r="I113" s="20"/>
      <c r="J113" s="20"/>
      <c r="K113" s="20"/>
      <c r="L113" s="20"/>
      <c r="M113" s="20"/>
      <c r="N113" s="20"/>
      <c r="O113" s="20"/>
      <c r="P113" s="20"/>
      <c r="Q113" s="20"/>
      <c r="R113" s="20"/>
      <c r="S113" s="20"/>
      <c r="T113" s="20"/>
      <c r="U113" s="20"/>
      <c r="V113" s="20"/>
      <c r="W113" s="20"/>
      <c r="X113" s="20"/>
      <c r="Y113" s="20"/>
      <c r="Z113" s="20"/>
      <c r="AA113" s="20"/>
      <c r="AB113" s="20"/>
      <c r="AC113" s="20"/>
      <c r="AD113" s="20"/>
      <c r="AE113" s="20"/>
      <c r="AF113" s="20"/>
      <c r="AG113" s="20"/>
      <c r="AH113" s="20"/>
      <c r="AI113" s="20"/>
      <c r="AJ113" s="20"/>
      <c r="AK113" s="20"/>
      <c r="AL113" s="20"/>
    </row>
    <row r="114" spans="2:38" x14ac:dyDescent="0.25">
      <c r="B114" s="20"/>
      <c r="C114" s="20"/>
      <c r="D114" s="20"/>
      <c r="E114" s="20"/>
      <c r="F114" s="20"/>
      <c r="G114" s="20"/>
      <c r="H114" s="20"/>
      <c r="I114" s="20"/>
      <c r="J114" s="20"/>
      <c r="K114" s="20"/>
      <c r="L114" s="20"/>
      <c r="M114" s="20"/>
      <c r="N114" s="20"/>
      <c r="O114" s="20"/>
      <c r="P114" s="20"/>
      <c r="Q114" s="20"/>
      <c r="R114" s="20"/>
      <c r="S114" s="20"/>
      <c r="T114" s="20"/>
      <c r="U114" s="20"/>
      <c r="V114" s="20"/>
      <c r="W114" s="20"/>
      <c r="X114" s="20"/>
      <c r="Y114" s="20"/>
      <c r="Z114" s="20"/>
      <c r="AA114" s="20"/>
      <c r="AB114" s="20"/>
      <c r="AC114" s="20"/>
      <c r="AD114" s="20"/>
      <c r="AE114" s="20"/>
      <c r="AF114" s="20"/>
      <c r="AG114" s="20"/>
      <c r="AH114" s="20"/>
      <c r="AI114" s="20"/>
      <c r="AJ114" s="20"/>
      <c r="AK114" s="20"/>
      <c r="AL114" s="20"/>
    </row>
    <row r="115" spans="2:38" x14ac:dyDescent="0.25">
      <c r="B115" s="20"/>
      <c r="C115" s="20"/>
      <c r="D115" s="20"/>
      <c r="E115" s="20"/>
      <c r="F115" s="20"/>
      <c r="G115" s="20"/>
      <c r="H115" s="20"/>
      <c r="I115" s="20"/>
      <c r="J115" s="20"/>
      <c r="K115" s="20"/>
      <c r="L115" s="20"/>
      <c r="M115" s="20"/>
      <c r="N115" s="20"/>
      <c r="O115" s="20"/>
      <c r="P115" s="20"/>
      <c r="Q115" s="20"/>
      <c r="R115" s="20"/>
      <c r="S115" s="20"/>
      <c r="T115" s="20"/>
      <c r="U115" s="20"/>
      <c r="V115" s="20"/>
      <c r="W115" s="20"/>
      <c r="X115" s="20"/>
      <c r="Y115" s="20"/>
      <c r="Z115" s="20"/>
      <c r="AA115" s="20"/>
      <c r="AB115" s="20"/>
      <c r="AC115" s="20"/>
      <c r="AD115" s="20"/>
      <c r="AE115" s="20"/>
      <c r="AF115" s="20"/>
      <c r="AG115" s="20"/>
      <c r="AH115" s="20"/>
      <c r="AI115" s="86"/>
      <c r="AJ115" s="86"/>
      <c r="AK115" s="86"/>
      <c r="AL115" s="20"/>
    </row>
    <row r="116" spans="2:38" x14ac:dyDescent="0.25">
      <c r="B116" s="20"/>
      <c r="C116" s="20"/>
      <c r="D116" s="20"/>
      <c r="E116" s="20"/>
      <c r="F116" s="20"/>
      <c r="G116" s="20"/>
      <c r="H116" s="20"/>
      <c r="I116" s="20"/>
      <c r="J116" s="20"/>
      <c r="K116" s="20"/>
      <c r="L116" s="20"/>
      <c r="M116" s="20"/>
      <c r="N116" s="20"/>
      <c r="O116" s="20"/>
      <c r="P116" s="20"/>
      <c r="Q116" s="20"/>
      <c r="R116" s="20"/>
      <c r="S116" s="20"/>
      <c r="T116" s="20"/>
      <c r="U116" s="20"/>
      <c r="V116" s="20"/>
      <c r="W116" s="20"/>
      <c r="X116" s="20"/>
      <c r="Y116" s="20"/>
      <c r="Z116" s="20"/>
      <c r="AA116" s="20"/>
      <c r="AB116" s="20"/>
      <c r="AC116" s="20"/>
      <c r="AD116" s="20"/>
      <c r="AE116" s="20"/>
      <c r="AF116" s="20"/>
      <c r="AG116" s="20"/>
      <c r="AH116" s="20"/>
      <c r="AI116" s="20"/>
      <c r="AJ116" s="20"/>
      <c r="AK116" s="20"/>
      <c r="AL116" s="20"/>
    </row>
    <row r="117" spans="2:38" x14ac:dyDescent="0.25">
      <c r="B117" s="20"/>
      <c r="C117" s="20"/>
      <c r="D117" s="20"/>
      <c r="E117" s="20"/>
      <c r="F117" s="20"/>
      <c r="G117" s="20"/>
      <c r="H117" s="20"/>
      <c r="I117" s="20"/>
      <c r="J117" s="20"/>
      <c r="K117" s="20"/>
      <c r="L117" s="20"/>
      <c r="M117" s="20"/>
      <c r="N117" s="20"/>
      <c r="O117" s="20"/>
      <c r="P117" s="20"/>
      <c r="Q117" s="20"/>
      <c r="R117" s="20"/>
      <c r="S117" s="20"/>
      <c r="T117" s="20"/>
      <c r="U117" s="20"/>
      <c r="V117" s="20"/>
      <c r="W117" s="20"/>
      <c r="X117" s="20"/>
      <c r="Y117" s="20"/>
      <c r="Z117" s="20"/>
      <c r="AA117" s="20"/>
      <c r="AB117" s="20"/>
      <c r="AC117" s="20"/>
      <c r="AD117" s="20"/>
      <c r="AE117" s="20"/>
      <c r="AF117" s="20"/>
      <c r="AG117" s="20"/>
      <c r="AH117" s="20"/>
      <c r="AI117" s="20"/>
      <c r="AJ117" s="20"/>
      <c r="AK117" s="20"/>
      <c r="AL117" s="20"/>
    </row>
    <row r="118" spans="2:38" x14ac:dyDescent="0.25">
      <c r="B118" s="20"/>
      <c r="C118" s="20"/>
      <c r="D118" s="20"/>
      <c r="E118" s="20"/>
      <c r="F118" s="20"/>
      <c r="G118" s="20"/>
      <c r="H118" s="20"/>
      <c r="I118" s="20"/>
      <c r="J118" s="20"/>
      <c r="K118" s="20"/>
      <c r="L118" s="20"/>
      <c r="M118" s="20"/>
      <c r="N118" s="20"/>
      <c r="O118" s="20"/>
      <c r="P118" s="20"/>
      <c r="Q118" s="20"/>
      <c r="R118" s="20"/>
      <c r="S118" s="20"/>
      <c r="T118" s="20"/>
      <c r="U118" s="20"/>
      <c r="V118" s="20"/>
      <c r="W118" s="20"/>
      <c r="X118" s="20"/>
      <c r="Y118" s="20"/>
      <c r="Z118" s="20"/>
      <c r="AA118" s="20"/>
      <c r="AB118" s="20"/>
      <c r="AC118" s="20"/>
      <c r="AD118" s="20"/>
      <c r="AE118" s="20"/>
      <c r="AF118" s="20"/>
      <c r="AG118" s="20"/>
      <c r="AH118" s="20"/>
      <c r="AI118" s="20"/>
      <c r="AJ118" s="20"/>
      <c r="AK118" s="20"/>
      <c r="AL118" s="20"/>
    </row>
    <row r="119" spans="2:38" x14ac:dyDescent="0.25">
      <c r="B119" s="20"/>
      <c r="C119" s="20"/>
      <c r="D119" s="20"/>
      <c r="E119" s="20"/>
      <c r="F119" s="20"/>
      <c r="G119" s="20"/>
      <c r="H119" s="20"/>
      <c r="I119" s="20"/>
      <c r="J119" s="20"/>
      <c r="K119" s="20"/>
      <c r="L119" s="20"/>
      <c r="M119" s="20"/>
      <c r="N119" s="20"/>
      <c r="O119" s="20"/>
      <c r="P119" s="20"/>
      <c r="Q119" s="20"/>
      <c r="R119" s="20"/>
      <c r="S119" s="20"/>
      <c r="T119" s="20"/>
      <c r="U119" s="20"/>
      <c r="V119" s="20"/>
      <c r="W119" s="20"/>
      <c r="X119" s="20"/>
      <c r="Y119" s="20"/>
      <c r="Z119" s="20"/>
      <c r="AA119" s="20"/>
      <c r="AB119" s="20"/>
      <c r="AC119" s="20"/>
      <c r="AD119" s="20"/>
      <c r="AE119" s="20"/>
      <c r="AF119" s="20"/>
      <c r="AG119" s="20"/>
      <c r="AH119" s="20"/>
      <c r="AI119" s="20"/>
      <c r="AJ119" s="20"/>
      <c r="AK119" s="20"/>
      <c r="AL119" s="20"/>
    </row>
    <row r="120" spans="2:38" x14ac:dyDescent="0.25">
      <c r="B120" s="20"/>
      <c r="C120" s="20"/>
      <c r="D120" s="20"/>
      <c r="E120" s="20"/>
      <c r="F120" s="20"/>
      <c r="G120" s="20"/>
      <c r="H120" s="20"/>
      <c r="I120" s="20"/>
      <c r="J120" s="20"/>
      <c r="K120" s="20"/>
      <c r="L120" s="20"/>
      <c r="M120" s="20"/>
      <c r="N120" s="20"/>
      <c r="O120" s="20"/>
      <c r="P120" s="20"/>
      <c r="Q120" s="20"/>
      <c r="R120" s="20"/>
      <c r="S120" s="20"/>
      <c r="T120" s="20"/>
      <c r="U120" s="20"/>
      <c r="V120" s="20"/>
      <c r="W120" s="20"/>
      <c r="X120" s="20"/>
      <c r="Y120" s="20"/>
      <c r="Z120" s="20"/>
      <c r="AA120" s="20"/>
      <c r="AB120" s="20"/>
      <c r="AC120" s="20"/>
      <c r="AD120" s="20"/>
      <c r="AE120" s="20"/>
      <c r="AF120" s="20"/>
      <c r="AG120" s="20"/>
      <c r="AH120" s="20"/>
      <c r="AI120" s="20"/>
      <c r="AJ120" s="20"/>
      <c r="AK120" s="20"/>
      <c r="AL120" s="20"/>
    </row>
    <row r="121" spans="2:38" x14ac:dyDescent="0.25">
      <c r="B121" s="20"/>
      <c r="C121" s="20"/>
      <c r="D121" s="20"/>
      <c r="E121" s="20"/>
      <c r="F121" s="20"/>
      <c r="G121" s="20"/>
      <c r="H121" s="20"/>
      <c r="I121" s="20"/>
      <c r="J121" s="20"/>
      <c r="K121" s="20"/>
      <c r="L121" s="20"/>
      <c r="M121" s="20"/>
      <c r="N121" s="20"/>
      <c r="O121" s="20"/>
      <c r="P121" s="20"/>
      <c r="Q121" s="20"/>
      <c r="R121" s="20"/>
      <c r="S121" s="20"/>
      <c r="T121" s="20"/>
      <c r="U121" s="20"/>
      <c r="V121" s="20"/>
      <c r="W121" s="20"/>
      <c r="X121" s="20"/>
      <c r="Y121" s="20"/>
      <c r="Z121" s="20"/>
      <c r="AA121" s="20"/>
      <c r="AB121" s="20"/>
      <c r="AC121" s="20"/>
      <c r="AD121" s="20"/>
      <c r="AE121" s="20"/>
      <c r="AF121" s="20"/>
      <c r="AG121" s="20"/>
      <c r="AH121" s="20"/>
      <c r="AI121" s="20"/>
      <c r="AJ121" s="20"/>
      <c r="AK121" s="20"/>
      <c r="AL121" s="20"/>
    </row>
    <row r="122" spans="2:38" x14ac:dyDescent="0.25">
      <c r="B122" s="20"/>
      <c r="C122" s="20"/>
      <c r="D122" s="20"/>
      <c r="E122" s="20"/>
      <c r="F122" s="20"/>
      <c r="G122" s="20"/>
      <c r="H122" s="20"/>
      <c r="I122" s="20"/>
      <c r="J122" s="20"/>
      <c r="K122" s="20"/>
      <c r="L122" s="20"/>
      <c r="M122" s="20"/>
      <c r="N122" s="20"/>
      <c r="O122" s="20"/>
      <c r="P122" s="20"/>
      <c r="Q122" s="20"/>
      <c r="R122" s="20"/>
      <c r="S122" s="20"/>
      <c r="T122" s="20"/>
      <c r="U122" s="20"/>
      <c r="V122" s="20"/>
      <c r="W122" s="20"/>
      <c r="X122" s="20"/>
      <c r="Y122" s="20"/>
      <c r="Z122" s="20"/>
      <c r="AA122" s="20"/>
      <c r="AB122" s="20"/>
      <c r="AC122" s="20"/>
      <c r="AD122" s="20"/>
      <c r="AE122" s="20"/>
      <c r="AF122" s="20"/>
      <c r="AG122" s="20"/>
      <c r="AH122" s="20"/>
      <c r="AI122" s="20"/>
      <c r="AJ122" s="20"/>
      <c r="AK122" s="20"/>
      <c r="AL122" s="20"/>
    </row>
    <row r="123" spans="2:38" x14ac:dyDescent="0.25">
      <c r="B123" s="20"/>
      <c r="C123" s="20"/>
      <c r="D123" s="20"/>
      <c r="E123" s="20"/>
      <c r="F123" s="20"/>
      <c r="G123" s="20"/>
      <c r="H123" s="20"/>
      <c r="I123" s="20"/>
      <c r="J123" s="20"/>
      <c r="K123" s="20"/>
      <c r="L123" s="20"/>
      <c r="M123" s="20"/>
      <c r="N123" s="20"/>
      <c r="O123" s="20"/>
      <c r="P123" s="20"/>
      <c r="Q123" s="20"/>
      <c r="R123" s="20"/>
      <c r="S123" s="20"/>
      <c r="T123" s="20"/>
      <c r="U123" s="20"/>
      <c r="V123" s="20"/>
      <c r="W123" s="20"/>
      <c r="X123" s="20"/>
      <c r="Y123" s="20"/>
      <c r="Z123" s="20"/>
      <c r="AA123" s="20"/>
      <c r="AB123" s="20"/>
      <c r="AC123" s="20"/>
      <c r="AD123" s="20"/>
      <c r="AE123" s="20"/>
      <c r="AF123" s="20"/>
      <c r="AG123" s="20"/>
      <c r="AH123" s="20"/>
      <c r="AI123" s="20"/>
      <c r="AJ123" s="20"/>
      <c r="AK123" s="20"/>
      <c r="AL123" s="20"/>
    </row>
    <row r="124" spans="2:38" x14ac:dyDescent="0.25">
      <c r="B124" s="20"/>
      <c r="C124" s="20"/>
      <c r="D124" s="20"/>
      <c r="E124" s="20"/>
      <c r="F124" s="20"/>
      <c r="G124" s="20"/>
      <c r="H124" s="20"/>
      <c r="I124" s="20"/>
      <c r="J124" s="20"/>
      <c r="K124" s="20"/>
      <c r="L124" s="20"/>
      <c r="M124" s="20"/>
      <c r="N124" s="20"/>
      <c r="O124" s="20"/>
      <c r="P124" s="20"/>
      <c r="Q124" s="20"/>
      <c r="R124" s="20"/>
      <c r="S124" s="20"/>
      <c r="T124" s="20"/>
      <c r="U124" s="20"/>
      <c r="V124" s="20"/>
      <c r="W124" s="20"/>
      <c r="X124" s="20"/>
      <c r="Y124" s="20"/>
      <c r="Z124" s="20"/>
      <c r="AA124" s="20"/>
      <c r="AB124" s="20"/>
      <c r="AC124" s="20"/>
      <c r="AD124" s="20"/>
      <c r="AE124" s="20"/>
      <c r="AF124" s="20"/>
      <c r="AG124" s="20"/>
      <c r="AH124" s="20"/>
      <c r="AI124" s="20"/>
      <c r="AJ124" s="20"/>
      <c r="AK124" s="20"/>
      <c r="AL124" s="20"/>
    </row>
    <row r="125" spans="2:38" x14ac:dyDescent="0.25">
      <c r="B125" s="20"/>
      <c r="C125" s="20"/>
      <c r="D125" s="20"/>
      <c r="E125" s="20"/>
      <c r="F125" s="20"/>
      <c r="G125" s="20"/>
      <c r="H125" s="20"/>
      <c r="I125" s="20"/>
      <c r="J125" s="20"/>
      <c r="K125" s="20"/>
      <c r="L125" s="20"/>
      <c r="M125" s="20"/>
      <c r="N125" s="20"/>
      <c r="O125" s="20"/>
      <c r="P125" s="20"/>
      <c r="Q125" s="20"/>
      <c r="R125" s="20"/>
      <c r="S125" s="20"/>
      <c r="T125" s="20"/>
      <c r="U125" s="20"/>
      <c r="V125" s="20"/>
      <c r="W125" s="20"/>
      <c r="X125" s="20"/>
      <c r="Y125" s="20"/>
      <c r="Z125" s="20"/>
      <c r="AA125" s="20"/>
      <c r="AB125" s="20"/>
      <c r="AC125" s="20"/>
      <c r="AD125" s="20"/>
      <c r="AE125" s="20"/>
      <c r="AF125" s="20"/>
      <c r="AG125" s="20"/>
      <c r="AH125" s="20"/>
      <c r="AI125" s="20"/>
      <c r="AJ125" s="20"/>
      <c r="AK125" s="20"/>
      <c r="AL125" s="20"/>
    </row>
    <row r="126" spans="2:38" x14ac:dyDescent="0.25">
      <c r="B126" s="20"/>
      <c r="C126" s="20"/>
      <c r="D126" s="20"/>
      <c r="E126" s="20"/>
      <c r="F126" s="20"/>
      <c r="G126" s="20"/>
      <c r="H126" s="20"/>
      <c r="I126" s="20"/>
      <c r="J126" s="20"/>
      <c r="K126" s="20"/>
      <c r="L126" s="20"/>
      <c r="M126" s="20"/>
      <c r="N126" s="20"/>
      <c r="O126" s="20"/>
      <c r="P126" s="20"/>
      <c r="Q126" s="20"/>
      <c r="R126" s="20"/>
      <c r="S126" s="20"/>
      <c r="T126" s="20"/>
      <c r="U126" s="20"/>
      <c r="V126" s="20"/>
      <c r="W126" s="20"/>
      <c r="X126" s="20"/>
      <c r="Y126" s="20"/>
      <c r="Z126" s="20"/>
      <c r="AA126" s="20"/>
      <c r="AB126" s="20"/>
      <c r="AC126" s="20"/>
      <c r="AD126" s="20"/>
      <c r="AE126" s="20"/>
      <c r="AF126" s="20"/>
      <c r="AG126" s="20"/>
      <c r="AH126" s="20"/>
      <c r="AI126" s="20"/>
      <c r="AJ126" s="20"/>
      <c r="AK126" s="20"/>
      <c r="AL126" s="20"/>
    </row>
    <row r="127" spans="2:38" x14ac:dyDescent="0.25">
      <c r="B127" s="20"/>
      <c r="C127" s="20"/>
      <c r="D127" s="20"/>
      <c r="E127" s="20"/>
      <c r="F127" s="20"/>
      <c r="G127" s="20"/>
      <c r="H127" s="20"/>
      <c r="I127" s="20"/>
      <c r="J127" s="20"/>
      <c r="K127" s="20"/>
      <c r="L127" s="20"/>
      <c r="M127" s="20"/>
      <c r="N127" s="20"/>
      <c r="O127" s="20"/>
      <c r="P127" s="20"/>
      <c r="Q127" s="20"/>
      <c r="R127" s="20"/>
      <c r="S127" s="20"/>
      <c r="T127" s="20"/>
      <c r="U127" s="20"/>
      <c r="V127" s="20"/>
      <c r="W127" s="20"/>
      <c r="X127" s="20"/>
      <c r="Y127" s="20"/>
      <c r="Z127" s="20"/>
      <c r="AA127" s="20"/>
      <c r="AB127" s="20"/>
      <c r="AC127" s="20"/>
      <c r="AD127" s="20"/>
      <c r="AE127" s="20"/>
      <c r="AF127" s="20"/>
      <c r="AG127" s="20"/>
      <c r="AH127" s="20"/>
      <c r="AI127" s="20"/>
      <c r="AJ127" s="20"/>
      <c r="AK127" s="20"/>
      <c r="AL127" s="20"/>
    </row>
    <row r="128" spans="2:38" x14ac:dyDescent="0.25">
      <c r="B128" s="20"/>
      <c r="C128" s="20"/>
      <c r="D128" s="20"/>
      <c r="E128" s="20"/>
      <c r="F128" s="20"/>
      <c r="G128" s="20"/>
      <c r="H128" s="20"/>
      <c r="I128" s="20"/>
      <c r="J128" s="20"/>
      <c r="K128" s="20"/>
      <c r="L128" s="20"/>
      <c r="M128" s="20"/>
      <c r="N128" s="20"/>
      <c r="O128" s="20"/>
      <c r="P128" s="20"/>
      <c r="Q128" s="20"/>
      <c r="R128" s="20"/>
      <c r="S128" s="20"/>
      <c r="T128" s="20"/>
      <c r="U128" s="20"/>
      <c r="V128" s="20"/>
      <c r="W128" s="20"/>
      <c r="X128" s="20"/>
      <c r="Y128" s="20"/>
      <c r="Z128" s="20"/>
      <c r="AA128" s="20"/>
      <c r="AB128" s="20"/>
      <c r="AC128" s="20"/>
      <c r="AD128" s="20"/>
      <c r="AE128" s="20"/>
      <c r="AF128" s="20"/>
      <c r="AG128" s="20"/>
      <c r="AH128" s="20"/>
      <c r="AI128" s="20"/>
      <c r="AJ128" s="20"/>
      <c r="AK128" s="20"/>
      <c r="AL128" s="20"/>
    </row>
    <row r="129" spans="2:38" x14ac:dyDescent="0.25">
      <c r="B129" s="20"/>
      <c r="C129" s="20"/>
      <c r="D129" s="20"/>
      <c r="E129" s="20"/>
      <c r="F129" s="20"/>
      <c r="G129" s="20"/>
      <c r="H129" s="20"/>
      <c r="I129" s="20"/>
      <c r="J129" s="20"/>
      <c r="K129" s="20"/>
      <c r="L129" s="20"/>
      <c r="M129" s="20"/>
      <c r="N129" s="20"/>
      <c r="O129" s="20"/>
      <c r="P129" s="20"/>
      <c r="Q129" s="20"/>
      <c r="R129" s="20"/>
      <c r="S129" s="20"/>
      <c r="T129" s="20"/>
      <c r="U129" s="20"/>
      <c r="V129" s="20"/>
      <c r="W129" s="20"/>
      <c r="X129" s="20"/>
      <c r="Y129" s="20"/>
      <c r="Z129" s="20"/>
      <c r="AA129" s="20"/>
      <c r="AB129" s="20"/>
      <c r="AC129" s="20"/>
      <c r="AD129" s="20"/>
      <c r="AE129" s="20"/>
      <c r="AF129" s="20"/>
      <c r="AG129" s="20"/>
      <c r="AH129" s="20"/>
      <c r="AI129" s="20"/>
      <c r="AJ129" s="20"/>
      <c r="AK129" s="20"/>
      <c r="AL129" s="20"/>
    </row>
    <row r="130" spans="2:38" x14ac:dyDescent="0.25">
      <c r="B130" s="20"/>
      <c r="C130" s="20"/>
      <c r="D130" s="20"/>
      <c r="E130" s="20"/>
      <c r="F130" s="20"/>
      <c r="G130" s="20"/>
      <c r="H130" s="20"/>
      <c r="I130" s="20"/>
      <c r="J130" s="20"/>
      <c r="K130" s="20"/>
      <c r="L130" s="20"/>
      <c r="M130" s="20"/>
      <c r="N130" s="20"/>
      <c r="O130" s="20"/>
      <c r="P130" s="20"/>
      <c r="Q130" s="20"/>
      <c r="R130" s="20"/>
      <c r="S130" s="20"/>
      <c r="T130" s="20"/>
      <c r="U130" s="20"/>
      <c r="V130" s="20"/>
      <c r="W130" s="20"/>
      <c r="X130" s="20"/>
      <c r="Y130" s="20"/>
      <c r="Z130" s="20"/>
      <c r="AA130" s="20"/>
      <c r="AB130" s="20"/>
      <c r="AC130" s="20"/>
      <c r="AD130" s="20"/>
      <c r="AE130" s="20"/>
      <c r="AF130" s="20"/>
      <c r="AG130" s="20"/>
      <c r="AH130" s="20"/>
      <c r="AI130" s="20"/>
      <c r="AJ130" s="20"/>
      <c r="AK130" s="20"/>
      <c r="AL130" s="20"/>
    </row>
    <row r="131" spans="2:38" x14ac:dyDescent="0.25">
      <c r="B131" s="20"/>
      <c r="C131" s="20"/>
      <c r="D131" s="20"/>
      <c r="E131" s="20"/>
      <c r="F131" s="20"/>
      <c r="G131" s="20"/>
      <c r="H131" s="20"/>
      <c r="I131" s="20"/>
      <c r="J131" s="20"/>
      <c r="K131" s="20"/>
      <c r="L131" s="20"/>
      <c r="M131" s="20"/>
      <c r="N131" s="20"/>
      <c r="O131" s="20"/>
      <c r="P131" s="20"/>
      <c r="Q131" s="20"/>
      <c r="R131" s="20"/>
      <c r="S131" s="20"/>
      <c r="T131" s="20"/>
      <c r="U131" s="20"/>
      <c r="V131" s="20"/>
      <c r="W131" s="20"/>
      <c r="X131" s="20"/>
      <c r="Y131" s="20"/>
      <c r="Z131" s="20"/>
      <c r="AA131" s="20"/>
      <c r="AB131" s="20"/>
      <c r="AC131" s="20"/>
      <c r="AD131" s="20"/>
      <c r="AE131" s="20"/>
      <c r="AF131" s="20"/>
      <c r="AG131" s="20"/>
      <c r="AH131" s="20"/>
      <c r="AI131" s="20"/>
      <c r="AJ131" s="20"/>
      <c r="AK131" s="20"/>
      <c r="AL131" s="20"/>
    </row>
    <row r="132" spans="2:38" x14ac:dyDescent="0.25">
      <c r="B132" s="20"/>
      <c r="C132" s="20"/>
      <c r="D132" s="20"/>
      <c r="E132" s="20"/>
      <c r="F132" s="20"/>
      <c r="G132" s="20"/>
      <c r="H132" s="20"/>
      <c r="I132" s="20"/>
      <c r="J132" s="20"/>
      <c r="K132" s="20"/>
      <c r="L132" s="20"/>
      <c r="M132" s="20"/>
      <c r="N132" s="20"/>
      <c r="O132" s="20"/>
      <c r="P132" s="20"/>
      <c r="Q132" s="20"/>
      <c r="R132" s="20"/>
      <c r="S132" s="20"/>
      <c r="T132" s="20"/>
      <c r="U132" s="20"/>
      <c r="V132" s="20"/>
      <c r="W132" s="20"/>
      <c r="X132" s="20"/>
      <c r="Y132" s="20"/>
      <c r="Z132" s="20"/>
      <c r="AA132" s="20"/>
      <c r="AB132" s="20"/>
      <c r="AC132" s="20"/>
      <c r="AD132" s="20"/>
      <c r="AE132" s="20"/>
      <c r="AF132" s="20"/>
      <c r="AG132" s="20"/>
      <c r="AH132" s="20"/>
      <c r="AI132" s="20"/>
      <c r="AJ132" s="20"/>
      <c r="AK132" s="20"/>
      <c r="AL132" s="20"/>
    </row>
    <row r="133" spans="2:38" x14ac:dyDescent="0.25">
      <c r="B133" s="20"/>
      <c r="C133" s="20"/>
      <c r="D133" s="20"/>
      <c r="E133" s="20"/>
      <c r="F133" s="20"/>
      <c r="G133" s="20"/>
      <c r="H133" s="20"/>
      <c r="I133" s="20"/>
      <c r="J133" s="20"/>
      <c r="K133" s="20"/>
      <c r="L133" s="20"/>
      <c r="M133" s="20"/>
      <c r="N133" s="20"/>
      <c r="O133" s="20"/>
      <c r="P133" s="20"/>
      <c r="Q133" s="20"/>
      <c r="R133" s="20"/>
      <c r="S133" s="20"/>
      <c r="T133" s="20"/>
      <c r="U133" s="20"/>
      <c r="V133" s="20"/>
      <c r="W133" s="20"/>
      <c r="X133" s="20"/>
      <c r="Y133" s="20"/>
      <c r="Z133" s="20"/>
      <c r="AA133" s="20"/>
      <c r="AB133" s="20"/>
      <c r="AC133" s="20"/>
      <c r="AD133" s="20"/>
      <c r="AE133" s="20"/>
      <c r="AF133" s="20"/>
      <c r="AG133" s="20"/>
      <c r="AH133" s="20"/>
      <c r="AI133" s="20"/>
      <c r="AJ133" s="20"/>
      <c r="AK133" s="20"/>
      <c r="AL133" s="20"/>
    </row>
    <row r="134" spans="2:38" x14ac:dyDescent="0.25">
      <c r="B134" s="20"/>
      <c r="C134" s="20"/>
      <c r="D134" s="20"/>
      <c r="E134" s="20"/>
      <c r="F134" s="20"/>
      <c r="G134" s="20"/>
      <c r="H134" s="20"/>
      <c r="I134" s="20"/>
      <c r="J134" s="20"/>
      <c r="K134" s="20"/>
      <c r="L134" s="20"/>
      <c r="M134" s="20"/>
      <c r="N134" s="20"/>
      <c r="O134" s="20"/>
      <c r="P134" s="20"/>
      <c r="Q134" s="20"/>
      <c r="R134" s="20"/>
      <c r="S134" s="20"/>
      <c r="T134" s="20"/>
      <c r="U134" s="20"/>
      <c r="V134" s="20"/>
      <c r="W134" s="20"/>
      <c r="X134" s="20"/>
      <c r="Y134" s="20"/>
      <c r="Z134" s="20"/>
      <c r="AA134" s="20"/>
      <c r="AB134" s="20"/>
      <c r="AC134" s="20"/>
      <c r="AD134" s="20"/>
      <c r="AE134" s="20"/>
      <c r="AF134" s="20"/>
      <c r="AG134" s="20"/>
      <c r="AH134" s="20"/>
      <c r="AI134" s="20"/>
      <c r="AJ134" s="20"/>
      <c r="AK134" s="20"/>
      <c r="AL134" s="20"/>
    </row>
    <row r="135" spans="2:38" x14ac:dyDescent="0.25">
      <c r="B135" s="20"/>
      <c r="C135" s="20"/>
      <c r="D135" s="20"/>
      <c r="E135" s="20"/>
      <c r="F135" s="20"/>
      <c r="G135" s="20"/>
      <c r="H135" s="20"/>
      <c r="I135" s="20"/>
      <c r="J135" s="20"/>
      <c r="K135" s="20"/>
      <c r="L135" s="20"/>
      <c r="M135" s="20"/>
      <c r="N135" s="20"/>
      <c r="O135" s="20"/>
      <c r="P135" s="20"/>
      <c r="Q135" s="20"/>
      <c r="R135" s="20"/>
      <c r="S135" s="20"/>
      <c r="T135" s="20"/>
      <c r="U135" s="20"/>
      <c r="V135" s="20"/>
      <c r="W135" s="20"/>
      <c r="X135" s="20"/>
      <c r="Y135" s="20"/>
      <c r="Z135" s="20"/>
      <c r="AA135" s="20"/>
      <c r="AB135" s="20"/>
      <c r="AC135" s="20"/>
      <c r="AD135" s="20"/>
      <c r="AE135" s="20"/>
      <c r="AF135" s="20"/>
      <c r="AG135" s="20"/>
      <c r="AH135" s="20"/>
      <c r="AI135" s="20"/>
      <c r="AJ135" s="20"/>
      <c r="AK135" s="20"/>
      <c r="AL135" s="20"/>
    </row>
    <row r="136" spans="2:38" x14ac:dyDescent="0.25">
      <c r="B136" s="20"/>
      <c r="C136" s="20"/>
      <c r="D136" s="20"/>
      <c r="E136" s="20"/>
      <c r="F136" s="20"/>
      <c r="G136" s="20"/>
      <c r="H136" s="20"/>
      <c r="I136" s="20"/>
      <c r="J136" s="20"/>
      <c r="K136" s="20"/>
      <c r="L136" s="20"/>
      <c r="M136" s="20"/>
      <c r="N136" s="20"/>
      <c r="O136" s="20"/>
      <c r="P136" s="20"/>
      <c r="Q136" s="20"/>
      <c r="R136" s="20"/>
      <c r="S136" s="20"/>
      <c r="T136" s="20"/>
      <c r="U136" s="20"/>
      <c r="V136" s="20"/>
      <c r="W136" s="20"/>
      <c r="X136" s="20"/>
      <c r="Y136" s="20"/>
      <c r="Z136" s="20"/>
      <c r="AA136" s="20"/>
      <c r="AB136" s="20"/>
      <c r="AC136" s="20"/>
      <c r="AD136" s="20"/>
      <c r="AE136" s="20"/>
      <c r="AF136" s="20"/>
      <c r="AG136" s="20"/>
      <c r="AH136" s="20"/>
      <c r="AI136" s="20"/>
      <c r="AJ136" s="20"/>
      <c r="AK136" s="20"/>
      <c r="AL136" s="20"/>
    </row>
    <row r="137" spans="2:38" x14ac:dyDescent="0.25">
      <c r="B137" s="20"/>
      <c r="C137" s="20"/>
      <c r="D137" s="20"/>
      <c r="E137" s="20"/>
      <c r="F137" s="20"/>
      <c r="G137" s="20"/>
      <c r="H137" s="20"/>
      <c r="I137" s="20"/>
      <c r="J137" s="20"/>
      <c r="K137" s="20"/>
      <c r="L137" s="20"/>
      <c r="M137" s="20"/>
      <c r="N137" s="20"/>
      <c r="O137" s="20"/>
      <c r="P137" s="20"/>
      <c r="Q137" s="20"/>
      <c r="R137" s="20"/>
      <c r="S137" s="20"/>
      <c r="T137" s="20"/>
      <c r="U137" s="20"/>
      <c r="V137" s="20"/>
      <c r="W137" s="20"/>
      <c r="X137" s="20"/>
      <c r="Y137" s="20"/>
      <c r="Z137" s="20"/>
      <c r="AA137" s="20"/>
      <c r="AB137" s="20"/>
      <c r="AC137" s="20"/>
      <c r="AD137" s="20"/>
      <c r="AE137" s="20"/>
      <c r="AF137" s="20"/>
      <c r="AG137" s="20"/>
      <c r="AH137" s="20"/>
      <c r="AI137" s="20"/>
      <c r="AJ137" s="20"/>
      <c r="AK137" s="20"/>
      <c r="AL137" s="20"/>
    </row>
    <row r="138" spans="2:38" x14ac:dyDescent="0.25">
      <c r="B138" s="20"/>
      <c r="C138" s="20"/>
      <c r="D138" s="20"/>
      <c r="E138" s="20"/>
      <c r="F138" s="20"/>
      <c r="G138" s="20"/>
      <c r="H138" s="20"/>
      <c r="I138" s="20"/>
      <c r="J138" s="20"/>
      <c r="K138" s="20"/>
      <c r="L138" s="20"/>
      <c r="M138" s="20"/>
      <c r="N138" s="20"/>
      <c r="O138" s="20"/>
      <c r="P138" s="20"/>
      <c r="Q138" s="20"/>
      <c r="R138" s="20"/>
      <c r="S138" s="20"/>
      <c r="T138" s="20"/>
      <c r="U138" s="20"/>
      <c r="V138" s="20"/>
      <c r="W138" s="20"/>
      <c r="X138" s="20"/>
      <c r="Y138" s="20"/>
      <c r="Z138" s="20"/>
      <c r="AA138" s="20"/>
      <c r="AB138" s="20"/>
      <c r="AC138" s="20"/>
      <c r="AD138" s="20"/>
      <c r="AE138" s="20"/>
      <c r="AF138" s="20"/>
      <c r="AG138" s="20"/>
      <c r="AH138" s="20"/>
      <c r="AI138" s="20"/>
      <c r="AJ138" s="20"/>
      <c r="AK138" s="20"/>
      <c r="AL138" s="20"/>
    </row>
    <row r="139" spans="2:38" x14ac:dyDescent="0.25">
      <c r="B139" s="20"/>
      <c r="C139" s="20"/>
      <c r="D139" s="20"/>
      <c r="E139" s="20"/>
      <c r="F139" s="20"/>
      <c r="G139" s="20"/>
      <c r="H139" s="20"/>
      <c r="I139" s="20"/>
      <c r="J139" s="20"/>
      <c r="K139" s="20"/>
      <c r="L139" s="20"/>
      <c r="M139" s="20"/>
      <c r="N139" s="20"/>
      <c r="O139" s="20"/>
      <c r="P139" s="20"/>
      <c r="Q139" s="20"/>
      <c r="R139" s="20"/>
      <c r="S139" s="20"/>
      <c r="T139" s="20"/>
      <c r="U139" s="20"/>
      <c r="V139" s="20"/>
      <c r="W139" s="20"/>
      <c r="X139" s="20"/>
      <c r="Y139" s="20"/>
      <c r="Z139" s="20"/>
      <c r="AA139" s="20"/>
      <c r="AB139" s="20"/>
      <c r="AC139" s="20"/>
      <c r="AD139" s="20"/>
      <c r="AE139" s="20"/>
      <c r="AF139" s="20"/>
      <c r="AG139" s="20"/>
      <c r="AH139" s="20"/>
      <c r="AI139" s="20"/>
      <c r="AJ139" s="20"/>
      <c r="AK139" s="20"/>
      <c r="AL139" s="20"/>
    </row>
    <row r="140" spans="2:38" x14ac:dyDescent="0.25">
      <c r="B140" s="20"/>
      <c r="C140" s="20"/>
      <c r="D140" s="20"/>
      <c r="E140" s="20"/>
      <c r="F140" s="20"/>
      <c r="G140" s="20"/>
      <c r="H140" s="20"/>
      <c r="I140" s="20"/>
      <c r="J140" s="20"/>
      <c r="K140" s="20"/>
      <c r="L140" s="20"/>
      <c r="M140" s="20"/>
      <c r="N140" s="20"/>
      <c r="O140" s="20"/>
      <c r="P140" s="20"/>
      <c r="Q140" s="20"/>
      <c r="R140" s="20"/>
      <c r="S140" s="20"/>
      <c r="T140" s="20"/>
      <c r="U140" s="20"/>
      <c r="V140" s="20"/>
      <c r="W140" s="20"/>
      <c r="X140" s="20"/>
      <c r="Y140" s="20"/>
      <c r="Z140" s="20"/>
      <c r="AA140" s="20"/>
      <c r="AB140" s="20"/>
      <c r="AC140" s="20"/>
      <c r="AD140" s="20"/>
      <c r="AE140" s="20"/>
      <c r="AF140" s="20"/>
      <c r="AG140" s="20"/>
      <c r="AH140" s="20"/>
      <c r="AI140" s="20"/>
      <c r="AJ140" s="20"/>
      <c r="AK140" s="20"/>
      <c r="AL140" s="20"/>
    </row>
    <row r="141" spans="2:38" x14ac:dyDescent="0.25">
      <c r="B141" s="20"/>
      <c r="C141" s="20"/>
      <c r="D141" s="20"/>
      <c r="E141" s="20"/>
      <c r="F141" s="20"/>
      <c r="G141" s="20"/>
      <c r="H141" s="20"/>
      <c r="I141" s="20"/>
      <c r="J141" s="20"/>
      <c r="K141" s="20"/>
      <c r="L141" s="20"/>
      <c r="M141" s="20"/>
      <c r="N141" s="20"/>
      <c r="O141" s="20"/>
      <c r="P141" s="20"/>
      <c r="Q141" s="20"/>
      <c r="R141" s="20"/>
      <c r="S141" s="20"/>
      <c r="T141" s="20"/>
      <c r="U141" s="20"/>
      <c r="V141" s="20"/>
      <c r="W141" s="20"/>
      <c r="X141" s="20"/>
      <c r="Y141" s="20"/>
      <c r="Z141" s="20"/>
      <c r="AA141" s="20"/>
      <c r="AB141" s="20"/>
      <c r="AC141" s="20"/>
      <c r="AD141" s="20"/>
      <c r="AE141" s="20"/>
      <c r="AF141" s="20"/>
      <c r="AG141" s="20"/>
      <c r="AH141" s="20"/>
      <c r="AI141" s="20"/>
      <c r="AJ141" s="20"/>
      <c r="AK141" s="20"/>
      <c r="AL141" s="20"/>
    </row>
    <row r="142" spans="2:38" x14ac:dyDescent="0.25">
      <c r="B142" s="20"/>
      <c r="C142" s="20"/>
      <c r="D142" s="20"/>
      <c r="E142" s="20"/>
      <c r="F142" s="20"/>
      <c r="G142" s="20"/>
      <c r="H142" s="20"/>
      <c r="I142" s="20"/>
      <c r="J142" s="20"/>
      <c r="K142" s="20"/>
      <c r="L142" s="20"/>
      <c r="M142" s="20"/>
      <c r="N142" s="20"/>
      <c r="O142" s="20"/>
      <c r="P142" s="20"/>
      <c r="Q142" s="20"/>
      <c r="R142" s="20"/>
      <c r="S142" s="20"/>
      <c r="T142" s="20"/>
      <c r="U142" s="20"/>
      <c r="V142" s="20"/>
      <c r="W142" s="20"/>
      <c r="X142" s="20"/>
      <c r="Y142" s="20"/>
      <c r="Z142" s="20"/>
      <c r="AA142" s="20"/>
      <c r="AB142" s="20"/>
      <c r="AC142" s="20"/>
      <c r="AD142" s="20"/>
      <c r="AE142" s="20"/>
      <c r="AF142" s="20"/>
      <c r="AG142" s="20"/>
      <c r="AH142" s="20"/>
      <c r="AI142" s="20"/>
      <c r="AJ142" s="20"/>
      <c r="AK142" s="20"/>
      <c r="AL142" s="20"/>
    </row>
    <row r="143" spans="2:38" x14ac:dyDescent="0.25">
      <c r="B143" s="20"/>
      <c r="C143" s="20"/>
      <c r="D143" s="20"/>
      <c r="E143" s="20"/>
      <c r="F143" s="20"/>
      <c r="G143" s="20"/>
      <c r="H143" s="20"/>
      <c r="I143" s="20"/>
      <c r="J143" s="20"/>
      <c r="K143" s="20"/>
      <c r="L143" s="20"/>
      <c r="M143" s="20"/>
      <c r="N143" s="20"/>
      <c r="O143" s="20"/>
      <c r="P143" s="20"/>
      <c r="Q143" s="20"/>
      <c r="R143" s="20"/>
      <c r="S143" s="20"/>
      <c r="T143" s="20"/>
      <c r="U143" s="20"/>
      <c r="V143" s="20"/>
      <c r="W143" s="20"/>
      <c r="X143" s="20"/>
      <c r="Y143" s="20"/>
      <c r="Z143" s="20"/>
      <c r="AA143" s="20"/>
      <c r="AB143" s="20"/>
      <c r="AC143" s="20"/>
      <c r="AD143" s="20"/>
      <c r="AE143" s="20"/>
      <c r="AF143" s="20"/>
      <c r="AG143" s="20"/>
      <c r="AH143" s="20"/>
      <c r="AI143" s="20"/>
      <c r="AJ143" s="20"/>
      <c r="AK143" s="20"/>
      <c r="AL143" s="20"/>
    </row>
    <row r="144" spans="2:38" x14ac:dyDescent="0.25">
      <c r="B144" s="20"/>
      <c r="C144" s="20"/>
      <c r="D144" s="20"/>
      <c r="E144" s="20"/>
      <c r="F144" s="20"/>
      <c r="G144" s="20"/>
      <c r="H144" s="20"/>
      <c r="I144" s="20"/>
      <c r="J144" s="20"/>
      <c r="K144" s="20"/>
      <c r="L144" s="20"/>
      <c r="M144" s="20"/>
      <c r="N144" s="20"/>
      <c r="O144" s="20"/>
      <c r="P144" s="20"/>
      <c r="Q144" s="20"/>
      <c r="R144" s="20"/>
      <c r="S144" s="20"/>
      <c r="T144" s="20"/>
      <c r="U144" s="20"/>
      <c r="V144" s="20"/>
      <c r="W144" s="20"/>
      <c r="X144" s="20"/>
      <c r="Y144" s="20"/>
      <c r="Z144" s="20"/>
      <c r="AA144" s="20"/>
      <c r="AB144" s="20"/>
      <c r="AC144" s="20"/>
      <c r="AD144" s="20"/>
      <c r="AE144" s="20"/>
      <c r="AF144" s="20"/>
      <c r="AG144" s="20"/>
      <c r="AH144" s="20"/>
      <c r="AI144" s="20"/>
      <c r="AJ144" s="20"/>
      <c r="AK144" s="20"/>
      <c r="AL144" s="20"/>
    </row>
    <row r="145" spans="2:38" x14ac:dyDescent="0.25">
      <c r="B145" s="20"/>
      <c r="C145" s="20"/>
      <c r="D145" s="20"/>
      <c r="E145" s="20"/>
      <c r="F145" s="20"/>
      <c r="G145" s="20"/>
      <c r="H145" s="20"/>
      <c r="I145" s="20"/>
      <c r="J145" s="20"/>
      <c r="K145" s="20"/>
      <c r="L145" s="20"/>
      <c r="M145" s="20"/>
      <c r="N145" s="20"/>
      <c r="O145" s="20"/>
      <c r="P145" s="20"/>
      <c r="Q145" s="20"/>
      <c r="R145" s="20"/>
      <c r="S145" s="20"/>
      <c r="T145" s="20"/>
      <c r="U145" s="20"/>
      <c r="V145" s="20"/>
      <c r="W145" s="20"/>
      <c r="X145" s="20"/>
      <c r="Y145" s="20"/>
      <c r="Z145" s="20"/>
      <c r="AA145" s="20"/>
      <c r="AB145" s="20"/>
      <c r="AC145" s="20"/>
      <c r="AD145" s="20"/>
      <c r="AE145" s="20"/>
      <c r="AF145" s="20"/>
      <c r="AG145" s="20"/>
      <c r="AH145" s="20"/>
      <c r="AI145" s="20"/>
      <c r="AJ145" s="20"/>
      <c r="AK145" s="20"/>
      <c r="AL145" s="20"/>
    </row>
    <row r="146" spans="2:38" x14ac:dyDescent="0.25">
      <c r="B146" s="20"/>
      <c r="C146" s="20"/>
      <c r="D146" s="20"/>
      <c r="E146" s="20"/>
      <c r="F146" s="20"/>
      <c r="G146" s="20"/>
      <c r="H146" s="20"/>
      <c r="I146" s="20"/>
      <c r="J146" s="20"/>
      <c r="K146" s="20"/>
      <c r="L146" s="20"/>
      <c r="M146" s="20"/>
      <c r="N146" s="20"/>
      <c r="O146" s="20"/>
      <c r="P146" s="20"/>
      <c r="Q146" s="20"/>
      <c r="R146" s="20"/>
      <c r="S146" s="20"/>
      <c r="T146" s="20"/>
      <c r="U146" s="20"/>
      <c r="V146" s="20"/>
      <c r="W146" s="20"/>
      <c r="X146" s="20"/>
      <c r="Y146" s="20"/>
      <c r="Z146" s="20"/>
      <c r="AA146" s="20"/>
      <c r="AB146" s="20"/>
      <c r="AC146" s="20"/>
      <c r="AD146" s="20"/>
      <c r="AE146" s="20"/>
      <c r="AF146" s="20"/>
      <c r="AG146" s="20"/>
      <c r="AH146" s="20"/>
      <c r="AI146" s="20"/>
      <c r="AJ146" s="20"/>
      <c r="AK146" s="20"/>
      <c r="AL146" s="20"/>
    </row>
    <row r="147" spans="2:38" x14ac:dyDescent="0.25">
      <c r="B147" s="20"/>
      <c r="C147" s="20"/>
      <c r="D147" s="20"/>
      <c r="E147" s="20"/>
      <c r="F147" s="20"/>
      <c r="G147" s="20"/>
      <c r="H147" s="20"/>
      <c r="I147" s="20"/>
      <c r="J147" s="20"/>
      <c r="K147" s="20"/>
      <c r="L147" s="20"/>
      <c r="M147" s="20"/>
      <c r="N147" s="20"/>
      <c r="O147" s="20"/>
      <c r="P147" s="20"/>
      <c r="Q147" s="20"/>
      <c r="R147" s="20"/>
      <c r="S147" s="20"/>
      <c r="T147" s="20"/>
      <c r="U147" s="20"/>
      <c r="V147" s="20"/>
      <c r="W147" s="20"/>
      <c r="X147" s="20"/>
      <c r="Y147" s="20"/>
      <c r="Z147" s="20"/>
      <c r="AA147" s="20"/>
      <c r="AB147" s="20"/>
      <c r="AC147" s="20"/>
      <c r="AD147" s="20"/>
      <c r="AE147" s="20"/>
      <c r="AF147" s="20"/>
      <c r="AG147" s="20"/>
      <c r="AH147" s="20"/>
      <c r="AI147" s="20"/>
      <c r="AJ147" s="20"/>
      <c r="AK147" s="20"/>
      <c r="AL147" s="20"/>
    </row>
    <row r="148" spans="2:38" x14ac:dyDescent="0.25">
      <c r="B148" s="20"/>
      <c r="C148" s="20"/>
      <c r="D148" s="20"/>
      <c r="E148" s="20"/>
      <c r="F148" s="20"/>
      <c r="G148" s="20"/>
      <c r="H148" s="20"/>
      <c r="I148" s="20"/>
      <c r="J148" s="20"/>
      <c r="K148" s="20"/>
      <c r="L148" s="20"/>
      <c r="M148" s="20"/>
      <c r="N148" s="20"/>
      <c r="O148" s="20"/>
      <c r="P148" s="20"/>
      <c r="Q148" s="20"/>
      <c r="R148" s="20"/>
      <c r="S148" s="20"/>
      <c r="T148" s="20"/>
      <c r="U148" s="20"/>
      <c r="V148" s="20"/>
      <c r="W148" s="20"/>
      <c r="X148" s="20"/>
      <c r="Y148" s="20"/>
      <c r="Z148" s="20"/>
      <c r="AA148" s="20"/>
      <c r="AB148" s="20"/>
      <c r="AC148" s="20"/>
      <c r="AD148" s="20"/>
      <c r="AE148" s="20"/>
      <c r="AF148" s="20"/>
      <c r="AG148" s="20"/>
      <c r="AH148" s="20"/>
      <c r="AI148" s="20"/>
      <c r="AJ148" s="20"/>
      <c r="AK148" s="20"/>
      <c r="AL148" s="20"/>
    </row>
    <row r="149" spans="2:38" x14ac:dyDescent="0.25">
      <c r="B149" s="20"/>
      <c r="C149" s="20"/>
      <c r="D149" s="20"/>
      <c r="E149" s="20"/>
      <c r="F149" s="20"/>
      <c r="G149" s="20"/>
      <c r="H149" s="20"/>
      <c r="I149" s="20"/>
      <c r="J149" s="20"/>
      <c r="K149" s="20"/>
      <c r="L149" s="20"/>
      <c r="M149" s="20"/>
      <c r="N149" s="20"/>
      <c r="O149" s="20"/>
      <c r="P149" s="20"/>
      <c r="Q149" s="20"/>
      <c r="R149" s="20"/>
      <c r="S149" s="20"/>
      <c r="T149" s="20"/>
      <c r="U149" s="20"/>
      <c r="V149" s="20"/>
      <c r="W149" s="20"/>
      <c r="X149" s="20"/>
      <c r="Y149" s="20"/>
      <c r="Z149" s="20"/>
      <c r="AA149" s="20"/>
      <c r="AB149" s="20"/>
      <c r="AC149" s="20"/>
      <c r="AD149" s="20"/>
      <c r="AE149" s="20"/>
      <c r="AF149" s="20"/>
      <c r="AG149" s="20"/>
      <c r="AH149" s="20"/>
      <c r="AI149" s="20"/>
      <c r="AJ149" s="20"/>
      <c r="AK149" s="20"/>
      <c r="AL149" s="20"/>
    </row>
    <row r="150" spans="2:38" x14ac:dyDescent="0.25">
      <c r="B150" s="20"/>
      <c r="C150" s="20"/>
      <c r="D150" s="20"/>
      <c r="E150" s="20"/>
      <c r="F150" s="20"/>
      <c r="G150" s="20"/>
      <c r="H150" s="20"/>
      <c r="I150" s="20"/>
      <c r="J150" s="20"/>
      <c r="K150" s="20"/>
      <c r="L150" s="20"/>
      <c r="M150" s="20"/>
      <c r="N150" s="20"/>
      <c r="O150" s="20"/>
      <c r="P150" s="20"/>
      <c r="Q150" s="20"/>
      <c r="R150" s="20"/>
      <c r="S150" s="20"/>
      <c r="T150" s="20"/>
      <c r="U150" s="20"/>
      <c r="V150" s="20"/>
      <c r="W150" s="20"/>
      <c r="X150" s="20"/>
      <c r="Y150" s="20"/>
      <c r="Z150" s="20"/>
      <c r="AA150" s="20"/>
      <c r="AB150" s="20"/>
      <c r="AC150" s="20"/>
      <c r="AD150" s="20"/>
      <c r="AE150" s="20"/>
      <c r="AF150" s="20"/>
      <c r="AG150" s="20"/>
      <c r="AH150" s="20"/>
      <c r="AI150" s="20"/>
      <c r="AJ150" s="20"/>
      <c r="AK150" s="20"/>
      <c r="AL150" s="20"/>
    </row>
    <row r="151" spans="2:38" x14ac:dyDescent="0.25">
      <c r="B151" s="20"/>
      <c r="C151" s="20"/>
      <c r="D151" s="20"/>
      <c r="E151" s="20"/>
      <c r="F151" s="20"/>
      <c r="G151" s="20"/>
      <c r="H151" s="20"/>
      <c r="I151" s="20"/>
      <c r="J151" s="20"/>
      <c r="K151" s="20"/>
      <c r="L151" s="20"/>
      <c r="M151" s="20"/>
      <c r="N151" s="20"/>
      <c r="O151" s="20"/>
      <c r="P151" s="20"/>
      <c r="Q151" s="20"/>
      <c r="R151" s="20"/>
      <c r="S151" s="20"/>
      <c r="T151" s="20"/>
      <c r="U151" s="20"/>
      <c r="V151" s="20"/>
      <c r="W151" s="20"/>
      <c r="X151" s="20"/>
      <c r="Y151" s="20"/>
      <c r="Z151" s="20"/>
      <c r="AA151" s="20"/>
      <c r="AB151" s="20"/>
      <c r="AC151" s="20"/>
      <c r="AD151" s="20"/>
      <c r="AE151" s="20"/>
      <c r="AF151" s="20"/>
      <c r="AG151" s="20"/>
      <c r="AH151" s="20"/>
      <c r="AI151" s="20"/>
      <c r="AJ151" s="20"/>
      <c r="AK151" s="20"/>
      <c r="AL151" s="20"/>
    </row>
    <row r="152" spans="2:38" x14ac:dyDescent="0.25">
      <c r="B152" s="20"/>
      <c r="C152" s="20"/>
      <c r="D152" s="20"/>
      <c r="E152" s="20"/>
      <c r="F152" s="20"/>
      <c r="G152" s="20"/>
      <c r="H152" s="20"/>
      <c r="I152" s="20"/>
      <c r="J152" s="20"/>
      <c r="K152" s="20"/>
      <c r="L152" s="20"/>
      <c r="M152" s="20"/>
      <c r="N152" s="20"/>
      <c r="O152" s="20"/>
      <c r="P152" s="20"/>
      <c r="Q152" s="20"/>
      <c r="R152" s="20"/>
      <c r="S152" s="20"/>
      <c r="T152" s="20"/>
      <c r="U152" s="20"/>
      <c r="V152" s="20"/>
      <c r="W152" s="20"/>
      <c r="X152" s="20"/>
      <c r="Y152" s="20"/>
      <c r="Z152" s="20"/>
      <c r="AA152" s="20"/>
      <c r="AB152" s="20"/>
      <c r="AC152" s="20"/>
      <c r="AD152" s="20"/>
      <c r="AE152" s="20"/>
      <c r="AF152" s="20"/>
      <c r="AG152" s="20"/>
      <c r="AH152" s="20"/>
      <c r="AI152" s="20"/>
      <c r="AJ152" s="20"/>
      <c r="AK152" s="20"/>
      <c r="AL152" s="20"/>
    </row>
    <row r="153" spans="2:38" x14ac:dyDescent="0.25">
      <c r="B153" s="20"/>
      <c r="C153" s="20"/>
      <c r="D153" s="20"/>
      <c r="E153" s="20"/>
      <c r="F153" s="20"/>
      <c r="G153" s="20"/>
      <c r="H153" s="20"/>
      <c r="I153" s="20"/>
      <c r="J153" s="20"/>
      <c r="K153" s="20"/>
      <c r="L153" s="20"/>
      <c r="M153" s="20"/>
      <c r="N153" s="20"/>
      <c r="O153" s="20"/>
      <c r="P153" s="20"/>
      <c r="Q153" s="20"/>
      <c r="R153" s="20"/>
      <c r="S153" s="20"/>
      <c r="T153" s="20"/>
      <c r="U153" s="20"/>
      <c r="V153" s="20"/>
      <c r="W153" s="20"/>
      <c r="X153" s="20"/>
      <c r="Y153" s="20"/>
      <c r="Z153" s="20"/>
      <c r="AA153" s="20"/>
      <c r="AB153" s="20"/>
      <c r="AC153" s="20"/>
      <c r="AD153" s="20"/>
      <c r="AE153" s="20"/>
      <c r="AF153" s="20"/>
      <c r="AG153" s="20"/>
      <c r="AH153" s="20"/>
      <c r="AI153" s="20"/>
      <c r="AJ153" s="20"/>
      <c r="AK153" s="20"/>
      <c r="AL153" s="20"/>
    </row>
    <row r="154" spans="2:38" x14ac:dyDescent="0.25">
      <c r="B154" s="20"/>
      <c r="C154" s="20"/>
      <c r="D154" s="20"/>
      <c r="E154" s="20"/>
      <c r="F154" s="20"/>
      <c r="G154" s="20"/>
      <c r="H154" s="20"/>
      <c r="I154" s="20"/>
      <c r="J154" s="20"/>
      <c r="K154" s="20"/>
      <c r="L154" s="20"/>
      <c r="M154" s="20"/>
      <c r="N154" s="20"/>
      <c r="O154" s="20"/>
      <c r="P154" s="20"/>
      <c r="Q154" s="20"/>
      <c r="R154" s="20"/>
      <c r="S154" s="20"/>
      <c r="T154" s="20"/>
      <c r="U154" s="20"/>
      <c r="V154" s="20"/>
      <c r="W154" s="20"/>
      <c r="X154" s="20"/>
      <c r="Y154" s="20"/>
      <c r="Z154" s="20"/>
      <c r="AA154" s="20"/>
      <c r="AB154" s="20"/>
      <c r="AC154" s="20"/>
      <c r="AD154" s="20"/>
      <c r="AE154" s="20"/>
      <c r="AF154" s="20"/>
      <c r="AG154" s="20"/>
      <c r="AH154" s="20"/>
      <c r="AI154" s="20"/>
      <c r="AJ154" s="20"/>
      <c r="AK154" s="20"/>
      <c r="AL154" s="20"/>
    </row>
    <row r="155" spans="2:38" x14ac:dyDescent="0.25">
      <c r="B155" s="20"/>
      <c r="C155" s="20"/>
      <c r="D155" s="20"/>
      <c r="E155" s="20"/>
      <c r="F155" s="20"/>
      <c r="G155" s="20"/>
      <c r="H155" s="20"/>
      <c r="I155" s="20"/>
      <c r="J155" s="20"/>
      <c r="K155" s="20"/>
      <c r="L155" s="20"/>
      <c r="M155" s="20"/>
      <c r="N155" s="20"/>
      <c r="O155" s="20"/>
      <c r="P155" s="20"/>
      <c r="Q155" s="20"/>
      <c r="R155" s="20"/>
      <c r="S155" s="20"/>
      <c r="T155" s="20"/>
      <c r="U155" s="20"/>
      <c r="V155" s="20"/>
      <c r="W155" s="20"/>
      <c r="X155" s="20"/>
      <c r="Y155" s="20"/>
      <c r="Z155" s="20"/>
      <c r="AA155" s="20"/>
      <c r="AB155" s="20"/>
      <c r="AC155" s="20"/>
      <c r="AD155" s="20"/>
      <c r="AE155" s="20"/>
      <c r="AF155" s="20"/>
      <c r="AG155" s="20"/>
      <c r="AH155" s="20"/>
      <c r="AI155" s="20"/>
      <c r="AJ155" s="20"/>
      <c r="AK155" s="20"/>
      <c r="AL155" s="20"/>
    </row>
    <row r="156" spans="2:38" x14ac:dyDescent="0.25">
      <c r="B156" s="20"/>
      <c r="C156" s="20"/>
      <c r="D156" s="20"/>
      <c r="E156" s="20"/>
      <c r="F156" s="20"/>
      <c r="G156" s="20"/>
      <c r="H156" s="20"/>
      <c r="I156" s="20"/>
      <c r="J156" s="20"/>
      <c r="K156" s="20"/>
      <c r="L156" s="20"/>
      <c r="M156" s="20"/>
      <c r="N156" s="20"/>
      <c r="O156" s="20"/>
      <c r="P156" s="20"/>
      <c r="Q156" s="20"/>
      <c r="R156" s="20"/>
      <c r="S156" s="20"/>
      <c r="T156" s="20"/>
      <c r="U156" s="20"/>
      <c r="V156" s="20"/>
      <c r="W156" s="20"/>
      <c r="X156" s="20"/>
      <c r="Y156" s="20"/>
      <c r="Z156" s="20"/>
      <c r="AA156" s="20"/>
      <c r="AB156" s="20"/>
      <c r="AC156" s="20"/>
      <c r="AD156" s="20"/>
      <c r="AE156" s="20"/>
      <c r="AF156" s="20"/>
      <c r="AG156" s="20"/>
      <c r="AH156" s="20"/>
      <c r="AI156" s="20"/>
      <c r="AJ156" s="20"/>
      <c r="AK156" s="20"/>
      <c r="AL156" s="20"/>
    </row>
    <row r="157" spans="2:38" x14ac:dyDescent="0.25">
      <c r="B157" s="20"/>
      <c r="C157" s="20"/>
      <c r="D157" s="20"/>
      <c r="E157" s="20"/>
      <c r="F157" s="20"/>
      <c r="G157" s="20"/>
      <c r="H157" s="20"/>
      <c r="I157" s="20"/>
      <c r="J157" s="20"/>
      <c r="K157" s="20"/>
      <c r="L157" s="20"/>
      <c r="M157" s="20"/>
      <c r="N157" s="20"/>
      <c r="O157" s="20"/>
      <c r="P157" s="20"/>
      <c r="Q157" s="20"/>
      <c r="R157" s="20"/>
      <c r="S157" s="20"/>
      <c r="T157" s="20"/>
      <c r="U157" s="20"/>
      <c r="V157" s="20"/>
      <c r="W157" s="20"/>
      <c r="X157" s="20"/>
      <c r="Y157" s="20"/>
      <c r="Z157" s="20"/>
      <c r="AA157" s="20"/>
      <c r="AB157" s="20"/>
      <c r="AC157" s="20"/>
      <c r="AD157" s="20"/>
      <c r="AE157" s="20"/>
      <c r="AF157" s="20"/>
      <c r="AG157" s="20"/>
      <c r="AH157" s="20"/>
      <c r="AI157" s="20"/>
      <c r="AJ157" s="20"/>
      <c r="AK157" s="20"/>
      <c r="AL157" s="20"/>
    </row>
    <row r="158" spans="2:38" x14ac:dyDescent="0.25">
      <c r="B158" s="20"/>
      <c r="C158" s="20"/>
      <c r="D158" s="20"/>
      <c r="E158" s="20"/>
      <c r="F158" s="20"/>
      <c r="G158" s="20"/>
      <c r="H158" s="20"/>
      <c r="I158" s="20"/>
      <c r="J158" s="20"/>
      <c r="K158" s="20"/>
      <c r="L158" s="20"/>
      <c r="M158" s="20"/>
      <c r="N158" s="20"/>
      <c r="O158" s="20"/>
      <c r="P158" s="20"/>
      <c r="Q158" s="20"/>
      <c r="R158" s="20"/>
      <c r="S158" s="20"/>
      <c r="T158" s="20"/>
      <c r="U158" s="20"/>
      <c r="V158" s="20"/>
      <c r="W158" s="20"/>
      <c r="X158" s="20"/>
      <c r="Y158" s="20"/>
      <c r="Z158" s="20"/>
      <c r="AA158" s="20"/>
      <c r="AB158" s="20"/>
      <c r="AC158" s="20"/>
      <c r="AD158" s="20"/>
      <c r="AE158" s="20"/>
      <c r="AF158" s="20"/>
      <c r="AG158" s="20"/>
      <c r="AH158" s="20"/>
      <c r="AI158" s="20"/>
      <c r="AJ158" s="20"/>
      <c r="AK158" s="20"/>
      <c r="AL158" s="20"/>
    </row>
    <row r="159" spans="2:38" x14ac:dyDescent="0.25">
      <c r="B159" s="20"/>
      <c r="C159" s="20"/>
      <c r="D159" s="20"/>
      <c r="E159" s="20"/>
      <c r="F159" s="20"/>
      <c r="G159" s="20"/>
      <c r="H159" s="20"/>
      <c r="I159" s="20"/>
      <c r="J159" s="20"/>
      <c r="K159" s="20"/>
      <c r="L159" s="20"/>
      <c r="M159" s="20"/>
      <c r="N159" s="20"/>
      <c r="O159" s="20"/>
      <c r="P159" s="20"/>
      <c r="Q159" s="20"/>
      <c r="R159" s="20"/>
      <c r="S159" s="20"/>
      <c r="T159" s="20"/>
      <c r="U159" s="20"/>
      <c r="V159" s="20"/>
      <c r="W159" s="20"/>
      <c r="X159" s="20"/>
      <c r="Y159" s="20"/>
      <c r="Z159" s="20"/>
      <c r="AA159" s="20"/>
      <c r="AB159" s="20"/>
      <c r="AC159" s="20"/>
      <c r="AD159" s="20"/>
      <c r="AE159" s="20"/>
      <c r="AF159" s="20"/>
      <c r="AG159" s="20"/>
      <c r="AH159" s="20"/>
      <c r="AI159" s="20"/>
      <c r="AJ159" s="20"/>
      <c r="AK159" s="20"/>
      <c r="AL159" s="20"/>
    </row>
    <row r="160" spans="2:38" x14ac:dyDescent="0.25">
      <c r="B160" s="20"/>
      <c r="C160" s="20"/>
      <c r="D160" s="20"/>
      <c r="E160" s="20"/>
      <c r="F160" s="20"/>
      <c r="G160" s="20"/>
      <c r="H160" s="20"/>
      <c r="I160" s="20"/>
      <c r="J160" s="20"/>
      <c r="K160" s="20"/>
      <c r="L160" s="20"/>
      <c r="M160" s="20"/>
      <c r="N160" s="20"/>
      <c r="O160" s="20"/>
      <c r="P160" s="20"/>
      <c r="Q160" s="20"/>
      <c r="R160" s="20"/>
      <c r="S160" s="20"/>
      <c r="T160" s="20"/>
      <c r="U160" s="20"/>
      <c r="V160" s="20"/>
      <c r="W160" s="20"/>
      <c r="X160" s="20"/>
      <c r="Y160" s="20"/>
      <c r="Z160" s="20"/>
      <c r="AA160" s="20"/>
      <c r="AB160" s="20"/>
      <c r="AC160" s="20"/>
      <c r="AD160" s="20"/>
      <c r="AE160" s="20"/>
      <c r="AF160" s="20"/>
      <c r="AG160" s="20"/>
      <c r="AH160" s="20"/>
      <c r="AI160" s="20"/>
      <c r="AJ160" s="20"/>
      <c r="AK160" s="20"/>
      <c r="AL160" s="20"/>
    </row>
    <row r="161" spans="2:38" x14ac:dyDescent="0.25">
      <c r="B161" s="20"/>
      <c r="C161" s="20"/>
      <c r="D161" s="20"/>
      <c r="E161" s="20"/>
      <c r="F161" s="20"/>
      <c r="G161" s="20"/>
      <c r="H161" s="20"/>
      <c r="I161" s="20"/>
      <c r="J161" s="20"/>
      <c r="K161" s="20"/>
      <c r="L161" s="20"/>
      <c r="M161" s="20"/>
      <c r="N161" s="20"/>
      <c r="O161" s="20"/>
      <c r="P161" s="20"/>
      <c r="Q161" s="20"/>
      <c r="R161" s="20"/>
      <c r="S161" s="20"/>
      <c r="T161" s="20"/>
      <c r="U161" s="20"/>
      <c r="V161" s="20"/>
      <c r="W161" s="20"/>
      <c r="X161" s="20"/>
      <c r="Y161" s="20"/>
      <c r="Z161" s="20"/>
      <c r="AA161" s="20"/>
      <c r="AB161" s="20"/>
      <c r="AC161" s="20"/>
      <c r="AD161" s="20"/>
      <c r="AE161" s="20"/>
      <c r="AF161" s="20"/>
      <c r="AG161" s="20"/>
      <c r="AH161" s="20"/>
      <c r="AI161" s="20"/>
      <c r="AJ161" s="20"/>
      <c r="AK161" s="20"/>
      <c r="AL161" s="20"/>
    </row>
    <row r="162" spans="2:38" x14ac:dyDescent="0.25">
      <c r="B162" s="20"/>
      <c r="C162" s="20"/>
      <c r="D162" s="20"/>
      <c r="E162" s="20"/>
      <c r="F162" s="20"/>
      <c r="G162" s="20"/>
      <c r="H162" s="20"/>
      <c r="I162" s="20"/>
      <c r="J162" s="20"/>
      <c r="K162" s="20"/>
      <c r="L162" s="20"/>
      <c r="M162" s="20"/>
      <c r="N162" s="20"/>
      <c r="O162" s="20"/>
      <c r="P162" s="20"/>
      <c r="Q162" s="20"/>
      <c r="R162" s="20"/>
      <c r="S162" s="20"/>
      <c r="T162" s="20"/>
      <c r="U162" s="20"/>
      <c r="V162" s="20"/>
      <c r="W162" s="20"/>
      <c r="X162" s="20"/>
      <c r="Y162" s="20"/>
      <c r="Z162" s="20"/>
      <c r="AA162" s="20"/>
      <c r="AB162" s="20"/>
      <c r="AC162" s="20"/>
      <c r="AD162" s="20"/>
      <c r="AE162" s="20"/>
      <c r="AF162" s="20"/>
      <c r="AG162" s="20"/>
      <c r="AH162" s="20"/>
      <c r="AI162" s="20"/>
      <c r="AJ162" s="20"/>
      <c r="AK162" s="20"/>
      <c r="AL162" s="20"/>
    </row>
    <row r="163" spans="2:38" x14ac:dyDescent="0.25">
      <c r="B163" s="87" t="s">
        <v>384</v>
      </c>
      <c r="C163" s="88">
        <f>SUM(C113:C162)</f>
        <v>0</v>
      </c>
      <c r="D163" s="88">
        <f t="shared" ref="D163:AK163" si="2">SUM(D113:D162)</f>
        <v>0</v>
      </c>
      <c r="E163" s="88">
        <f t="shared" si="2"/>
        <v>0</v>
      </c>
      <c r="F163" s="88">
        <f t="shared" si="2"/>
        <v>0</v>
      </c>
      <c r="G163" s="88">
        <f t="shared" si="2"/>
        <v>0</v>
      </c>
      <c r="H163" s="88">
        <f t="shared" si="2"/>
        <v>0</v>
      </c>
      <c r="I163" s="88">
        <f t="shared" si="2"/>
        <v>0</v>
      </c>
      <c r="J163" s="88">
        <f t="shared" si="2"/>
        <v>0</v>
      </c>
      <c r="K163" s="88">
        <f t="shared" si="2"/>
        <v>0</v>
      </c>
      <c r="L163" s="88">
        <f t="shared" si="2"/>
        <v>0</v>
      </c>
      <c r="M163" s="88">
        <f t="shared" si="2"/>
        <v>0</v>
      </c>
      <c r="N163" s="88">
        <f t="shared" si="2"/>
        <v>0</v>
      </c>
      <c r="O163" s="88">
        <f t="shared" si="2"/>
        <v>0</v>
      </c>
      <c r="P163" s="88">
        <f t="shared" si="2"/>
        <v>0</v>
      </c>
      <c r="Q163" s="88">
        <f t="shared" si="2"/>
        <v>0</v>
      </c>
      <c r="R163" s="88">
        <f t="shared" si="2"/>
        <v>0</v>
      </c>
      <c r="S163" s="88">
        <f t="shared" si="2"/>
        <v>0</v>
      </c>
      <c r="T163" s="88">
        <f t="shared" si="2"/>
        <v>0</v>
      </c>
      <c r="U163" s="88">
        <f t="shared" si="2"/>
        <v>0</v>
      </c>
      <c r="V163" s="88">
        <f t="shared" si="2"/>
        <v>0</v>
      </c>
      <c r="W163" s="88">
        <f t="shared" si="2"/>
        <v>0</v>
      </c>
      <c r="X163" s="88">
        <f t="shared" si="2"/>
        <v>0</v>
      </c>
      <c r="Y163" s="88">
        <f t="shared" si="2"/>
        <v>0</v>
      </c>
      <c r="Z163" s="88">
        <f t="shared" si="2"/>
        <v>0</v>
      </c>
      <c r="AA163" s="88">
        <f t="shared" si="2"/>
        <v>0</v>
      </c>
      <c r="AB163" s="88">
        <f t="shared" si="2"/>
        <v>0</v>
      </c>
      <c r="AC163" s="88">
        <f t="shared" si="2"/>
        <v>0</v>
      </c>
      <c r="AD163" s="88">
        <f t="shared" si="2"/>
        <v>0</v>
      </c>
      <c r="AE163" s="88">
        <f t="shared" si="2"/>
        <v>0</v>
      </c>
      <c r="AF163" s="88">
        <f t="shared" si="2"/>
        <v>0</v>
      </c>
      <c r="AG163" s="88">
        <f t="shared" si="2"/>
        <v>0</v>
      </c>
      <c r="AH163" s="88">
        <f t="shared" si="2"/>
        <v>0</v>
      </c>
      <c r="AI163" s="88">
        <f t="shared" si="2"/>
        <v>0</v>
      </c>
      <c r="AJ163" s="88">
        <f t="shared" si="2"/>
        <v>0</v>
      </c>
      <c r="AK163" s="88">
        <f t="shared" si="2"/>
        <v>0</v>
      </c>
      <c r="AL163" s="20"/>
    </row>
    <row r="164" spans="2:38" x14ac:dyDescent="0.25"/>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877EBE-D224-4A89-9295-3A78AA062985}">
  <sheetPr codeName="Sheet28">
    <tabColor rgb="FFB3FF03"/>
  </sheetPr>
  <dimension ref="A1:AM164"/>
  <sheetViews>
    <sheetView showGridLines="0" topLeftCell="AA138" workbookViewId="0">
      <selection activeCell="AC154" sqref="AC154"/>
    </sheetView>
  </sheetViews>
  <sheetFormatPr defaultColWidth="0" defaultRowHeight="15" zeroHeight="1" x14ac:dyDescent="0.25"/>
  <cols>
    <col min="1" max="1" width="3" bestFit="1" customWidth="1"/>
    <col min="2" max="2" width="12.7109375" bestFit="1" customWidth="1"/>
    <col min="3" max="8" width="12" bestFit="1" customWidth="1"/>
    <col min="9" max="9" width="11.42578125" customWidth="1"/>
    <col min="10" max="10" width="12.42578125" bestFit="1" customWidth="1"/>
    <col min="11" max="14" width="12" bestFit="1" customWidth="1"/>
    <col min="15" max="15" width="17.28515625" bestFit="1" customWidth="1"/>
    <col min="16" max="16" width="17" bestFit="1" customWidth="1"/>
    <col min="17" max="17" width="20.28515625" bestFit="1" customWidth="1"/>
    <col min="18" max="18" width="13.5703125" bestFit="1" customWidth="1"/>
    <col min="19" max="19" width="38.42578125" bestFit="1" customWidth="1"/>
    <col min="20" max="20" width="18.5703125" bestFit="1" customWidth="1"/>
    <col min="21" max="21" width="18.85546875" bestFit="1" customWidth="1"/>
    <col min="22" max="22" width="28" bestFit="1" customWidth="1"/>
    <col min="23" max="23" width="21.140625" bestFit="1" customWidth="1"/>
    <col min="24" max="24" width="16.85546875" bestFit="1" customWidth="1"/>
    <col min="25" max="25" width="15.85546875" bestFit="1" customWidth="1"/>
    <col min="26" max="26" width="18" bestFit="1" customWidth="1"/>
    <col min="27" max="27" width="13.140625" bestFit="1" customWidth="1"/>
    <col min="28" max="29" width="12" bestFit="1" customWidth="1"/>
    <col min="30" max="30" width="15" bestFit="1" customWidth="1"/>
    <col min="31" max="31" width="12.28515625" bestFit="1" customWidth="1"/>
    <col min="32" max="32" width="18.28515625" bestFit="1" customWidth="1"/>
    <col min="33" max="33" width="12.7109375" bestFit="1" customWidth="1"/>
    <col min="34" max="34" width="15.28515625" bestFit="1" customWidth="1"/>
    <col min="35" max="35" width="8.85546875" bestFit="1" customWidth="1"/>
    <col min="36" max="36" width="16.85546875" bestFit="1" customWidth="1"/>
    <col min="37" max="37" width="9.85546875" bestFit="1" customWidth="1"/>
    <col min="38" max="38" width="15" bestFit="1" customWidth="1"/>
    <col min="39" max="39" width="9.140625" customWidth="1"/>
    <col min="40" max="16384" width="9.140625" hidden="1"/>
  </cols>
  <sheetData>
    <row r="1" spans="2:34" x14ac:dyDescent="0.25"/>
    <row r="2" spans="2:34" x14ac:dyDescent="0.25"/>
    <row r="3" spans="2:34" x14ac:dyDescent="0.25">
      <c r="B3" s="9" t="s">
        <v>305</v>
      </c>
    </row>
    <row r="4" spans="2:34" x14ac:dyDescent="0.25">
      <c r="B4" s="67" t="s">
        <v>0</v>
      </c>
      <c r="C4" s="67" t="s">
        <v>277</v>
      </c>
      <c r="D4" s="67" t="s">
        <v>278</v>
      </c>
      <c r="E4" s="67" t="s">
        <v>279</v>
      </c>
      <c r="F4" s="67" t="s">
        <v>280</v>
      </c>
      <c r="G4" s="67" t="s">
        <v>226</v>
      </c>
      <c r="H4" s="67" t="s">
        <v>228</v>
      </c>
      <c r="I4" s="67" t="s">
        <v>229</v>
      </c>
      <c r="J4" s="67" t="s">
        <v>281</v>
      </c>
      <c r="K4" s="67" t="s">
        <v>282</v>
      </c>
      <c r="L4" s="67" t="s">
        <v>283</v>
      </c>
      <c r="M4" s="67" t="s">
        <v>284</v>
      </c>
      <c r="N4" s="67" t="s">
        <v>285</v>
      </c>
      <c r="O4" s="67" t="s">
        <v>286</v>
      </c>
      <c r="P4" s="67" t="s">
        <v>287</v>
      </c>
      <c r="Q4" s="67" t="s">
        <v>288</v>
      </c>
      <c r="R4" s="67" t="s">
        <v>289</v>
      </c>
      <c r="S4" s="67" t="s">
        <v>293</v>
      </c>
      <c r="T4" s="67" t="s">
        <v>291</v>
      </c>
      <c r="U4" s="67" t="s">
        <v>290</v>
      </c>
      <c r="V4" s="67" t="s">
        <v>292</v>
      </c>
      <c r="W4" s="67" t="s">
        <v>294</v>
      </c>
      <c r="X4" s="67" t="s">
        <v>295</v>
      </c>
      <c r="Y4" s="67" t="s">
        <v>296</v>
      </c>
      <c r="Z4" s="67" t="s">
        <v>297</v>
      </c>
      <c r="AA4" s="67" t="s">
        <v>298</v>
      </c>
      <c r="AB4" s="67" t="s">
        <v>299</v>
      </c>
      <c r="AC4" s="67" t="s">
        <v>300</v>
      </c>
      <c r="AD4" s="67" t="s">
        <v>301</v>
      </c>
      <c r="AE4" s="67" t="s">
        <v>383</v>
      </c>
      <c r="AF4" s="67" t="s">
        <v>302</v>
      </c>
      <c r="AG4" s="67" t="s">
        <v>303</v>
      </c>
      <c r="AH4" s="67" t="s">
        <v>304</v>
      </c>
    </row>
    <row r="5" spans="2:34" x14ac:dyDescent="0.25">
      <c r="B5" s="20"/>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row>
    <row r="6" spans="2:34" x14ac:dyDescent="0.25">
      <c r="B6" s="20"/>
      <c r="C6" s="20"/>
      <c r="D6" s="20"/>
      <c r="E6" s="20"/>
      <c r="F6" s="20"/>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row>
    <row r="7" spans="2:34" x14ac:dyDescent="0.25">
      <c r="B7" s="20"/>
      <c r="C7" s="20"/>
      <c r="D7" s="20"/>
      <c r="E7" s="20"/>
      <c r="F7" s="20"/>
      <c r="G7" s="20"/>
      <c r="H7" s="20"/>
      <c r="I7" s="20"/>
      <c r="J7" s="20"/>
      <c r="K7" s="20"/>
      <c r="L7" s="20"/>
      <c r="M7" s="20"/>
      <c r="N7" s="20"/>
      <c r="O7" s="20"/>
      <c r="P7" s="20"/>
      <c r="Q7" s="20"/>
      <c r="R7" s="20"/>
      <c r="S7" s="20"/>
      <c r="T7" s="20"/>
      <c r="U7" s="20"/>
      <c r="V7" s="20"/>
      <c r="W7" s="20"/>
      <c r="X7" s="20"/>
      <c r="Y7" s="20"/>
      <c r="Z7" s="20"/>
      <c r="AA7" s="20"/>
      <c r="AB7" s="20"/>
      <c r="AC7" s="20"/>
      <c r="AD7" s="20"/>
      <c r="AE7" s="20"/>
      <c r="AF7" s="20"/>
      <c r="AG7" s="20"/>
      <c r="AH7" s="20"/>
    </row>
    <row r="8" spans="2:34" x14ac:dyDescent="0.25">
      <c r="B8" s="20"/>
      <c r="C8" s="20"/>
      <c r="D8" s="20"/>
      <c r="E8" s="20"/>
      <c r="F8" s="20"/>
      <c r="G8" s="20"/>
      <c r="H8" s="20"/>
      <c r="I8" s="20"/>
      <c r="J8" s="20"/>
      <c r="K8" s="20"/>
      <c r="L8" s="20"/>
      <c r="M8" s="20"/>
      <c r="N8" s="20"/>
      <c r="O8" s="20"/>
      <c r="P8" s="20"/>
      <c r="Q8" s="20"/>
      <c r="R8" s="20"/>
      <c r="S8" s="20"/>
      <c r="T8" s="20"/>
      <c r="U8" s="20"/>
      <c r="V8" s="20"/>
      <c r="W8" s="20"/>
      <c r="X8" s="20"/>
      <c r="Y8" s="20"/>
      <c r="Z8" s="20"/>
      <c r="AA8" s="20"/>
      <c r="AB8" s="20"/>
      <c r="AC8" s="20"/>
      <c r="AD8" s="20"/>
      <c r="AE8" s="20"/>
      <c r="AF8" s="20"/>
      <c r="AG8" s="20"/>
      <c r="AH8" s="20"/>
    </row>
    <row r="9" spans="2:34" x14ac:dyDescent="0.25">
      <c r="B9" s="20"/>
      <c r="C9" s="20"/>
      <c r="D9" s="20"/>
      <c r="E9" s="20"/>
      <c r="F9" s="20"/>
      <c r="G9" s="20"/>
      <c r="H9" s="20"/>
      <c r="I9" s="20"/>
      <c r="J9" s="20"/>
      <c r="K9" s="20"/>
      <c r="L9" s="20"/>
      <c r="M9" s="20"/>
      <c r="N9" s="20"/>
      <c r="O9" s="20"/>
      <c r="P9" s="20"/>
      <c r="Q9" s="20"/>
      <c r="R9" s="20"/>
      <c r="S9" s="20"/>
      <c r="T9" s="20"/>
      <c r="U9" s="20"/>
      <c r="V9" s="20"/>
      <c r="W9" s="20"/>
      <c r="X9" s="20"/>
      <c r="Y9" s="20"/>
      <c r="Z9" s="20"/>
      <c r="AA9" s="20"/>
      <c r="AB9" s="20"/>
      <c r="AC9" s="20"/>
      <c r="AD9" s="20"/>
      <c r="AE9" s="20"/>
      <c r="AF9" s="20"/>
      <c r="AG9" s="20"/>
      <c r="AH9" s="20"/>
    </row>
    <row r="10" spans="2:34" x14ac:dyDescent="0.25">
      <c r="B10" s="20"/>
      <c r="C10" s="20"/>
      <c r="D10" s="20"/>
      <c r="E10" s="20"/>
      <c r="F10" s="20"/>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row>
    <row r="11" spans="2:34" x14ac:dyDescent="0.25">
      <c r="B11" s="20"/>
      <c r="C11" s="20"/>
      <c r="D11" s="20"/>
      <c r="E11" s="20"/>
      <c r="F11" s="20"/>
      <c r="G11" s="20"/>
      <c r="H11" s="20"/>
      <c r="I11" s="20"/>
      <c r="J11" s="20"/>
      <c r="K11" s="20"/>
      <c r="L11" s="20"/>
      <c r="M11" s="20"/>
      <c r="N11" s="20"/>
      <c r="O11" s="20"/>
      <c r="P11" s="20"/>
      <c r="Q11" s="20"/>
      <c r="R11" s="20"/>
      <c r="S11" s="20"/>
      <c r="T11" s="20"/>
      <c r="U11" s="20"/>
      <c r="V11" s="20"/>
      <c r="W11" s="20"/>
      <c r="X11" s="20"/>
      <c r="Y11" s="20"/>
      <c r="Z11" s="20"/>
      <c r="AA11" s="20"/>
      <c r="AB11" s="20"/>
      <c r="AC11" s="20"/>
      <c r="AD11" s="20"/>
      <c r="AE11" s="20"/>
      <c r="AF11" s="20"/>
      <c r="AG11" s="20"/>
      <c r="AH11" s="20"/>
    </row>
    <row r="12" spans="2:34" x14ac:dyDescent="0.25">
      <c r="B12" s="20"/>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c r="AC12" s="20"/>
      <c r="AD12" s="20"/>
      <c r="AE12" s="20"/>
      <c r="AF12" s="20"/>
      <c r="AG12" s="20"/>
      <c r="AH12" s="20"/>
    </row>
    <row r="13" spans="2:34" x14ac:dyDescent="0.25">
      <c r="B13" s="20"/>
      <c r="C13" s="20"/>
      <c r="D13" s="20"/>
      <c r="E13" s="20"/>
      <c r="F13" s="20"/>
      <c r="G13" s="20"/>
      <c r="H13" s="20"/>
      <c r="I13" s="20"/>
      <c r="J13" s="20"/>
      <c r="K13" s="20"/>
      <c r="L13" s="20"/>
      <c r="M13" s="20"/>
      <c r="N13" s="20"/>
      <c r="O13" s="20"/>
      <c r="P13" s="20"/>
      <c r="Q13" s="20"/>
      <c r="R13" s="20"/>
      <c r="S13" s="20"/>
      <c r="T13" s="20"/>
      <c r="U13" s="20"/>
      <c r="V13" s="20"/>
      <c r="W13" s="20"/>
      <c r="X13" s="20"/>
      <c r="Y13" s="20"/>
      <c r="Z13" s="20"/>
      <c r="AA13" s="20"/>
      <c r="AB13" s="20"/>
      <c r="AC13" s="20"/>
      <c r="AD13" s="20"/>
      <c r="AE13" s="20"/>
      <c r="AF13" s="20"/>
      <c r="AG13" s="20"/>
      <c r="AH13" s="20"/>
    </row>
    <row r="14" spans="2:34" x14ac:dyDescent="0.25">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c r="AC14" s="20"/>
      <c r="AD14" s="20"/>
      <c r="AE14" s="20"/>
      <c r="AF14" s="20"/>
      <c r="AG14" s="20"/>
      <c r="AH14" s="20"/>
    </row>
    <row r="15" spans="2:34" x14ac:dyDescent="0.25">
      <c r="B15" s="20"/>
      <c r="C15" s="20"/>
      <c r="D15" s="20"/>
      <c r="E15" s="20"/>
      <c r="F15" s="20"/>
      <c r="G15" s="20"/>
      <c r="H15" s="20"/>
      <c r="I15" s="20"/>
      <c r="J15" s="20"/>
      <c r="K15" s="20"/>
      <c r="L15" s="20"/>
      <c r="M15" s="20"/>
      <c r="N15" s="20"/>
      <c r="O15" s="20"/>
      <c r="P15" s="20"/>
      <c r="Q15" s="20"/>
      <c r="R15" s="20"/>
      <c r="S15" s="20"/>
      <c r="T15" s="20"/>
      <c r="U15" s="20"/>
      <c r="V15" s="20"/>
      <c r="W15" s="20"/>
      <c r="X15" s="20"/>
      <c r="Y15" s="20"/>
      <c r="Z15" s="20"/>
      <c r="AA15" s="20"/>
      <c r="AB15" s="20"/>
      <c r="AC15" s="20"/>
      <c r="AD15" s="20"/>
      <c r="AE15" s="20"/>
      <c r="AF15" s="20"/>
      <c r="AG15" s="20"/>
      <c r="AH15" s="20"/>
    </row>
    <row r="16" spans="2:34" x14ac:dyDescent="0.25">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c r="AC16" s="20"/>
      <c r="AD16" s="20"/>
      <c r="AE16" s="20"/>
      <c r="AF16" s="20"/>
      <c r="AG16" s="20"/>
      <c r="AH16" s="20"/>
    </row>
    <row r="17" spans="2:34" x14ac:dyDescent="0.25">
      <c r="B17" s="20"/>
      <c r="C17" s="20"/>
      <c r="D17" s="20"/>
      <c r="E17" s="20"/>
      <c r="F17" s="20"/>
      <c r="G17" s="20"/>
      <c r="H17" s="20"/>
      <c r="I17" s="20"/>
      <c r="J17" s="20"/>
      <c r="K17" s="20"/>
      <c r="L17" s="20"/>
      <c r="M17" s="20"/>
      <c r="N17" s="20"/>
      <c r="O17" s="20"/>
      <c r="P17" s="20"/>
      <c r="Q17" s="20"/>
      <c r="R17" s="20"/>
      <c r="S17" s="20"/>
      <c r="T17" s="20"/>
      <c r="U17" s="20"/>
      <c r="V17" s="20"/>
      <c r="W17" s="20"/>
      <c r="X17" s="20"/>
      <c r="Y17" s="20"/>
      <c r="Z17" s="20"/>
      <c r="AA17" s="20"/>
      <c r="AB17" s="20"/>
      <c r="AC17" s="20"/>
      <c r="AD17" s="20"/>
      <c r="AE17" s="20"/>
      <c r="AF17" s="20"/>
      <c r="AG17" s="20"/>
      <c r="AH17" s="20"/>
    </row>
    <row r="18" spans="2:34" x14ac:dyDescent="0.25">
      <c r="B18" s="20"/>
      <c r="C18" s="20"/>
      <c r="D18" s="20"/>
      <c r="E18" s="20"/>
      <c r="F18" s="20"/>
      <c r="G18" s="20"/>
      <c r="H18" s="20"/>
      <c r="I18" s="20"/>
      <c r="J18" s="20"/>
      <c r="K18" s="20"/>
      <c r="L18" s="20"/>
      <c r="M18" s="20"/>
      <c r="N18" s="20"/>
      <c r="O18" s="20"/>
      <c r="P18" s="20"/>
      <c r="Q18" s="20"/>
      <c r="R18" s="20"/>
      <c r="S18" s="20"/>
      <c r="T18" s="20"/>
      <c r="U18" s="20"/>
      <c r="V18" s="20"/>
      <c r="W18" s="20"/>
      <c r="X18" s="20"/>
      <c r="Y18" s="20"/>
      <c r="Z18" s="20"/>
      <c r="AA18" s="20"/>
      <c r="AB18" s="20"/>
      <c r="AC18" s="20"/>
      <c r="AD18" s="20"/>
      <c r="AE18" s="20"/>
      <c r="AF18" s="20"/>
      <c r="AG18" s="20"/>
      <c r="AH18" s="20"/>
    </row>
    <row r="19" spans="2:34" x14ac:dyDescent="0.25">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c r="AC19" s="20"/>
      <c r="AD19" s="20"/>
      <c r="AE19" s="20"/>
      <c r="AF19" s="20"/>
      <c r="AG19" s="20"/>
      <c r="AH19" s="20"/>
    </row>
    <row r="20" spans="2:34" x14ac:dyDescent="0.25">
      <c r="B20" s="20"/>
      <c r="C20" s="20"/>
      <c r="D20" s="20"/>
      <c r="E20" s="20"/>
      <c r="F20" s="20"/>
      <c r="G20" s="20"/>
      <c r="H20" s="20"/>
      <c r="I20" s="20"/>
      <c r="J20" s="20"/>
      <c r="K20" s="20"/>
      <c r="L20" s="20"/>
      <c r="M20" s="20"/>
      <c r="N20" s="20"/>
      <c r="O20" s="20"/>
      <c r="P20" s="20"/>
      <c r="Q20" s="20"/>
      <c r="R20" s="20"/>
      <c r="S20" s="20"/>
      <c r="T20" s="20"/>
      <c r="U20" s="20"/>
      <c r="V20" s="20"/>
      <c r="W20" s="20"/>
      <c r="X20" s="20"/>
      <c r="Y20" s="20"/>
      <c r="Z20" s="20"/>
      <c r="AA20" s="20"/>
      <c r="AB20" s="20"/>
      <c r="AC20" s="20"/>
      <c r="AD20" s="20"/>
      <c r="AE20" s="20"/>
      <c r="AF20" s="20"/>
      <c r="AG20" s="20"/>
      <c r="AH20" s="20"/>
    </row>
    <row r="21" spans="2:34" x14ac:dyDescent="0.25">
      <c r="B21" s="20"/>
      <c r="C21" s="20"/>
      <c r="D21" s="20"/>
      <c r="E21" s="20"/>
      <c r="F21" s="20"/>
      <c r="G21" s="20"/>
      <c r="H21" s="20"/>
      <c r="I21" s="20"/>
      <c r="J21" s="20"/>
      <c r="K21" s="20"/>
      <c r="L21" s="20"/>
      <c r="M21" s="20"/>
      <c r="N21" s="20"/>
      <c r="O21" s="20"/>
      <c r="P21" s="20"/>
      <c r="Q21" s="20"/>
      <c r="R21" s="20"/>
      <c r="S21" s="20"/>
      <c r="T21" s="20"/>
      <c r="U21" s="20"/>
      <c r="V21" s="20"/>
      <c r="W21" s="20"/>
      <c r="X21" s="20"/>
      <c r="Y21" s="20"/>
      <c r="Z21" s="20"/>
      <c r="AA21" s="20"/>
      <c r="AB21" s="20"/>
      <c r="AC21" s="20"/>
      <c r="AD21" s="20"/>
      <c r="AE21" s="20"/>
      <c r="AF21" s="20"/>
      <c r="AG21" s="20"/>
      <c r="AH21" s="20"/>
    </row>
    <row r="22" spans="2:34" x14ac:dyDescent="0.25">
      <c r="B22" s="20"/>
      <c r="C22" s="20"/>
      <c r="D22" s="20"/>
      <c r="E22" s="20"/>
      <c r="F22" s="20"/>
      <c r="G22" s="20"/>
      <c r="H22" s="20"/>
      <c r="I22" s="20"/>
      <c r="J22" s="20"/>
      <c r="K22" s="20"/>
      <c r="L22" s="20"/>
      <c r="M22" s="20"/>
      <c r="N22" s="20"/>
      <c r="O22" s="20"/>
      <c r="P22" s="20"/>
      <c r="Q22" s="20"/>
      <c r="R22" s="20"/>
      <c r="S22" s="20"/>
      <c r="T22" s="20"/>
      <c r="U22" s="20"/>
      <c r="V22" s="20"/>
      <c r="W22" s="20"/>
      <c r="X22" s="20"/>
      <c r="Y22" s="20"/>
      <c r="Z22" s="20"/>
      <c r="AA22" s="20"/>
      <c r="AB22" s="20"/>
      <c r="AC22" s="20"/>
      <c r="AD22" s="20"/>
      <c r="AE22" s="20"/>
      <c r="AF22" s="20"/>
      <c r="AG22" s="20"/>
      <c r="AH22" s="20"/>
    </row>
    <row r="23" spans="2:34" x14ac:dyDescent="0.25">
      <c r="B23" s="20"/>
      <c r="C23" s="20"/>
      <c r="D23" s="20"/>
      <c r="E23" s="20"/>
      <c r="F23" s="20"/>
      <c r="G23" s="20"/>
      <c r="H23" s="20"/>
      <c r="I23" s="20"/>
      <c r="J23" s="20"/>
      <c r="K23" s="20"/>
      <c r="L23" s="20"/>
      <c r="M23" s="20"/>
      <c r="N23" s="20"/>
      <c r="O23" s="20"/>
      <c r="P23" s="20"/>
      <c r="Q23" s="20"/>
      <c r="R23" s="20"/>
      <c r="S23" s="20"/>
      <c r="T23" s="20"/>
      <c r="U23" s="20"/>
      <c r="V23" s="20"/>
      <c r="W23" s="20"/>
      <c r="X23" s="20"/>
      <c r="Y23" s="20"/>
      <c r="Z23" s="20"/>
      <c r="AA23" s="20"/>
      <c r="AB23" s="20"/>
      <c r="AC23" s="20"/>
      <c r="AD23" s="20"/>
      <c r="AE23" s="20"/>
      <c r="AF23" s="20"/>
      <c r="AG23" s="20"/>
      <c r="AH23" s="20"/>
    </row>
    <row r="24" spans="2:34" x14ac:dyDescent="0.25">
      <c r="B24" s="20"/>
      <c r="C24" s="20"/>
      <c r="D24" s="20"/>
      <c r="E24" s="20"/>
      <c r="F24" s="20"/>
      <c r="G24" s="20"/>
      <c r="H24" s="20"/>
      <c r="I24" s="20"/>
      <c r="J24" s="20"/>
      <c r="K24" s="20"/>
      <c r="L24" s="20"/>
      <c r="M24" s="20"/>
      <c r="N24" s="20"/>
      <c r="O24" s="20"/>
      <c r="P24" s="20"/>
      <c r="Q24" s="20"/>
      <c r="R24" s="20"/>
      <c r="S24" s="20"/>
      <c r="T24" s="20"/>
      <c r="U24" s="20"/>
      <c r="V24" s="20"/>
      <c r="W24" s="20"/>
      <c r="X24" s="20"/>
      <c r="Y24" s="20"/>
      <c r="Z24" s="20"/>
      <c r="AA24" s="20"/>
      <c r="AB24" s="20"/>
      <c r="AC24" s="20"/>
      <c r="AD24" s="20"/>
      <c r="AE24" s="20"/>
      <c r="AF24" s="20"/>
      <c r="AG24" s="20"/>
      <c r="AH24" s="20"/>
    </row>
    <row r="25" spans="2:34" x14ac:dyDescent="0.25">
      <c r="B25" s="20"/>
      <c r="C25" s="20"/>
      <c r="D25" s="20"/>
      <c r="E25" s="20"/>
      <c r="F25" s="20"/>
      <c r="G25" s="20"/>
      <c r="H25" s="20"/>
      <c r="I25" s="20"/>
      <c r="J25" s="20"/>
      <c r="K25" s="20"/>
      <c r="L25" s="20"/>
      <c r="M25" s="20"/>
      <c r="N25" s="20"/>
      <c r="O25" s="20"/>
      <c r="P25" s="20"/>
      <c r="Q25" s="20"/>
      <c r="R25" s="20"/>
      <c r="S25" s="20"/>
      <c r="T25" s="20"/>
      <c r="U25" s="20"/>
      <c r="V25" s="20"/>
      <c r="W25" s="20"/>
      <c r="X25" s="20"/>
      <c r="Y25" s="20"/>
      <c r="Z25" s="20"/>
      <c r="AA25" s="20"/>
      <c r="AB25" s="20"/>
      <c r="AC25" s="20"/>
      <c r="AD25" s="20"/>
      <c r="AE25" s="20"/>
      <c r="AF25" s="20"/>
      <c r="AG25" s="20"/>
      <c r="AH25" s="20"/>
    </row>
    <row r="26" spans="2:34" x14ac:dyDescent="0.25">
      <c r="B26" s="20"/>
      <c r="C26" s="20"/>
      <c r="D26" s="20"/>
      <c r="E26" s="20"/>
      <c r="F26" s="20"/>
      <c r="G26" s="20"/>
      <c r="H26" s="20"/>
      <c r="I26" s="20"/>
      <c r="J26" s="20"/>
      <c r="K26" s="20"/>
      <c r="L26" s="20"/>
      <c r="M26" s="20"/>
      <c r="N26" s="20"/>
      <c r="O26" s="20"/>
      <c r="P26" s="20"/>
      <c r="Q26" s="20"/>
      <c r="R26" s="20"/>
      <c r="S26" s="20"/>
      <c r="T26" s="20"/>
      <c r="U26" s="20"/>
      <c r="V26" s="20"/>
      <c r="W26" s="20"/>
      <c r="X26" s="20"/>
      <c r="Y26" s="20"/>
      <c r="Z26" s="20"/>
      <c r="AA26" s="20"/>
      <c r="AB26" s="20"/>
      <c r="AC26" s="20"/>
      <c r="AD26" s="20"/>
      <c r="AE26" s="20"/>
      <c r="AF26" s="20"/>
      <c r="AG26" s="20"/>
      <c r="AH26" s="20"/>
    </row>
    <row r="27" spans="2:34" x14ac:dyDescent="0.25">
      <c r="B27" s="20"/>
      <c r="C27" s="20"/>
      <c r="D27" s="20"/>
      <c r="E27" s="20"/>
      <c r="F27" s="20"/>
      <c r="G27" s="20"/>
      <c r="H27" s="20"/>
      <c r="I27" s="20"/>
      <c r="J27" s="20"/>
      <c r="K27" s="20"/>
      <c r="L27" s="20"/>
      <c r="M27" s="20"/>
      <c r="N27" s="20"/>
      <c r="O27" s="20"/>
      <c r="P27" s="20"/>
      <c r="Q27" s="20"/>
      <c r="R27" s="20"/>
      <c r="S27" s="20"/>
      <c r="T27" s="20"/>
      <c r="U27" s="20"/>
      <c r="V27" s="20"/>
      <c r="W27" s="20"/>
      <c r="X27" s="20"/>
      <c r="Y27" s="20"/>
      <c r="Z27" s="20"/>
      <c r="AA27" s="20"/>
      <c r="AB27" s="20"/>
      <c r="AC27" s="20"/>
      <c r="AD27" s="20"/>
      <c r="AE27" s="20"/>
      <c r="AF27" s="20"/>
      <c r="AG27" s="20"/>
      <c r="AH27" s="20"/>
    </row>
    <row r="28" spans="2:34" x14ac:dyDescent="0.25">
      <c r="B28" s="20"/>
      <c r="C28" s="20"/>
      <c r="D28" s="20"/>
      <c r="E28" s="20"/>
      <c r="F28" s="20"/>
      <c r="G28" s="20"/>
      <c r="H28" s="20"/>
      <c r="I28" s="20"/>
      <c r="J28" s="20"/>
      <c r="K28" s="20"/>
      <c r="L28" s="20"/>
      <c r="M28" s="20"/>
      <c r="N28" s="20"/>
      <c r="O28" s="20"/>
      <c r="P28" s="20"/>
      <c r="Q28" s="20"/>
      <c r="R28" s="20"/>
      <c r="S28" s="20"/>
      <c r="T28" s="20"/>
      <c r="U28" s="20"/>
      <c r="V28" s="20"/>
      <c r="W28" s="20"/>
      <c r="X28" s="20"/>
      <c r="Y28" s="20"/>
      <c r="Z28" s="20"/>
      <c r="AA28" s="20"/>
      <c r="AB28" s="20"/>
      <c r="AC28" s="20"/>
      <c r="AD28" s="20"/>
      <c r="AE28" s="20"/>
      <c r="AF28" s="20"/>
      <c r="AG28" s="20"/>
      <c r="AH28" s="20"/>
    </row>
    <row r="29" spans="2:34" x14ac:dyDescent="0.25">
      <c r="B29" s="20"/>
      <c r="C29" s="20"/>
      <c r="D29" s="20"/>
      <c r="E29" s="20"/>
      <c r="F29" s="20"/>
      <c r="G29" s="20"/>
      <c r="H29" s="20"/>
      <c r="I29" s="20"/>
      <c r="J29" s="20"/>
      <c r="K29" s="20"/>
      <c r="L29" s="20"/>
      <c r="M29" s="20"/>
      <c r="N29" s="20"/>
      <c r="O29" s="20"/>
      <c r="P29" s="20"/>
      <c r="Q29" s="20"/>
      <c r="R29" s="20"/>
      <c r="S29" s="20"/>
      <c r="T29" s="20"/>
      <c r="U29" s="20"/>
      <c r="V29" s="20"/>
      <c r="W29" s="20"/>
      <c r="X29" s="20"/>
      <c r="Y29" s="20"/>
      <c r="Z29" s="20"/>
      <c r="AA29" s="20"/>
      <c r="AB29" s="20"/>
      <c r="AC29" s="20"/>
      <c r="AD29" s="20"/>
      <c r="AE29" s="20"/>
      <c r="AF29" s="20"/>
      <c r="AG29" s="20"/>
      <c r="AH29" s="20"/>
    </row>
    <row r="30" spans="2:34" x14ac:dyDescent="0.25">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c r="AC30" s="20"/>
      <c r="AD30" s="20"/>
      <c r="AE30" s="20"/>
      <c r="AF30" s="20"/>
      <c r="AG30" s="20"/>
      <c r="AH30" s="20"/>
    </row>
    <row r="31" spans="2:34" x14ac:dyDescent="0.25">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c r="AC31" s="20"/>
      <c r="AD31" s="20"/>
      <c r="AE31" s="20"/>
      <c r="AF31" s="20"/>
      <c r="AG31" s="20"/>
      <c r="AH31" s="20"/>
    </row>
    <row r="32" spans="2:34" x14ac:dyDescent="0.25">
      <c r="B32" s="20"/>
      <c r="C32" s="20"/>
      <c r="D32" s="20"/>
      <c r="E32" s="20"/>
      <c r="F32" s="20"/>
      <c r="G32" s="20"/>
      <c r="H32" s="20"/>
      <c r="I32" s="20"/>
      <c r="J32" s="20"/>
      <c r="K32" s="20"/>
      <c r="L32" s="20"/>
      <c r="M32" s="20"/>
      <c r="N32" s="20"/>
      <c r="O32" s="20"/>
      <c r="P32" s="20"/>
      <c r="Q32" s="20"/>
      <c r="R32" s="20"/>
      <c r="S32" s="20"/>
      <c r="T32" s="20"/>
      <c r="U32" s="20"/>
      <c r="V32" s="20"/>
      <c r="W32" s="20"/>
      <c r="X32" s="20"/>
      <c r="Y32" s="20"/>
      <c r="Z32" s="20"/>
      <c r="AA32" s="20"/>
      <c r="AB32" s="20"/>
      <c r="AC32" s="20"/>
      <c r="AD32" s="20"/>
      <c r="AE32" s="20"/>
      <c r="AF32" s="20"/>
      <c r="AG32" s="20"/>
      <c r="AH32" s="20"/>
    </row>
    <row r="33" spans="2:34" x14ac:dyDescent="0.25">
      <c r="B33" s="20"/>
      <c r="C33" s="20"/>
      <c r="D33" s="20"/>
      <c r="E33" s="20"/>
      <c r="F33" s="20"/>
      <c r="G33" s="20"/>
      <c r="H33" s="20"/>
      <c r="I33" s="20"/>
      <c r="J33" s="20"/>
      <c r="K33" s="20"/>
      <c r="L33" s="20"/>
      <c r="M33" s="20"/>
      <c r="N33" s="20"/>
      <c r="O33" s="20"/>
      <c r="P33" s="20"/>
      <c r="Q33" s="20"/>
      <c r="R33" s="20"/>
      <c r="S33" s="20"/>
      <c r="T33" s="20"/>
      <c r="U33" s="20"/>
      <c r="V33" s="20"/>
      <c r="W33" s="20"/>
      <c r="X33" s="20"/>
      <c r="Y33" s="20"/>
      <c r="Z33" s="20"/>
      <c r="AA33" s="20"/>
      <c r="AB33" s="20"/>
      <c r="AC33" s="20"/>
      <c r="AD33" s="20"/>
      <c r="AE33" s="20"/>
      <c r="AF33" s="20"/>
      <c r="AG33" s="20"/>
      <c r="AH33" s="20"/>
    </row>
    <row r="34" spans="2:34" x14ac:dyDescent="0.25">
      <c r="B34" s="20"/>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c r="AC34" s="20"/>
      <c r="AD34" s="20"/>
      <c r="AE34" s="20"/>
      <c r="AF34" s="20"/>
      <c r="AG34" s="20"/>
      <c r="AH34" s="20"/>
    </row>
    <row r="35" spans="2:34" x14ac:dyDescent="0.25">
      <c r="B35" s="20"/>
      <c r="C35" s="20"/>
      <c r="D35" s="20"/>
      <c r="E35" s="20"/>
      <c r="F35" s="20"/>
      <c r="G35" s="20"/>
      <c r="H35" s="20"/>
      <c r="I35" s="20"/>
      <c r="J35" s="20"/>
      <c r="K35" s="20"/>
      <c r="L35" s="20"/>
      <c r="M35" s="20"/>
      <c r="N35" s="20"/>
      <c r="O35" s="20"/>
      <c r="P35" s="20"/>
      <c r="Q35" s="20"/>
      <c r="R35" s="20"/>
      <c r="S35" s="20"/>
      <c r="T35" s="20"/>
      <c r="U35" s="20"/>
      <c r="V35" s="20"/>
      <c r="W35" s="20"/>
      <c r="X35" s="20"/>
      <c r="Y35" s="20"/>
      <c r="Z35" s="20"/>
      <c r="AA35" s="20"/>
      <c r="AB35" s="20"/>
      <c r="AC35" s="20"/>
      <c r="AD35" s="20"/>
      <c r="AE35" s="20"/>
      <c r="AF35" s="20"/>
      <c r="AG35" s="20"/>
      <c r="AH35" s="20"/>
    </row>
    <row r="36" spans="2:34" x14ac:dyDescent="0.25">
      <c r="B36" s="20"/>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c r="AC36" s="20"/>
      <c r="AD36" s="20"/>
      <c r="AE36" s="20"/>
      <c r="AF36" s="20"/>
      <c r="AG36" s="20"/>
      <c r="AH36" s="20"/>
    </row>
    <row r="37" spans="2:34" x14ac:dyDescent="0.25">
      <c r="B37" s="20"/>
      <c r="C37" s="20"/>
      <c r="D37" s="20"/>
      <c r="E37" s="20"/>
      <c r="F37" s="20"/>
      <c r="G37" s="20"/>
      <c r="H37" s="20"/>
      <c r="I37" s="20"/>
      <c r="J37" s="20"/>
      <c r="K37" s="20"/>
      <c r="L37" s="20"/>
      <c r="M37" s="20"/>
      <c r="N37" s="20"/>
      <c r="O37" s="20"/>
      <c r="P37" s="20"/>
      <c r="Q37" s="20"/>
      <c r="R37" s="20"/>
      <c r="S37" s="20"/>
      <c r="T37" s="20"/>
      <c r="U37" s="20"/>
      <c r="V37" s="20"/>
      <c r="W37" s="20"/>
      <c r="X37" s="20"/>
      <c r="Y37" s="20"/>
      <c r="Z37" s="20"/>
      <c r="AA37" s="20"/>
      <c r="AB37" s="20"/>
      <c r="AC37" s="20"/>
      <c r="AD37" s="20"/>
      <c r="AE37" s="20"/>
      <c r="AF37" s="20"/>
      <c r="AG37" s="20"/>
      <c r="AH37" s="20"/>
    </row>
    <row r="38" spans="2:34" x14ac:dyDescent="0.25">
      <c r="B38" s="20"/>
      <c r="C38" s="20"/>
      <c r="D38" s="20"/>
      <c r="E38" s="20"/>
      <c r="F38" s="20"/>
      <c r="G38" s="20"/>
      <c r="H38" s="20"/>
      <c r="I38" s="20"/>
      <c r="J38" s="20"/>
      <c r="K38" s="20"/>
      <c r="L38" s="20"/>
      <c r="M38" s="20"/>
      <c r="N38" s="20"/>
      <c r="O38" s="20"/>
      <c r="P38" s="20"/>
      <c r="Q38" s="20"/>
      <c r="R38" s="20"/>
      <c r="S38" s="20"/>
      <c r="T38" s="20"/>
      <c r="U38" s="20"/>
      <c r="V38" s="20"/>
      <c r="W38" s="20"/>
      <c r="X38" s="20"/>
      <c r="Y38" s="20"/>
      <c r="Z38" s="20"/>
      <c r="AA38" s="20"/>
      <c r="AB38" s="20"/>
      <c r="AC38" s="20"/>
      <c r="AD38" s="20"/>
      <c r="AE38" s="20"/>
      <c r="AF38" s="20"/>
      <c r="AG38" s="20"/>
      <c r="AH38" s="20"/>
    </row>
    <row r="39" spans="2:34" x14ac:dyDescent="0.25">
      <c r="B39" s="20"/>
      <c r="C39" s="20"/>
      <c r="D39" s="20"/>
      <c r="E39" s="20"/>
      <c r="F39" s="20"/>
      <c r="G39" s="20"/>
      <c r="H39" s="20"/>
      <c r="I39" s="20"/>
      <c r="J39" s="20"/>
      <c r="K39" s="20"/>
      <c r="L39" s="20"/>
      <c r="M39" s="20"/>
      <c r="N39" s="20"/>
      <c r="O39" s="20"/>
      <c r="P39" s="20"/>
      <c r="Q39" s="20"/>
      <c r="R39" s="20"/>
      <c r="S39" s="20"/>
      <c r="T39" s="20"/>
      <c r="U39" s="20"/>
      <c r="V39" s="20"/>
      <c r="W39" s="20"/>
      <c r="X39" s="20"/>
      <c r="Y39" s="20"/>
      <c r="Z39" s="20"/>
      <c r="AA39" s="20"/>
      <c r="AB39" s="20"/>
      <c r="AC39" s="20"/>
      <c r="AD39" s="20"/>
      <c r="AE39" s="20"/>
      <c r="AF39" s="20"/>
      <c r="AG39" s="20"/>
      <c r="AH39" s="20"/>
    </row>
    <row r="40" spans="2:34" x14ac:dyDescent="0.25">
      <c r="B40" s="20"/>
      <c r="C40" s="20"/>
      <c r="D40" s="20"/>
      <c r="E40" s="20"/>
      <c r="F40" s="20"/>
      <c r="G40" s="20"/>
      <c r="H40" s="20"/>
      <c r="I40" s="20"/>
      <c r="J40" s="20"/>
      <c r="K40" s="20"/>
      <c r="L40" s="20"/>
      <c r="M40" s="20"/>
      <c r="N40" s="20"/>
      <c r="O40" s="20"/>
      <c r="P40" s="20"/>
      <c r="Q40" s="20"/>
      <c r="R40" s="20"/>
      <c r="S40" s="20"/>
      <c r="T40" s="20"/>
      <c r="U40" s="20"/>
      <c r="V40" s="20"/>
      <c r="W40" s="20"/>
      <c r="X40" s="20"/>
      <c r="Y40" s="20"/>
      <c r="Z40" s="20"/>
      <c r="AA40" s="20"/>
      <c r="AB40" s="20"/>
      <c r="AC40" s="20"/>
      <c r="AD40" s="20"/>
      <c r="AE40" s="20"/>
      <c r="AF40" s="20"/>
      <c r="AG40" s="20"/>
      <c r="AH40" s="20"/>
    </row>
    <row r="41" spans="2:34" x14ac:dyDescent="0.25">
      <c r="B41" s="20"/>
      <c r="C41" s="20"/>
      <c r="D41" s="20"/>
      <c r="E41" s="20"/>
      <c r="F41" s="20"/>
      <c r="G41" s="20"/>
      <c r="H41" s="20"/>
      <c r="I41" s="20"/>
      <c r="J41" s="20"/>
      <c r="K41" s="20"/>
      <c r="L41" s="20"/>
      <c r="M41" s="20"/>
      <c r="N41" s="20"/>
      <c r="O41" s="20"/>
      <c r="P41" s="20"/>
      <c r="Q41" s="20"/>
      <c r="R41" s="20"/>
      <c r="S41" s="20"/>
      <c r="T41" s="20"/>
      <c r="U41" s="20"/>
      <c r="V41" s="20"/>
      <c r="W41" s="20"/>
      <c r="X41" s="20"/>
      <c r="Y41" s="20"/>
      <c r="Z41" s="20"/>
      <c r="AA41" s="20"/>
      <c r="AB41" s="20"/>
      <c r="AC41" s="20"/>
      <c r="AD41" s="20"/>
      <c r="AE41" s="20"/>
      <c r="AF41" s="20"/>
      <c r="AG41" s="20"/>
      <c r="AH41" s="20"/>
    </row>
    <row r="42" spans="2:34" x14ac:dyDescent="0.25">
      <c r="B42" s="20"/>
      <c r="C42" s="20"/>
      <c r="D42" s="20"/>
      <c r="E42" s="20"/>
      <c r="F42" s="20"/>
      <c r="G42" s="20"/>
      <c r="H42" s="20"/>
      <c r="I42" s="20"/>
      <c r="J42" s="20"/>
      <c r="K42" s="20"/>
      <c r="L42" s="20"/>
      <c r="M42" s="20"/>
      <c r="N42" s="20"/>
      <c r="O42" s="20"/>
      <c r="P42" s="20"/>
      <c r="Q42" s="20"/>
      <c r="R42" s="20"/>
      <c r="S42" s="20"/>
      <c r="T42" s="20"/>
      <c r="U42" s="20"/>
      <c r="V42" s="20"/>
      <c r="W42" s="20"/>
      <c r="X42" s="20"/>
      <c r="Y42" s="20"/>
      <c r="Z42" s="20"/>
      <c r="AA42" s="20"/>
      <c r="AB42" s="20"/>
      <c r="AC42" s="20"/>
      <c r="AD42" s="20"/>
      <c r="AE42" s="20"/>
      <c r="AF42" s="20"/>
      <c r="AG42" s="20"/>
      <c r="AH42" s="20"/>
    </row>
    <row r="43" spans="2:34" x14ac:dyDescent="0.25">
      <c r="B43" s="20"/>
      <c r="C43" s="20"/>
      <c r="D43" s="20"/>
      <c r="E43" s="20"/>
      <c r="F43" s="20"/>
      <c r="G43" s="20"/>
      <c r="H43" s="20"/>
      <c r="I43" s="20"/>
      <c r="J43" s="20"/>
      <c r="K43" s="20"/>
      <c r="L43" s="20"/>
      <c r="M43" s="20"/>
      <c r="N43" s="20"/>
      <c r="O43" s="20"/>
      <c r="P43" s="20"/>
      <c r="Q43" s="20"/>
      <c r="R43" s="20"/>
      <c r="S43" s="20"/>
      <c r="T43" s="20"/>
      <c r="U43" s="20"/>
      <c r="V43" s="20"/>
      <c r="W43" s="20"/>
      <c r="X43" s="20"/>
      <c r="Y43" s="20"/>
      <c r="Z43" s="20"/>
      <c r="AA43" s="20"/>
      <c r="AB43" s="20"/>
      <c r="AC43" s="20"/>
      <c r="AD43" s="20"/>
      <c r="AE43" s="20"/>
      <c r="AF43" s="20"/>
      <c r="AG43" s="20"/>
      <c r="AH43" s="20"/>
    </row>
    <row r="44" spans="2:34" x14ac:dyDescent="0.25">
      <c r="B44" s="20"/>
      <c r="C44" s="20"/>
      <c r="D44" s="20"/>
      <c r="E44" s="20"/>
      <c r="F44" s="20"/>
      <c r="G44" s="20"/>
      <c r="H44" s="20"/>
      <c r="I44" s="20"/>
      <c r="J44" s="20"/>
      <c r="K44" s="20"/>
      <c r="L44" s="20"/>
      <c r="M44" s="20"/>
      <c r="N44" s="20"/>
      <c r="O44" s="20"/>
      <c r="P44" s="20"/>
      <c r="Q44" s="20"/>
      <c r="R44" s="20"/>
      <c r="S44" s="20"/>
      <c r="T44" s="20"/>
      <c r="U44" s="20"/>
      <c r="V44" s="20"/>
      <c r="W44" s="20"/>
      <c r="X44" s="20"/>
      <c r="Y44" s="20"/>
      <c r="Z44" s="20"/>
      <c r="AA44" s="20"/>
      <c r="AB44" s="20"/>
      <c r="AC44" s="20"/>
      <c r="AD44" s="20"/>
      <c r="AE44" s="20"/>
      <c r="AF44" s="20"/>
      <c r="AG44" s="20"/>
      <c r="AH44" s="20"/>
    </row>
    <row r="45" spans="2:34" x14ac:dyDescent="0.25">
      <c r="B45" s="20"/>
      <c r="C45" s="20"/>
      <c r="D45" s="20"/>
      <c r="E45" s="20"/>
      <c r="F45" s="20"/>
      <c r="G45" s="20"/>
      <c r="H45" s="20"/>
      <c r="I45" s="20"/>
      <c r="J45" s="20"/>
      <c r="K45" s="20"/>
      <c r="L45" s="20"/>
      <c r="M45" s="20"/>
      <c r="N45" s="20"/>
      <c r="O45" s="20"/>
      <c r="P45" s="20"/>
      <c r="Q45" s="20"/>
      <c r="R45" s="20"/>
      <c r="S45" s="20"/>
      <c r="T45" s="20"/>
      <c r="U45" s="20"/>
      <c r="V45" s="20"/>
      <c r="W45" s="20"/>
      <c r="X45" s="20"/>
      <c r="Y45" s="20"/>
      <c r="Z45" s="20"/>
      <c r="AA45" s="20"/>
      <c r="AB45" s="20"/>
      <c r="AC45" s="20"/>
      <c r="AD45" s="20"/>
      <c r="AE45" s="20"/>
      <c r="AF45" s="20"/>
      <c r="AG45" s="20"/>
      <c r="AH45" s="20"/>
    </row>
    <row r="46" spans="2:34" x14ac:dyDescent="0.25">
      <c r="B46" s="20"/>
      <c r="C46" s="20"/>
      <c r="D46" s="20"/>
      <c r="E46" s="20"/>
      <c r="F46" s="20"/>
      <c r="G46" s="20"/>
      <c r="H46" s="20"/>
      <c r="I46" s="20"/>
      <c r="J46" s="20"/>
      <c r="K46" s="20"/>
      <c r="L46" s="20"/>
      <c r="M46" s="20"/>
      <c r="N46" s="20"/>
      <c r="O46" s="20"/>
      <c r="P46" s="20"/>
      <c r="Q46" s="20"/>
      <c r="R46" s="20"/>
      <c r="S46" s="20"/>
      <c r="T46" s="20"/>
      <c r="U46" s="20"/>
      <c r="V46" s="20"/>
      <c r="W46" s="20"/>
      <c r="X46" s="20"/>
      <c r="Y46" s="20"/>
      <c r="Z46" s="20"/>
      <c r="AA46" s="20"/>
      <c r="AB46" s="20"/>
      <c r="AC46" s="20"/>
      <c r="AD46" s="20"/>
      <c r="AE46" s="20"/>
      <c r="AF46" s="20"/>
      <c r="AG46" s="20"/>
      <c r="AH46" s="20"/>
    </row>
    <row r="47" spans="2:34" x14ac:dyDescent="0.25">
      <c r="B47" s="20"/>
      <c r="C47" s="20"/>
      <c r="D47" s="20"/>
      <c r="E47" s="20"/>
      <c r="F47" s="20"/>
      <c r="G47" s="20"/>
      <c r="H47" s="20"/>
      <c r="I47" s="20"/>
      <c r="J47" s="20"/>
      <c r="K47" s="20"/>
      <c r="L47" s="20"/>
      <c r="M47" s="20"/>
      <c r="N47" s="20"/>
      <c r="O47" s="20"/>
      <c r="P47" s="20"/>
      <c r="Q47" s="20"/>
      <c r="R47" s="20"/>
      <c r="S47" s="20"/>
      <c r="T47" s="20"/>
      <c r="U47" s="20"/>
      <c r="V47" s="20"/>
      <c r="W47" s="20"/>
      <c r="X47" s="20"/>
      <c r="Y47" s="20"/>
      <c r="Z47" s="20"/>
      <c r="AA47" s="20"/>
      <c r="AB47" s="20"/>
      <c r="AC47" s="20"/>
      <c r="AD47" s="20"/>
      <c r="AE47" s="20"/>
      <c r="AF47" s="20"/>
      <c r="AG47" s="20"/>
      <c r="AH47" s="20"/>
    </row>
    <row r="48" spans="2:34" x14ac:dyDescent="0.25">
      <c r="B48" s="20"/>
      <c r="C48" s="20"/>
      <c r="D48" s="20"/>
      <c r="E48" s="20"/>
      <c r="F48" s="20"/>
      <c r="G48" s="20"/>
      <c r="H48" s="20"/>
      <c r="I48" s="20"/>
      <c r="J48" s="20"/>
      <c r="K48" s="20"/>
      <c r="L48" s="20"/>
      <c r="M48" s="20"/>
      <c r="N48" s="20"/>
      <c r="O48" s="20"/>
      <c r="P48" s="20"/>
      <c r="Q48" s="20"/>
      <c r="R48" s="20"/>
      <c r="S48" s="20"/>
      <c r="T48" s="20"/>
      <c r="U48" s="20"/>
      <c r="V48" s="20"/>
      <c r="W48" s="20"/>
      <c r="X48" s="20"/>
      <c r="Y48" s="20"/>
      <c r="Z48" s="20"/>
      <c r="AA48" s="20"/>
      <c r="AB48" s="20"/>
      <c r="AC48" s="20"/>
      <c r="AD48" s="20"/>
      <c r="AE48" s="20"/>
      <c r="AF48" s="20"/>
      <c r="AG48" s="20"/>
      <c r="AH48" s="20"/>
    </row>
    <row r="49" spans="2:34" x14ac:dyDescent="0.25">
      <c r="B49" s="20"/>
      <c r="C49" s="20"/>
      <c r="D49" s="20"/>
      <c r="E49" s="20"/>
      <c r="F49" s="20"/>
      <c r="G49" s="20"/>
      <c r="H49" s="20"/>
      <c r="I49" s="20"/>
      <c r="J49" s="20"/>
      <c r="K49" s="20"/>
      <c r="L49" s="20"/>
      <c r="M49" s="20"/>
      <c r="N49" s="20"/>
      <c r="O49" s="20"/>
      <c r="P49" s="20"/>
      <c r="Q49" s="20"/>
      <c r="R49" s="20"/>
      <c r="S49" s="20"/>
      <c r="T49" s="20"/>
      <c r="U49" s="20"/>
      <c r="V49" s="20"/>
      <c r="W49" s="20"/>
      <c r="X49" s="20"/>
      <c r="Y49" s="20"/>
      <c r="Z49" s="20"/>
      <c r="AA49" s="20"/>
      <c r="AB49" s="20"/>
      <c r="AC49" s="20"/>
      <c r="AD49" s="20"/>
      <c r="AE49" s="20"/>
      <c r="AF49" s="20"/>
      <c r="AG49" s="20"/>
      <c r="AH49" s="20"/>
    </row>
    <row r="50" spans="2:34" x14ac:dyDescent="0.25">
      <c r="B50" s="20"/>
      <c r="C50" s="20"/>
      <c r="D50" s="20"/>
      <c r="E50" s="20"/>
      <c r="F50" s="20"/>
      <c r="G50" s="20"/>
      <c r="H50" s="20"/>
      <c r="I50" s="20"/>
      <c r="J50" s="20"/>
      <c r="K50" s="20"/>
      <c r="L50" s="20"/>
      <c r="M50" s="20"/>
      <c r="N50" s="20"/>
      <c r="O50" s="20"/>
      <c r="P50" s="20"/>
      <c r="Q50" s="20"/>
      <c r="R50" s="20"/>
      <c r="S50" s="20"/>
      <c r="T50" s="20"/>
      <c r="U50" s="20"/>
      <c r="V50" s="20"/>
      <c r="W50" s="20"/>
      <c r="X50" s="20"/>
      <c r="Y50" s="20"/>
      <c r="Z50" s="20"/>
      <c r="AA50" s="20"/>
      <c r="AB50" s="20"/>
      <c r="AC50" s="20"/>
      <c r="AD50" s="20"/>
      <c r="AE50" s="20"/>
      <c r="AF50" s="20"/>
      <c r="AG50" s="20"/>
      <c r="AH50" s="20"/>
    </row>
    <row r="51" spans="2:34" x14ac:dyDescent="0.25">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c r="AE51" s="20"/>
      <c r="AF51" s="20"/>
      <c r="AG51" s="20"/>
      <c r="AH51" s="20"/>
    </row>
    <row r="52" spans="2:34" x14ac:dyDescent="0.25">
      <c r="B52" s="20"/>
      <c r="C52" s="20"/>
      <c r="D52" s="20"/>
      <c r="E52" s="20"/>
      <c r="F52" s="20"/>
      <c r="G52" s="20"/>
      <c r="H52" s="20"/>
      <c r="I52" s="20"/>
      <c r="J52" s="20"/>
      <c r="K52" s="20"/>
      <c r="L52" s="20"/>
      <c r="M52" s="20"/>
      <c r="N52" s="20"/>
      <c r="O52" s="20"/>
      <c r="P52" s="20"/>
      <c r="Q52" s="20"/>
      <c r="R52" s="20"/>
      <c r="S52" s="20"/>
      <c r="T52" s="20"/>
      <c r="U52" s="20"/>
      <c r="V52" s="20"/>
      <c r="W52" s="20"/>
      <c r="X52" s="20"/>
      <c r="Y52" s="20"/>
      <c r="Z52" s="20"/>
      <c r="AA52" s="20"/>
      <c r="AB52" s="20"/>
      <c r="AC52" s="20"/>
      <c r="AD52" s="20"/>
      <c r="AE52" s="20"/>
      <c r="AF52" s="20"/>
      <c r="AG52" s="20"/>
      <c r="AH52" s="20"/>
    </row>
    <row r="53" spans="2:34" x14ac:dyDescent="0.25">
      <c r="B53" s="20"/>
      <c r="C53" s="20"/>
      <c r="D53" s="20"/>
      <c r="E53" s="20"/>
      <c r="F53" s="20"/>
      <c r="G53" s="20"/>
      <c r="H53" s="20"/>
      <c r="I53" s="20"/>
      <c r="J53" s="20"/>
      <c r="K53" s="20"/>
      <c r="L53" s="20"/>
      <c r="M53" s="20"/>
      <c r="N53" s="20"/>
      <c r="O53" s="20"/>
      <c r="P53" s="20"/>
      <c r="Q53" s="20"/>
      <c r="R53" s="20"/>
      <c r="S53" s="20"/>
      <c r="T53" s="20"/>
      <c r="U53" s="20"/>
      <c r="V53" s="20"/>
      <c r="W53" s="20"/>
      <c r="X53" s="20"/>
      <c r="Y53" s="20"/>
      <c r="Z53" s="20"/>
      <c r="AA53" s="20"/>
      <c r="AB53" s="20"/>
      <c r="AC53" s="20"/>
      <c r="AD53" s="20"/>
      <c r="AE53" s="20"/>
      <c r="AF53" s="20"/>
      <c r="AG53" s="20"/>
      <c r="AH53" s="20"/>
    </row>
    <row r="54" spans="2:34" x14ac:dyDescent="0.25">
      <c r="B54" s="20"/>
      <c r="C54" s="20"/>
      <c r="D54" s="20"/>
      <c r="E54" s="20"/>
      <c r="F54" s="20"/>
      <c r="G54" s="20"/>
      <c r="H54" s="20"/>
      <c r="I54" s="20"/>
      <c r="J54" s="20"/>
      <c r="K54" s="20"/>
      <c r="L54" s="20"/>
      <c r="M54" s="20"/>
      <c r="N54" s="20"/>
      <c r="O54" s="20"/>
      <c r="P54" s="20"/>
      <c r="Q54" s="20"/>
      <c r="R54" s="20"/>
      <c r="S54" s="20"/>
      <c r="T54" s="20"/>
      <c r="U54" s="20"/>
      <c r="V54" s="20"/>
      <c r="W54" s="20"/>
      <c r="X54" s="20"/>
      <c r="Y54" s="20"/>
      <c r="Z54" s="20"/>
      <c r="AA54" s="20"/>
      <c r="AB54" s="20"/>
      <c r="AC54" s="20"/>
      <c r="AD54" s="20"/>
      <c r="AE54" s="20"/>
      <c r="AF54" s="20"/>
      <c r="AG54" s="20"/>
      <c r="AH54" s="20"/>
    </row>
    <row r="55" spans="2:34" x14ac:dyDescent="0.25">
      <c r="B55" s="87" t="s">
        <v>384</v>
      </c>
      <c r="C55" s="88">
        <f>SUM(C5:C54)</f>
        <v>0</v>
      </c>
      <c r="D55" s="88">
        <f t="shared" ref="D55:AH55" si="0">SUM(D5:D54)</f>
        <v>0</v>
      </c>
      <c r="E55" s="88">
        <f t="shared" si="0"/>
        <v>0</v>
      </c>
      <c r="F55" s="88">
        <f t="shared" si="0"/>
        <v>0</v>
      </c>
      <c r="G55" s="88">
        <f t="shared" si="0"/>
        <v>0</v>
      </c>
      <c r="H55" s="88">
        <f t="shared" si="0"/>
        <v>0</v>
      </c>
      <c r="I55" s="88">
        <f t="shared" si="0"/>
        <v>0</v>
      </c>
      <c r="J55" s="88">
        <f t="shared" si="0"/>
        <v>0</v>
      </c>
      <c r="K55" s="88">
        <f t="shared" si="0"/>
        <v>0</v>
      </c>
      <c r="L55" s="88">
        <f t="shared" si="0"/>
        <v>0</v>
      </c>
      <c r="M55" s="88">
        <f t="shared" si="0"/>
        <v>0</v>
      </c>
      <c r="N55" s="88">
        <f t="shared" si="0"/>
        <v>0</v>
      </c>
      <c r="O55" s="88">
        <f t="shared" si="0"/>
        <v>0</v>
      </c>
      <c r="P55" s="88">
        <f t="shared" si="0"/>
        <v>0</v>
      </c>
      <c r="Q55" s="88">
        <f t="shared" si="0"/>
        <v>0</v>
      </c>
      <c r="R55" s="88">
        <f t="shared" si="0"/>
        <v>0</v>
      </c>
      <c r="S55" s="88">
        <f t="shared" si="0"/>
        <v>0</v>
      </c>
      <c r="T55" s="88">
        <f t="shared" si="0"/>
        <v>0</v>
      </c>
      <c r="U55" s="88">
        <f t="shared" si="0"/>
        <v>0</v>
      </c>
      <c r="V55" s="88">
        <f t="shared" si="0"/>
        <v>0</v>
      </c>
      <c r="W55" s="88">
        <f t="shared" si="0"/>
        <v>0</v>
      </c>
      <c r="X55" s="88">
        <f t="shared" si="0"/>
        <v>0</v>
      </c>
      <c r="Y55" s="88">
        <f t="shared" si="0"/>
        <v>0</v>
      </c>
      <c r="Z55" s="88">
        <f t="shared" si="0"/>
        <v>0</v>
      </c>
      <c r="AA55" s="88">
        <f t="shared" si="0"/>
        <v>0</v>
      </c>
      <c r="AB55" s="88">
        <f t="shared" si="0"/>
        <v>0</v>
      </c>
      <c r="AC55" s="88">
        <f t="shared" si="0"/>
        <v>0</v>
      </c>
      <c r="AD55" s="88">
        <f t="shared" si="0"/>
        <v>0</v>
      </c>
      <c r="AE55" s="88">
        <f t="shared" si="0"/>
        <v>0</v>
      </c>
      <c r="AF55" s="88">
        <f t="shared" si="0"/>
        <v>0</v>
      </c>
      <c r="AG55" s="88">
        <f t="shared" si="0"/>
        <v>0</v>
      </c>
      <c r="AH55" s="88">
        <f t="shared" si="0"/>
        <v>0</v>
      </c>
    </row>
    <row r="56" spans="2:34" x14ac:dyDescent="0.25"/>
    <row r="57" spans="2:34" x14ac:dyDescent="0.25">
      <c r="B57" s="9" t="s">
        <v>306</v>
      </c>
    </row>
    <row r="58" spans="2:34" x14ac:dyDescent="0.25">
      <c r="B58" s="68" t="s">
        <v>0</v>
      </c>
      <c r="C58" s="68" t="s">
        <v>277</v>
      </c>
      <c r="D58" s="68" t="s">
        <v>278</v>
      </c>
      <c r="E58" s="68" t="s">
        <v>279</v>
      </c>
      <c r="F58" s="68" t="s">
        <v>280</v>
      </c>
      <c r="G58" s="68" t="s">
        <v>226</v>
      </c>
      <c r="H58" s="68" t="s">
        <v>228</v>
      </c>
      <c r="I58" s="68" t="s">
        <v>229</v>
      </c>
      <c r="J58" s="68" t="s">
        <v>281</v>
      </c>
      <c r="K58" s="68" t="s">
        <v>282</v>
      </c>
      <c r="L58" s="68" t="s">
        <v>283</v>
      </c>
      <c r="M58" s="68" t="s">
        <v>284</v>
      </c>
      <c r="N58" s="68" t="s">
        <v>285</v>
      </c>
      <c r="O58" s="68" t="s">
        <v>286</v>
      </c>
      <c r="P58" s="68" t="s">
        <v>287</v>
      </c>
      <c r="Q58" s="68" t="s">
        <v>288</v>
      </c>
      <c r="R58" s="68" t="s">
        <v>289</v>
      </c>
      <c r="S58" s="68" t="s">
        <v>293</v>
      </c>
      <c r="T58" s="68" t="s">
        <v>307</v>
      </c>
      <c r="U58" s="68" t="s">
        <v>290</v>
      </c>
      <c r="V58" s="68" t="s">
        <v>292</v>
      </c>
      <c r="W58" s="68" t="s">
        <v>294</v>
      </c>
      <c r="X58" s="68" t="s">
        <v>295</v>
      </c>
      <c r="Y58" s="68" t="s">
        <v>296</v>
      </c>
      <c r="Z58" s="68" t="s">
        <v>297</v>
      </c>
      <c r="AA58" s="68" t="s">
        <v>298</v>
      </c>
      <c r="AB58" s="68" t="s">
        <v>299</v>
      </c>
      <c r="AC58" s="68" t="s">
        <v>300</v>
      </c>
      <c r="AD58" s="68" t="s">
        <v>301</v>
      </c>
      <c r="AE58" s="68" t="s">
        <v>383</v>
      </c>
      <c r="AF58" s="68" t="s">
        <v>302</v>
      </c>
      <c r="AG58" s="68" t="s">
        <v>303</v>
      </c>
      <c r="AH58" s="68" t="s">
        <v>304</v>
      </c>
    </row>
    <row r="59" spans="2:34" x14ac:dyDescent="0.25">
      <c r="B59" s="20"/>
      <c r="C59" s="20"/>
      <c r="D59" s="20"/>
      <c r="E59" s="20"/>
      <c r="F59" s="20"/>
      <c r="G59" s="20"/>
      <c r="H59" s="20"/>
      <c r="I59" s="20"/>
      <c r="J59" s="20"/>
      <c r="K59" s="20"/>
      <c r="L59" s="20"/>
      <c r="M59" s="20"/>
      <c r="N59" s="20"/>
      <c r="O59" s="20"/>
      <c r="P59" s="20"/>
      <c r="Q59" s="20"/>
      <c r="R59" s="20"/>
      <c r="S59" s="20"/>
      <c r="T59" s="20"/>
      <c r="U59" s="20"/>
      <c r="V59" s="20"/>
      <c r="W59" s="20"/>
      <c r="X59" s="20"/>
      <c r="Y59" s="20"/>
      <c r="Z59" s="20"/>
      <c r="AA59" s="20"/>
      <c r="AB59" s="20"/>
      <c r="AC59" s="20"/>
      <c r="AD59" s="20"/>
      <c r="AE59" s="20"/>
      <c r="AF59" s="20"/>
      <c r="AG59" s="20"/>
      <c r="AH59" s="20"/>
    </row>
    <row r="60" spans="2:34" x14ac:dyDescent="0.25">
      <c r="B60" s="20"/>
      <c r="C60" s="20"/>
      <c r="D60" s="20"/>
      <c r="E60" s="20"/>
      <c r="F60" s="20"/>
      <c r="G60" s="20"/>
      <c r="H60" s="20"/>
      <c r="I60" s="20"/>
      <c r="J60" s="20"/>
      <c r="K60" s="20"/>
      <c r="L60" s="20"/>
      <c r="M60" s="20"/>
      <c r="N60" s="20"/>
      <c r="O60" s="20"/>
      <c r="P60" s="20"/>
      <c r="Q60" s="20"/>
      <c r="R60" s="20"/>
      <c r="S60" s="20"/>
      <c r="T60" s="20"/>
      <c r="U60" s="20"/>
      <c r="V60" s="20"/>
      <c r="W60" s="20"/>
      <c r="X60" s="20"/>
      <c r="Y60" s="20"/>
      <c r="Z60" s="20"/>
      <c r="AA60" s="20"/>
      <c r="AB60" s="20"/>
      <c r="AC60" s="20"/>
      <c r="AD60" s="20"/>
      <c r="AE60" s="20"/>
      <c r="AF60" s="20"/>
      <c r="AG60" s="20"/>
      <c r="AH60" s="20"/>
    </row>
    <row r="61" spans="2:34" x14ac:dyDescent="0.25">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c r="AC61" s="20"/>
      <c r="AD61" s="20"/>
      <c r="AE61" s="20"/>
      <c r="AF61" s="20"/>
      <c r="AG61" s="20"/>
      <c r="AH61" s="20"/>
    </row>
    <row r="62" spans="2:34" x14ac:dyDescent="0.25">
      <c r="B62" s="20"/>
      <c r="C62" s="20"/>
      <c r="D62" s="20"/>
      <c r="E62" s="20"/>
      <c r="F62" s="20"/>
      <c r="G62" s="20"/>
      <c r="H62" s="20"/>
      <c r="I62" s="20"/>
      <c r="J62" s="20"/>
      <c r="K62" s="20"/>
      <c r="L62" s="20"/>
      <c r="M62" s="20"/>
      <c r="N62" s="20"/>
      <c r="O62" s="20"/>
      <c r="P62" s="20"/>
      <c r="Q62" s="20"/>
      <c r="R62" s="20"/>
      <c r="S62" s="20"/>
      <c r="T62" s="20"/>
      <c r="U62" s="20"/>
      <c r="V62" s="20"/>
      <c r="W62" s="20"/>
      <c r="X62" s="20"/>
      <c r="Y62" s="20"/>
      <c r="Z62" s="20"/>
      <c r="AA62" s="20"/>
      <c r="AB62" s="20"/>
      <c r="AC62" s="20"/>
      <c r="AD62" s="20"/>
      <c r="AE62" s="20"/>
      <c r="AF62" s="20"/>
      <c r="AG62" s="20"/>
      <c r="AH62" s="20"/>
    </row>
    <row r="63" spans="2:34" x14ac:dyDescent="0.25">
      <c r="B63" s="20"/>
      <c r="C63" s="20"/>
      <c r="D63" s="20"/>
      <c r="E63" s="20"/>
      <c r="F63" s="20"/>
      <c r="G63" s="20"/>
      <c r="H63" s="20"/>
      <c r="I63" s="20"/>
      <c r="J63" s="20"/>
      <c r="K63" s="20"/>
      <c r="L63" s="20"/>
      <c r="M63" s="20"/>
      <c r="N63" s="20"/>
      <c r="O63" s="20"/>
      <c r="P63" s="20"/>
      <c r="Q63" s="20"/>
      <c r="R63" s="20"/>
      <c r="S63" s="20"/>
      <c r="T63" s="20"/>
      <c r="U63" s="20"/>
      <c r="V63" s="20"/>
      <c r="W63" s="20"/>
      <c r="X63" s="20"/>
      <c r="Y63" s="20"/>
      <c r="Z63" s="20"/>
      <c r="AA63" s="20"/>
      <c r="AB63" s="20"/>
      <c r="AC63" s="20"/>
      <c r="AD63" s="20"/>
      <c r="AE63" s="20"/>
      <c r="AF63" s="20"/>
      <c r="AG63" s="20"/>
      <c r="AH63" s="20"/>
    </row>
    <row r="64" spans="2:34" x14ac:dyDescent="0.25">
      <c r="B64" s="20"/>
      <c r="C64" s="20"/>
      <c r="D64" s="20"/>
      <c r="E64" s="20"/>
      <c r="F64" s="20"/>
      <c r="G64" s="20"/>
      <c r="H64" s="20"/>
      <c r="I64" s="20"/>
      <c r="J64" s="20"/>
      <c r="K64" s="20"/>
      <c r="L64" s="20"/>
      <c r="M64" s="20"/>
      <c r="N64" s="20"/>
      <c r="O64" s="20"/>
      <c r="P64" s="20"/>
      <c r="Q64" s="20"/>
      <c r="R64" s="20"/>
      <c r="S64" s="20"/>
      <c r="T64" s="20"/>
      <c r="U64" s="20"/>
      <c r="V64" s="20"/>
      <c r="W64" s="20"/>
      <c r="X64" s="20"/>
      <c r="Y64" s="20"/>
      <c r="Z64" s="20"/>
      <c r="AA64" s="20"/>
      <c r="AB64" s="20"/>
      <c r="AC64" s="20"/>
      <c r="AD64" s="20"/>
      <c r="AE64" s="20"/>
      <c r="AF64" s="20"/>
      <c r="AG64" s="20"/>
      <c r="AH64" s="20"/>
    </row>
    <row r="65" spans="2:34" x14ac:dyDescent="0.25">
      <c r="B65" s="20"/>
      <c r="C65" s="20"/>
      <c r="D65" s="20"/>
      <c r="E65" s="20"/>
      <c r="F65" s="20"/>
      <c r="G65" s="20"/>
      <c r="H65" s="20"/>
      <c r="I65" s="20"/>
      <c r="J65" s="20"/>
      <c r="K65" s="20"/>
      <c r="L65" s="20"/>
      <c r="M65" s="20"/>
      <c r="N65" s="20"/>
      <c r="O65" s="20"/>
      <c r="P65" s="20"/>
      <c r="Q65" s="20"/>
      <c r="R65" s="20"/>
      <c r="S65" s="20"/>
      <c r="T65" s="20"/>
      <c r="U65" s="20"/>
      <c r="V65" s="20"/>
      <c r="W65" s="20"/>
      <c r="X65" s="20"/>
      <c r="Y65" s="20"/>
      <c r="Z65" s="20"/>
      <c r="AA65" s="20"/>
      <c r="AB65" s="20"/>
      <c r="AC65" s="20"/>
      <c r="AD65" s="20"/>
      <c r="AE65" s="20"/>
      <c r="AF65" s="20"/>
      <c r="AG65" s="20"/>
      <c r="AH65" s="20"/>
    </row>
    <row r="66" spans="2:34" x14ac:dyDescent="0.25">
      <c r="B66" s="20"/>
      <c r="C66" s="20"/>
      <c r="D66" s="20"/>
      <c r="E66" s="20"/>
      <c r="F66" s="20"/>
      <c r="G66" s="20"/>
      <c r="H66" s="20"/>
      <c r="I66" s="20"/>
      <c r="J66" s="20"/>
      <c r="K66" s="20"/>
      <c r="L66" s="20"/>
      <c r="M66" s="20"/>
      <c r="N66" s="20"/>
      <c r="O66" s="20"/>
      <c r="P66" s="20"/>
      <c r="Q66" s="20"/>
      <c r="R66" s="20"/>
      <c r="S66" s="20"/>
      <c r="T66" s="20"/>
      <c r="U66" s="20"/>
      <c r="V66" s="20"/>
      <c r="W66" s="20"/>
      <c r="X66" s="20"/>
      <c r="Y66" s="20"/>
      <c r="Z66" s="20"/>
      <c r="AA66" s="20"/>
      <c r="AB66" s="20"/>
      <c r="AC66" s="20"/>
      <c r="AD66" s="20"/>
      <c r="AE66" s="20"/>
      <c r="AF66" s="20"/>
      <c r="AG66" s="20"/>
      <c r="AH66" s="20"/>
    </row>
    <row r="67" spans="2:34" x14ac:dyDescent="0.25">
      <c r="B67" s="20"/>
      <c r="C67" s="20"/>
      <c r="D67" s="20"/>
      <c r="E67" s="20"/>
      <c r="F67" s="20"/>
      <c r="G67" s="20"/>
      <c r="H67" s="20"/>
      <c r="I67" s="20"/>
      <c r="J67" s="20"/>
      <c r="K67" s="20"/>
      <c r="L67" s="20"/>
      <c r="M67" s="20"/>
      <c r="N67" s="20"/>
      <c r="O67" s="20"/>
      <c r="P67" s="20"/>
      <c r="Q67" s="20"/>
      <c r="R67" s="20"/>
      <c r="S67" s="20"/>
      <c r="T67" s="20"/>
      <c r="U67" s="20"/>
      <c r="V67" s="20"/>
      <c r="W67" s="20"/>
      <c r="X67" s="20"/>
      <c r="Y67" s="20"/>
      <c r="Z67" s="20"/>
      <c r="AA67" s="20"/>
      <c r="AB67" s="20"/>
      <c r="AC67" s="20"/>
      <c r="AD67" s="20"/>
      <c r="AE67" s="20"/>
      <c r="AF67" s="20"/>
      <c r="AG67" s="20"/>
      <c r="AH67" s="20"/>
    </row>
    <row r="68" spans="2:34" x14ac:dyDescent="0.25">
      <c r="B68" s="20"/>
      <c r="C68" s="20"/>
      <c r="D68" s="20"/>
      <c r="E68" s="20"/>
      <c r="F68" s="20"/>
      <c r="G68" s="20"/>
      <c r="H68" s="20"/>
      <c r="I68" s="20"/>
      <c r="J68" s="20"/>
      <c r="K68" s="20"/>
      <c r="L68" s="20"/>
      <c r="M68" s="20"/>
      <c r="N68" s="20"/>
      <c r="O68" s="20"/>
      <c r="P68" s="20"/>
      <c r="Q68" s="20"/>
      <c r="R68" s="20"/>
      <c r="S68" s="20"/>
      <c r="T68" s="20"/>
      <c r="U68" s="20"/>
      <c r="V68" s="20"/>
      <c r="W68" s="20"/>
      <c r="X68" s="20"/>
      <c r="Y68" s="20"/>
      <c r="Z68" s="20"/>
      <c r="AA68" s="20"/>
      <c r="AB68" s="20"/>
      <c r="AC68" s="20"/>
      <c r="AD68" s="20"/>
      <c r="AE68" s="20"/>
      <c r="AF68" s="20"/>
      <c r="AG68" s="20"/>
      <c r="AH68" s="20"/>
    </row>
    <row r="69" spans="2:34" x14ac:dyDescent="0.25">
      <c r="B69" s="20"/>
      <c r="C69" s="20"/>
      <c r="D69" s="20"/>
      <c r="E69" s="20"/>
      <c r="F69" s="20"/>
      <c r="G69" s="20"/>
      <c r="H69" s="20"/>
      <c r="I69" s="20"/>
      <c r="J69" s="20"/>
      <c r="K69" s="20"/>
      <c r="L69" s="20"/>
      <c r="M69" s="20"/>
      <c r="N69" s="20"/>
      <c r="O69" s="20"/>
      <c r="P69" s="20"/>
      <c r="Q69" s="20"/>
      <c r="R69" s="20"/>
      <c r="S69" s="20"/>
      <c r="T69" s="20"/>
      <c r="U69" s="20"/>
      <c r="V69" s="20"/>
      <c r="W69" s="20"/>
      <c r="X69" s="20"/>
      <c r="Y69" s="20"/>
      <c r="Z69" s="20"/>
      <c r="AA69" s="20"/>
      <c r="AB69" s="20"/>
      <c r="AC69" s="20"/>
      <c r="AD69" s="20"/>
      <c r="AE69" s="20"/>
      <c r="AF69" s="20"/>
      <c r="AG69" s="20"/>
      <c r="AH69" s="20"/>
    </row>
    <row r="70" spans="2:34" x14ac:dyDescent="0.25">
      <c r="B70" s="20"/>
      <c r="C70" s="20"/>
      <c r="D70" s="20"/>
      <c r="E70" s="20"/>
      <c r="F70" s="20"/>
      <c r="G70" s="20"/>
      <c r="H70" s="20"/>
      <c r="I70" s="20"/>
      <c r="J70" s="20"/>
      <c r="K70" s="20"/>
      <c r="L70" s="20"/>
      <c r="M70" s="20"/>
      <c r="N70" s="20"/>
      <c r="O70" s="20"/>
      <c r="P70" s="20"/>
      <c r="Q70" s="20"/>
      <c r="R70" s="20"/>
      <c r="S70" s="20"/>
      <c r="T70" s="20"/>
      <c r="U70" s="20"/>
      <c r="V70" s="20"/>
      <c r="W70" s="20"/>
      <c r="X70" s="20"/>
      <c r="Y70" s="20"/>
      <c r="Z70" s="20"/>
      <c r="AA70" s="20"/>
      <c r="AB70" s="20"/>
      <c r="AC70" s="20"/>
      <c r="AD70" s="20"/>
      <c r="AE70" s="20"/>
      <c r="AF70" s="20"/>
      <c r="AG70" s="20"/>
      <c r="AH70" s="20"/>
    </row>
    <row r="71" spans="2:34" x14ac:dyDescent="0.25">
      <c r="B71" s="20"/>
      <c r="C71" s="20"/>
      <c r="D71" s="20"/>
      <c r="E71" s="20"/>
      <c r="F71" s="20"/>
      <c r="G71" s="20"/>
      <c r="H71" s="20"/>
      <c r="I71" s="20"/>
      <c r="J71" s="20"/>
      <c r="K71" s="20"/>
      <c r="L71" s="20"/>
      <c r="M71" s="20"/>
      <c r="N71" s="20"/>
      <c r="O71" s="20"/>
      <c r="P71" s="20"/>
      <c r="Q71" s="20"/>
      <c r="R71" s="20"/>
      <c r="S71" s="20"/>
      <c r="T71" s="20"/>
      <c r="U71" s="20"/>
      <c r="V71" s="20"/>
      <c r="W71" s="20"/>
      <c r="X71" s="20"/>
      <c r="Y71" s="20"/>
      <c r="Z71" s="20"/>
      <c r="AA71" s="20"/>
      <c r="AB71" s="20"/>
      <c r="AC71" s="20"/>
      <c r="AD71" s="20"/>
      <c r="AE71" s="20"/>
      <c r="AF71" s="20"/>
      <c r="AG71" s="20"/>
      <c r="AH71" s="20"/>
    </row>
    <row r="72" spans="2:34" x14ac:dyDescent="0.25">
      <c r="B72" s="20"/>
      <c r="C72" s="20"/>
      <c r="D72" s="20"/>
      <c r="E72" s="20"/>
      <c r="F72" s="20"/>
      <c r="G72" s="20"/>
      <c r="H72" s="20"/>
      <c r="I72" s="20"/>
      <c r="J72" s="20"/>
      <c r="K72" s="20"/>
      <c r="L72" s="20"/>
      <c r="M72" s="20"/>
      <c r="N72" s="20"/>
      <c r="O72" s="20"/>
      <c r="P72" s="20"/>
      <c r="Q72" s="20"/>
      <c r="R72" s="20"/>
      <c r="S72" s="20"/>
      <c r="T72" s="20"/>
      <c r="U72" s="20"/>
      <c r="V72" s="20"/>
      <c r="W72" s="20"/>
      <c r="X72" s="20"/>
      <c r="Y72" s="20"/>
      <c r="Z72" s="20"/>
      <c r="AA72" s="20"/>
      <c r="AB72" s="20"/>
      <c r="AC72" s="20"/>
      <c r="AD72" s="20"/>
      <c r="AE72" s="20"/>
      <c r="AF72" s="20"/>
      <c r="AG72" s="20"/>
      <c r="AH72" s="20"/>
    </row>
    <row r="73" spans="2:34" x14ac:dyDescent="0.25">
      <c r="B73" s="20"/>
      <c r="C73" s="20"/>
      <c r="D73" s="20"/>
      <c r="E73" s="20"/>
      <c r="F73" s="20"/>
      <c r="G73" s="20"/>
      <c r="H73" s="20"/>
      <c r="I73" s="20"/>
      <c r="J73" s="20"/>
      <c r="K73" s="20"/>
      <c r="L73" s="20"/>
      <c r="M73" s="20"/>
      <c r="N73" s="20"/>
      <c r="O73" s="20"/>
      <c r="P73" s="20"/>
      <c r="Q73" s="20"/>
      <c r="R73" s="20"/>
      <c r="S73" s="20"/>
      <c r="T73" s="20"/>
      <c r="U73" s="20"/>
      <c r="V73" s="20"/>
      <c r="W73" s="20"/>
      <c r="X73" s="20"/>
      <c r="Y73" s="20"/>
      <c r="Z73" s="20"/>
      <c r="AA73" s="20"/>
      <c r="AB73" s="20"/>
      <c r="AC73" s="20"/>
      <c r="AD73" s="20"/>
      <c r="AE73" s="20"/>
      <c r="AF73" s="20"/>
      <c r="AG73" s="20"/>
      <c r="AH73" s="20"/>
    </row>
    <row r="74" spans="2:34" x14ac:dyDescent="0.25">
      <c r="B74" s="20"/>
      <c r="C74" s="20"/>
      <c r="D74" s="20"/>
      <c r="E74" s="20"/>
      <c r="F74" s="20"/>
      <c r="G74" s="20"/>
      <c r="H74" s="20"/>
      <c r="I74" s="20"/>
      <c r="J74" s="20"/>
      <c r="K74" s="20"/>
      <c r="L74" s="20"/>
      <c r="M74" s="20"/>
      <c r="N74" s="20"/>
      <c r="O74" s="20"/>
      <c r="P74" s="20"/>
      <c r="Q74" s="20"/>
      <c r="R74" s="20"/>
      <c r="S74" s="20"/>
      <c r="T74" s="20"/>
      <c r="U74" s="20"/>
      <c r="V74" s="20"/>
      <c r="W74" s="20"/>
      <c r="X74" s="20"/>
      <c r="Y74" s="20"/>
      <c r="Z74" s="20"/>
      <c r="AA74" s="20"/>
      <c r="AB74" s="20"/>
      <c r="AC74" s="20"/>
      <c r="AD74" s="20"/>
      <c r="AE74" s="20"/>
      <c r="AF74" s="20"/>
      <c r="AG74" s="20"/>
      <c r="AH74" s="20"/>
    </row>
    <row r="75" spans="2:34" x14ac:dyDescent="0.25">
      <c r="B75" s="20"/>
      <c r="C75" s="20"/>
      <c r="D75" s="20"/>
      <c r="E75" s="20"/>
      <c r="F75" s="20"/>
      <c r="G75" s="20"/>
      <c r="H75" s="20"/>
      <c r="I75" s="20"/>
      <c r="J75" s="20"/>
      <c r="K75" s="20"/>
      <c r="L75" s="20"/>
      <c r="M75" s="20"/>
      <c r="N75" s="20"/>
      <c r="O75" s="20"/>
      <c r="P75" s="20"/>
      <c r="Q75" s="20"/>
      <c r="R75" s="20"/>
      <c r="S75" s="20"/>
      <c r="T75" s="20"/>
      <c r="U75" s="20"/>
      <c r="V75" s="20"/>
      <c r="W75" s="20"/>
      <c r="X75" s="20"/>
      <c r="Y75" s="20"/>
      <c r="Z75" s="20"/>
      <c r="AA75" s="20"/>
      <c r="AB75" s="20"/>
      <c r="AC75" s="20"/>
      <c r="AD75" s="20"/>
      <c r="AE75" s="20"/>
      <c r="AF75" s="20"/>
      <c r="AG75" s="20"/>
      <c r="AH75" s="20"/>
    </row>
    <row r="76" spans="2:34" x14ac:dyDescent="0.25">
      <c r="B76" s="20"/>
      <c r="C76" s="20"/>
      <c r="D76" s="20"/>
      <c r="E76" s="20"/>
      <c r="F76" s="20"/>
      <c r="G76" s="20"/>
      <c r="H76" s="20"/>
      <c r="I76" s="20"/>
      <c r="J76" s="20"/>
      <c r="K76" s="20"/>
      <c r="L76" s="20"/>
      <c r="M76" s="20"/>
      <c r="N76" s="20"/>
      <c r="O76" s="20"/>
      <c r="P76" s="20"/>
      <c r="Q76" s="20"/>
      <c r="R76" s="20"/>
      <c r="S76" s="20"/>
      <c r="T76" s="20"/>
      <c r="U76" s="20"/>
      <c r="V76" s="20"/>
      <c r="W76" s="20"/>
      <c r="X76" s="20"/>
      <c r="Y76" s="20"/>
      <c r="Z76" s="20"/>
      <c r="AA76" s="20"/>
      <c r="AB76" s="20"/>
      <c r="AC76" s="20"/>
      <c r="AD76" s="20"/>
      <c r="AE76" s="20"/>
      <c r="AF76" s="20"/>
      <c r="AG76" s="20"/>
      <c r="AH76" s="20"/>
    </row>
    <row r="77" spans="2:34" x14ac:dyDescent="0.25">
      <c r="B77" s="20"/>
      <c r="C77" s="20"/>
      <c r="D77" s="20"/>
      <c r="E77" s="20"/>
      <c r="F77" s="20"/>
      <c r="G77" s="20"/>
      <c r="H77" s="20"/>
      <c r="I77" s="20"/>
      <c r="J77" s="20"/>
      <c r="K77" s="20"/>
      <c r="L77" s="20"/>
      <c r="M77" s="20"/>
      <c r="N77" s="20"/>
      <c r="O77" s="20"/>
      <c r="P77" s="20"/>
      <c r="Q77" s="20"/>
      <c r="R77" s="20"/>
      <c r="S77" s="20"/>
      <c r="T77" s="20"/>
      <c r="U77" s="20"/>
      <c r="V77" s="20"/>
      <c r="W77" s="20"/>
      <c r="X77" s="20"/>
      <c r="Y77" s="20"/>
      <c r="Z77" s="20"/>
      <c r="AA77" s="20"/>
      <c r="AB77" s="20"/>
      <c r="AC77" s="20"/>
      <c r="AD77" s="20"/>
      <c r="AE77" s="20"/>
      <c r="AF77" s="20"/>
      <c r="AG77" s="20"/>
      <c r="AH77" s="20"/>
    </row>
    <row r="78" spans="2:34" x14ac:dyDescent="0.25">
      <c r="B78" s="20"/>
      <c r="C78" s="20"/>
      <c r="D78" s="20"/>
      <c r="E78" s="20"/>
      <c r="F78" s="20"/>
      <c r="G78" s="20"/>
      <c r="H78" s="20"/>
      <c r="I78" s="20"/>
      <c r="J78" s="20"/>
      <c r="K78" s="20"/>
      <c r="L78" s="20"/>
      <c r="M78" s="20"/>
      <c r="N78" s="20"/>
      <c r="O78" s="20"/>
      <c r="P78" s="20"/>
      <c r="Q78" s="20"/>
      <c r="R78" s="20"/>
      <c r="S78" s="20"/>
      <c r="T78" s="20"/>
      <c r="U78" s="20"/>
      <c r="V78" s="20"/>
      <c r="W78" s="20"/>
      <c r="X78" s="20"/>
      <c r="Y78" s="20"/>
      <c r="Z78" s="20"/>
      <c r="AA78" s="20"/>
      <c r="AB78" s="20"/>
      <c r="AC78" s="20"/>
      <c r="AD78" s="20"/>
      <c r="AE78" s="20"/>
      <c r="AF78" s="20"/>
      <c r="AG78" s="20"/>
      <c r="AH78" s="20"/>
    </row>
    <row r="79" spans="2:34" x14ac:dyDescent="0.25">
      <c r="B79" s="20"/>
      <c r="C79" s="20"/>
      <c r="D79" s="20"/>
      <c r="E79" s="20"/>
      <c r="F79" s="20"/>
      <c r="G79" s="20"/>
      <c r="H79" s="20"/>
      <c r="I79" s="20"/>
      <c r="J79" s="20"/>
      <c r="K79" s="20"/>
      <c r="L79" s="20"/>
      <c r="M79" s="20"/>
      <c r="N79" s="20"/>
      <c r="O79" s="20"/>
      <c r="P79" s="20"/>
      <c r="Q79" s="20"/>
      <c r="R79" s="20"/>
      <c r="S79" s="20"/>
      <c r="T79" s="20"/>
      <c r="U79" s="20"/>
      <c r="V79" s="20"/>
      <c r="W79" s="20"/>
      <c r="X79" s="20"/>
      <c r="Y79" s="20"/>
      <c r="Z79" s="20"/>
      <c r="AA79" s="20"/>
      <c r="AB79" s="20"/>
      <c r="AC79" s="20"/>
      <c r="AD79" s="20"/>
      <c r="AE79" s="20"/>
      <c r="AF79" s="20"/>
      <c r="AG79" s="20"/>
      <c r="AH79" s="20"/>
    </row>
    <row r="80" spans="2:34" x14ac:dyDescent="0.25">
      <c r="B80" s="20"/>
      <c r="C80" s="20"/>
      <c r="D80" s="20"/>
      <c r="E80" s="20"/>
      <c r="F80" s="20"/>
      <c r="G80" s="20"/>
      <c r="H80" s="20"/>
      <c r="I80" s="20"/>
      <c r="J80" s="20"/>
      <c r="K80" s="20"/>
      <c r="L80" s="20"/>
      <c r="M80" s="20"/>
      <c r="N80" s="20"/>
      <c r="O80" s="20"/>
      <c r="P80" s="20"/>
      <c r="Q80" s="20"/>
      <c r="R80" s="20"/>
      <c r="S80" s="20"/>
      <c r="T80" s="20"/>
      <c r="U80" s="20"/>
      <c r="V80" s="20"/>
      <c r="W80" s="20"/>
      <c r="X80" s="20"/>
      <c r="Y80" s="20"/>
      <c r="Z80" s="20"/>
      <c r="AA80" s="20"/>
      <c r="AB80" s="20"/>
      <c r="AC80" s="20"/>
      <c r="AD80" s="20"/>
      <c r="AE80" s="20"/>
      <c r="AF80" s="20"/>
      <c r="AG80" s="20"/>
      <c r="AH80" s="20"/>
    </row>
    <row r="81" spans="2:34" x14ac:dyDescent="0.25">
      <c r="B81" s="20"/>
      <c r="C81" s="20"/>
      <c r="D81" s="20"/>
      <c r="E81" s="20"/>
      <c r="F81" s="20"/>
      <c r="G81" s="20"/>
      <c r="H81" s="20"/>
      <c r="I81" s="20"/>
      <c r="J81" s="20"/>
      <c r="K81" s="20"/>
      <c r="L81" s="20"/>
      <c r="M81" s="20"/>
      <c r="N81" s="20"/>
      <c r="O81" s="20"/>
      <c r="P81" s="20"/>
      <c r="Q81" s="20"/>
      <c r="R81" s="20"/>
      <c r="S81" s="20"/>
      <c r="T81" s="20"/>
      <c r="U81" s="20"/>
      <c r="V81" s="20"/>
      <c r="W81" s="20"/>
      <c r="X81" s="20"/>
      <c r="Y81" s="20"/>
      <c r="Z81" s="20"/>
      <c r="AA81" s="20"/>
      <c r="AB81" s="20"/>
      <c r="AC81" s="20"/>
      <c r="AD81" s="20"/>
      <c r="AE81" s="20"/>
      <c r="AF81" s="20"/>
      <c r="AG81" s="20"/>
      <c r="AH81" s="20"/>
    </row>
    <row r="82" spans="2:34" x14ac:dyDescent="0.25">
      <c r="B82" s="20"/>
      <c r="C82" s="20"/>
      <c r="D82" s="20"/>
      <c r="E82" s="20"/>
      <c r="F82" s="20"/>
      <c r="G82" s="20"/>
      <c r="H82" s="20"/>
      <c r="I82" s="20"/>
      <c r="J82" s="20"/>
      <c r="K82" s="20"/>
      <c r="L82" s="20"/>
      <c r="M82" s="20"/>
      <c r="N82" s="20"/>
      <c r="O82" s="20"/>
      <c r="P82" s="20"/>
      <c r="Q82" s="20"/>
      <c r="R82" s="20"/>
      <c r="S82" s="20"/>
      <c r="T82" s="20"/>
      <c r="U82" s="20"/>
      <c r="V82" s="20"/>
      <c r="W82" s="20"/>
      <c r="X82" s="20"/>
      <c r="Y82" s="20"/>
      <c r="Z82" s="20"/>
      <c r="AA82" s="20"/>
      <c r="AB82" s="20"/>
      <c r="AC82" s="20"/>
      <c r="AD82" s="20"/>
      <c r="AE82" s="20"/>
      <c r="AF82" s="20"/>
      <c r="AG82" s="20"/>
      <c r="AH82" s="20"/>
    </row>
    <row r="83" spans="2:34" x14ac:dyDescent="0.25">
      <c r="B83" s="20"/>
      <c r="C83" s="20"/>
      <c r="D83" s="20"/>
      <c r="E83" s="20"/>
      <c r="F83" s="20"/>
      <c r="G83" s="20"/>
      <c r="H83" s="20"/>
      <c r="I83" s="20"/>
      <c r="J83" s="20"/>
      <c r="K83" s="20"/>
      <c r="L83" s="20"/>
      <c r="M83" s="20"/>
      <c r="N83" s="20"/>
      <c r="O83" s="20"/>
      <c r="P83" s="20"/>
      <c r="Q83" s="20"/>
      <c r="R83" s="20"/>
      <c r="S83" s="20"/>
      <c r="T83" s="20"/>
      <c r="U83" s="20"/>
      <c r="V83" s="20"/>
      <c r="W83" s="20"/>
      <c r="X83" s="20"/>
      <c r="Y83" s="20"/>
      <c r="Z83" s="20"/>
      <c r="AA83" s="20"/>
      <c r="AB83" s="20"/>
      <c r="AC83" s="20"/>
      <c r="AD83" s="20"/>
      <c r="AE83" s="20"/>
      <c r="AF83" s="20"/>
      <c r="AG83" s="20"/>
      <c r="AH83" s="20"/>
    </row>
    <row r="84" spans="2:34" x14ac:dyDescent="0.25">
      <c r="B84" s="20"/>
      <c r="C84" s="20"/>
      <c r="D84" s="20"/>
      <c r="E84" s="20"/>
      <c r="F84" s="20"/>
      <c r="G84" s="20"/>
      <c r="H84" s="20"/>
      <c r="I84" s="20"/>
      <c r="J84" s="20"/>
      <c r="K84" s="20"/>
      <c r="L84" s="20"/>
      <c r="M84" s="20"/>
      <c r="N84" s="20"/>
      <c r="O84" s="20"/>
      <c r="P84" s="20"/>
      <c r="Q84" s="20"/>
      <c r="R84" s="20"/>
      <c r="S84" s="20"/>
      <c r="T84" s="20"/>
      <c r="U84" s="20"/>
      <c r="V84" s="20"/>
      <c r="W84" s="20"/>
      <c r="X84" s="20"/>
      <c r="Y84" s="20"/>
      <c r="Z84" s="20"/>
      <c r="AA84" s="20"/>
      <c r="AB84" s="20"/>
      <c r="AC84" s="20"/>
      <c r="AD84" s="20"/>
      <c r="AE84" s="20"/>
      <c r="AF84" s="20"/>
      <c r="AG84" s="20"/>
      <c r="AH84" s="20"/>
    </row>
    <row r="85" spans="2:34" x14ac:dyDescent="0.25">
      <c r="B85" s="20"/>
      <c r="C85" s="20"/>
      <c r="D85" s="20"/>
      <c r="E85" s="20"/>
      <c r="F85" s="20"/>
      <c r="G85" s="20"/>
      <c r="H85" s="20"/>
      <c r="I85" s="20"/>
      <c r="J85" s="20"/>
      <c r="K85" s="20"/>
      <c r="L85" s="20"/>
      <c r="M85" s="20"/>
      <c r="N85" s="20"/>
      <c r="O85" s="20"/>
      <c r="P85" s="20"/>
      <c r="Q85" s="20"/>
      <c r="R85" s="20"/>
      <c r="S85" s="20"/>
      <c r="T85" s="20"/>
      <c r="U85" s="20"/>
      <c r="V85" s="20"/>
      <c r="W85" s="20"/>
      <c r="X85" s="20"/>
      <c r="Y85" s="20"/>
      <c r="Z85" s="20"/>
      <c r="AA85" s="20"/>
      <c r="AB85" s="20"/>
      <c r="AC85" s="20"/>
      <c r="AD85" s="20"/>
      <c r="AE85" s="20"/>
      <c r="AF85" s="20"/>
      <c r="AG85" s="20"/>
      <c r="AH85" s="20"/>
    </row>
    <row r="86" spans="2:34" x14ac:dyDescent="0.25">
      <c r="B86" s="20"/>
      <c r="C86" s="20"/>
      <c r="D86" s="20"/>
      <c r="E86" s="20"/>
      <c r="F86" s="20"/>
      <c r="G86" s="20"/>
      <c r="H86" s="20"/>
      <c r="I86" s="20"/>
      <c r="J86" s="20"/>
      <c r="K86" s="20"/>
      <c r="L86" s="20"/>
      <c r="M86" s="20"/>
      <c r="N86" s="20"/>
      <c r="O86" s="20"/>
      <c r="P86" s="20"/>
      <c r="Q86" s="20"/>
      <c r="R86" s="20"/>
      <c r="S86" s="20"/>
      <c r="T86" s="20"/>
      <c r="U86" s="20"/>
      <c r="V86" s="20"/>
      <c r="W86" s="20"/>
      <c r="X86" s="20"/>
      <c r="Y86" s="20"/>
      <c r="Z86" s="20"/>
      <c r="AA86" s="20"/>
      <c r="AB86" s="20"/>
      <c r="AC86" s="20"/>
      <c r="AD86" s="20"/>
      <c r="AE86" s="20"/>
      <c r="AF86" s="20"/>
      <c r="AG86" s="20"/>
      <c r="AH86" s="20"/>
    </row>
    <row r="87" spans="2:34" x14ac:dyDescent="0.25">
      <c r="B87" s="20"/>
      <c r="C87" s="20"/>
      <c r="D87" s="20"/>
      <c r="E87" s="20"/>
      <c r="F87" s="20"/>
      <c r="G87" s="20"/>
      <c r="H87" s="20"/>
      <c r="I87" s="20"/>
      <c r="J87" s="20"/>
      <c r="K87" s="20"/>
      <c r="L87" s="20"/>
      <c r="M87" s="20"/>
      <c r="N87" s="20"/>
      <c r="O87" s="20"/>
      <c r="P87" s="20"/>
      <c r="Q87" s="20"/>
      <c r="R87" s="20"/>
      <c r="S87" s="20"/>
      <c r="T87" s="20"/>
      <c r="U87" s="20"/>
      <c r="V87" s="20"/>
      <c r="W87" s="20"/>
      <c r="X87" s="20"/>
      <c r="Y87" s="20"/>
      <c r="Z87" s="20"/>
      <c r="AA87" s="20"/>
      <c r="AB87" s="20"/>
      <c r="AC87" s="20"/>
      <c r="AD87" s="20"/>
      <c r="AE87" s="20"/>
      <c r="AF87" s="20"/>
      <c r="AG87" s="20"/>
      <c r="AH87" s="20"/>
    </row>
    <row r="88" spans="2:34" x14ac:dyDescent="0.25">
      <c r="B88" s="20"/>
      <c r="C88" s="20"/>
      <c r="D88" s="20"/>
      <c r="E88" s="20"/>
      <c r="F88" s="20"/>
      <c r="G88" s="20"/>
      <c r="H88" s="20"/>
      <c r="I88" s="20"/>
      <c r="J88" s="20"/>
      <c r="K88" s="20"/>
      <c r="L88" s="20"/>
      <c r="M88" s="20"/>
      <c r="N88" s="20"/>
      <c r="O88" s="20"/>
      <c r="P88" s="20"/>
      <c r="Q88" s="20"/>
      <c r="R88" s="20"/>
      <c r="S88" s="20"/>
      <c r="T88" s="20"/>
      <c r="U88" s="20"/>
      <c r="V88" s="20"/>
      <c r="W88" s="20"/>
      <c r="X88" s="20"/>
      <c r="Y88" s="20"/>
      <c r="Z88" s="20"/>
      <c r="AA88" s="20"/>
      <c r="AB88" s="20"/>
      <c r="AC88" s="20"/>
      <c r="AD88" s="20"/>
      <c r="AE88" s="20"/>
      <c r="AF88" s="20"/>
      <c r="AG88" s="20"/>
      <c r="AH88" s="20"/>
    </row>
    <row r="89" spans="2:34" x14ac:dyDescent="0.25">
      <c r="B89" s="20"/>
      <c r="C89" s="20"/>
      <c r="D89" s="20"/>
      <c r="E89" s="20"/>
      <c r="F89" s="20"/>
      <c r="G89" s="20"/>
      <c r="H89" s="20"/>
      <c r="I89" s="20"/>
      <c r="J89" s="20"/>
      <c r="K89" s="20"/>
      <c r="L89" s="20"/>
      <c r="M89" s="20"/>
      <c r="N89" s="20"/>
      <c r="O89" s="20"/>
      <c r="P89" s="20"/>
      <c r="Q89" s="20"/>
      <c r="R89" s="20"/>
      <c r="S89" s="20"/>
      <c r="T89" s="20"/>
      <c r="U89" s="20"/>
      <c r="V89" s="20"/>
      <c r="W89" s="20"/>
      <c r="X89" s="20"/>
      <c r="Y89" s="20"/>
      <c r="Z89" s="20"/>
      <c r="AA89" s="20"/>
      <c r="AB89" s="20"/>
      <c r="AC89" s="20"/>
      <c r="AD89" s="20"/>
      <c r="AE89" s="20"/>
      <c r="AF89" s="20"/>
      <c r="AG89" s="20"/>
      <c r="AH89" s="20"/>
    </row>
    <row r="90" spans="2:34" x14ac:dyDescent="0.25">
      <c r="B90" s="20"/>
      <c r="C90" s="20"/>
      <c r="D90" s="20"/>
      <c r="E90" s="20"/>
      <c r="F90" s="20"/>
      <c r="G90" s="20"/>
      <c r="H90" s="20"/>
      <c r="I90" s="20"/>
      <c r="J90" s="20"/>
      <c r="K90" s="20"/>
      <c r="L90" s="20"/>
      <c r="M90" s="20"/>
      <c r="N90" s="20"/>
      <c r="O90" s="20"/>
      <c r="P90" s="20"/>
      <c r="Q90" s="20"/>
      <c r="R90" s="20"/>
      <c r="S90" s="20"/>
      <c r="T90" s="20"/>
      <c r="U90" s="20"/>
      <c r="V90" s="20"/>
      <c r="W90" s="20"/>
      <c r="X90" s="20"/>
      <c r="Y90" s="20"/>
      <c r="Z90" s="20"/>
      <c r="AA90" s="20"/>
      <c r="AB90" s="20"/>
      <c r="AC90" s="20"/>
      <c r="AD90" s="20"/>
      <c r="AE90" s="20"/>
      <c r="AF90" s="20"/>
      <c r="AG90" s="20"/>
      <c r="AH90" s="20"/>
    </row>
    <row r="91" spans="2:34" x14ac:dyDescent="0.25">
      <c r="B91" s="20"/>
      <c r="C91" s="20"/>
      <c r="D91" s="20"/>
      <c r="E91" s="20"/>
      <c r="F91" s="20"/>
      <c r="G91" s="20"/>
      <c r="H91" s="20"/>
      <c r="I91" s="20"/>
      <c r="J91" s="20"/>
      <c r="K91" s="20"/>
      <c r="L91" s="20"/>
      <c r="M91" s="20"/>
      <c r="N91" s="20"/>
      <c r="O91" s="20"/>
      <c r="P91" s="20"/>
      <c r="Q91" s="20"/>
      <c r="R91" s="20"/>
      <c r="S91" s="20"/>
      <c r="T91" s="20"/>
      <c r="U91" s="20"/>
      <c r="V91" s="20"/>
      <c r="W91" s="20"/>
      <c r="X91" s="20"/>
      <c r="Y91" s="20"/>
      <c r="Z91" s="20"/>
      <c r="AA91" s="20"/>
      <c r="AB91" s="20"/>
      <c r="AC91" s="20"/>
      <c r="AD91" s="20"/>
      <c r="AE91" s="20"/>
      <c r="AF91" s="20"/>
      <c r="AG91" s="20"/>
      <c r="AH91" s="20"/>
    </row>
    <row r="92" spans="2:34" x14ac:dyDescent="0.25">
      <c r="B92" s="20"/>
      <c r="C92" s="20"/>
      <c r="D92" s="20"/>
      <c r="E92" s="20"/>
      <c r="F92" s="20"/>
      <c r="G92" s="20"/>
      <c r="H92" s="20"/>
      <c r="I92" s="20"/>
      <c r="J92" s="20"/>
      <c r="K92" s="20"/>
      <c r="L92" s="20"/>
      <c r="M92" s="20"/>
      <c r="N92" s="20"/>
      <c r="O92" s="20"/>
      <c r="P92" s="20"/>
      <c r="Q92" s="20"/>
      <c r="R92" s="20"/>
      <c r="S92" s="20"/>
      <c r="T92" s="20"/>
      <c r="U92" s="20"/>
      <c r="V92" s="20"/>
      <c r="W92" s="20"/>
      <c r="X92" s="20"/>
      <c r="Y92" s="20"/>
      <c r="Z92" s="20"/>
      <c r="AA92" s="20"/>
      <c r="AB92" s="20"/>
      <c r="AC92" s="20"/>
      <c r="AD92" s="20"/>
      <c r="AE92" s="20"/>
      <c r="AF92" s="20"/>
      <c r="AG92" s="20"/>
      <c r="AH92" s="20"/>
    </row>
    <row r="93" spans="2:34" x14ac:dyDescent="0.25">
      <c r="B93" s="20"/>
      <c r="C93" s="20"/>
      <c r="D93" s="20"/>
      <c r="E93" s="20"/>
      <c r="F93" s="20"/>
      <c r="G93" s="20"/>
      <c r="H93" s="20"/>
      <c r="I93" s="20"/>
      <c r="J93" s="20"/>
      <c r="K93" s="20"/>
      <c r="L93" s="20"/>
      <c r="M93" s="20"/>
      <c r="N93" s="20"/>
      <c r="O93" s="20"/>
      <c r="P93" s="20"/>
      <c r="Q93" s="20"/>
      <c r="R93" s="20"/>
      <c r="S93" s="20"/>
      <c r="T93" s="20"/>
      <c r="U93" s="20"/>
      <c r="V93" s="20"/>
      <c r="W93" s="20"/>
      <c r="X93" s="20"/>
      <c r="Y93" s="20"/>
      <c r="Z93" s="20"/>
      <c r="AA93" s="20"/>
      <c r="AB93" s="20"/>
      <c r="AC93" s="20"/>
      <c r="AD93" s="20"/>
      <c r="AE93" s="20"/>
      <c r="AF93" s="20"/>
      <c r="AG93" s="20"/>
      <c r="AH93" s="20"/>
    </row>
    <row r="94" spans="2:34" x14ac:dyDescent="0.25">
      <c r="B94" s="20"/>
      <c r="C94" s="20"/>
      <c r="D94" s="20"/>
      <c r="E94" s="20"/>
      <c r="F94" s="20"/>
      <c r="G94" s="20"/>
      <c r="H94" s="20"/>
      <c r="I94" s="20"/>
      <c r="J94" s="20"/>
      <c r="K94" s="20"/>
      <c r="L94" s="20"/>
      <c r="M94" s="20"/>
      <c r="N94" s="20"/>
      <c r="O94" s="20"/>
      <c r="P94" s="20"/>
      <c r="Q94" s="20"/>
      <c r="R94" s="20"/>
      <c r="S94" s="20"/>
      <c r="T94" s="20"/>
      <c r="U94" s="20"/>
      <c r="V94" s="20"/>
      <c r="W94" s="20"/>
      <c r="X94" s="20"/>
      <c r="Y94" s="20"/>
      <c r="Z94" s="20"/>
      <c r="AA94" s="20"/>
      <c r="AB94" s="20"/>
      <c r="AC94" s="20"/>
      <c r="AD94" s="20"/>
      <c r="AE94" s="20"/>
      <c r="AF94" s="20"/>
      <c r="AG94" s="20"/>
      <c r="AH94" s="20"/>
    </row>
    <row r="95" spans="2:34" x14ac:dyDescent="0.25">
      <c r="B95" s="20"/>
      <c r="C95" s="20"/>
      <c r="D95" s="20"/>
      <c r="E95" s="20"/>
      <c r="F95" s="20"/>
      <c r="G95" s="20"/>
      <c r="H95" s="20"/>
      <c r="I95" s="20"/>
      <c r="J95" s="20"/>
      <c r="K95" s="20"/>
      <c r="L95" s="20"/>
      <c r="M95" s="20"/>
      <c r="N95" s="20"/>
      <c r="O95" s="20"/>
      <c r="P95" s="20"/>
      <c r="Q95" s="20"/>
      <c r="R95" s="20"/>
      <c r="S95" s="20"/>
      <c r="T95" s="20"/>
      <c r="U95" s="20"/>
      <c r="V95" s="20"/>
      <c r="W95" s="20"/>
      <c r="X95" s="20"/>
      <c r="Y95" s="20"/>
      <c r="Z95" s="20"/>
      <c r="AA95" s="20"/>
      <c r="AB95" s="20"/>
      <c r="AC95" s="20"/>
      <c r="AD95" s="20"/>
      <c r="AE95" s="20"/>
      <c r="AF95" s="20"/>
      <c r="AG95" s="20"/>
      <c r="AH95" s="20"/>
    </row>
    <row r="96" spans="2:34" x14ac:dyDescent="0.25">
      <c r="B96" s="20"/>
      <c r="C96" s="20"/>
      <c r="D96" s="20"/>
      <c r="E96" s="20"/>
      <c r="F96" s="20"/>
      <c r="G96" s="20"/>
      <c r="H96" s="20"/>
      <c r="I96" s="20"/>
      <c r="J96" s="20"/>
      <c r="K96" s="20"/>
      <c r="L96" s="20"/>
      <c r="M96" s="20"/>
      <c r="N96" s="20"/>
      <c r="O96" s="20"/>
      <c r="P96" s="20"/>
      <c r="Q96" s="20"/>
      <c r="R96" s="20"/>
      <c r="S96" s="20"/>
      <c r="T96" s="20"/>
      <c r="U96" s="20"/>
      <c r="V96" s="20"/>
      <c r="W96" s="20"/>
      <c r="X96" s="20"/>
      <c r="Y96" s="20"/>
      <c r="Z96" s="20"/>
      <c r="AA96" s="20"/>
      <c r="AB96" s="20"/>
      <c r="AC96" s="20"/>
      <c r="AD96" s="20"/>
      <c r="AE96" s="20"/>
      <c r="AF96" s="20"/>
      <c r="AG96" s="20"/>
      <c r="AH96" s="20"/>
    </row>
    <row r="97" spans="2:38" x14ac:dyDescent="0.25">
      <c r="B97" s="20"/>
      <c r="C97" s="20"/>
      <c r="D97" s="20"/>
      <c r="E97" s="20"/>
      <c r="F97" s="20"/>
      <c r="G97" s="20"/>
      <c r="H97" s="20"/>
      <c r="I97" s="20"/>
      <c r="J97" s="20"/>
      <c r="K97" s="20"/>
      <c r="L97" s="20"/>
      <c r="M97" s="20"/>
      <c r="N97" s="20"/>
      <c r="O97" s="20"/>
      <c r="P97" s="20"/>
      <c r="Q97" s="20"/>
      <c r="R97" s="20"/>
      <c r="S97" s="20"/>
      <c r="T97" s="20"/>
      <c r="U97" s="20"/>
      <c r="V97" s="20"/>
      <c r="W97" s="20"/>
      <c r="X97" s="20"/>
      <c r="Y97" s="20"/>
      <c r="Z97" s="20"/>
      <c r="AA97" s="20"/>
      <c r="AB97" s="20"/>
      <c r="AC97" s="20"/>
      <c r="AD97" s="20"/>
      <c r="AE97" s="20"/>
      <c r="AF97" s="20"/>
      <c r="AG97" s="20"/>
      <c r="AH97" s="20"/>
    </row>
    <row r="98" spans="2:38" x14ac:dyDescent="0.25">
      <c r="B98" s="20"/>
      <c r="C98" s="20"/>
      <c r="D98" s="20"/>
      <c r="E98" s="20"/>
      <c r="F98" s="20"/>
      <c r="G98" s="20"/>
      <c r="H98" s="20"/>
      <c r="I98" s="20"/>
      <c r="J98" s="20"/>
      <c r="K98" s="20"/>
      <c r="L98" s="20"/>
      <c r="M98" s="20"/>
      <c r="N98" s="20"/>
      <c r="O98" s="20"/>
      <c r="P98" s="20"/>
      <c r="Q98" s="20"/>
      <c r="R98" s="20"/>
      <c r="S98" s="20"/>
      <c r="T98" s="20"/>
      <c r="U98" s="20"/>
      <c r="V98" s="20"/>
      <c r="W98" s="20"/>
      <c r="X98" s="20"/>
      <c r="Y98" s="20"/>
      <c r="Z98" s="20"/>
      <c r="AA98" s="20"/>
      <c r="AB98" s="20"/>
      <c r="AC98" s="20"/>
      <c r="AD98" s="20"/>
      <c r="AE98" s="20"/>
      <c r="AF98" s="20"/>
      <c r="AG98" s="20"/>
      <c r="AH98" s="20"/>
    </row>
    <row r="99" spans="2:38" x14ac:dyDescent="0.25">
      <c r="B99" s="20"/>
      <c r="C99" s="20"/>
      <c r="D99" s="20"/>
      <c r="E99" s="20"/>
      <c r="F99" s="20"/>
      <c r="G99" s="20"/>
      <c r="H99" s="20"/>
      <c r="I99" s="20"/>
      <c r="J99" s="20"/>
      <c r="K99" s="20"/>
      <c r="L99" s="20"/>
      <c r="M99" s="20"/>
      <c r="N99" s="20"/>
      <c r="O99" s="20"/>
      <c r="P99" s="20"/>
      <c r="Q99" s="20"/>
      <c r="R99" s="20"/>
      <c r="S99" s="20"/>
      <c r="T99" s="20"/>
      <c r="U99" s="20"/>
      <c r="V99" s="20"/>
      <c r="W99" s="20"/>
      <c r="X99" s="20"/>
      <c r="Y99" s="20"/>
      <c r="Z99" s="20"/>
      <c r="AA99" s="20"/>
      <c r="AB99" s="20"/>
      <c r="AC99" s="20"/>
      <c r="AD99" s="20"/>
      <c r="AE99" s="20"/>
      <c r="AF99" s="20"/>
      <c r="AG99" s="20"/>
      <c r="AH99" s="20"/>
    </row>
    <row r="100" spans="2:38" x14ac:dyDescent="0.25">
      <c r="B100" s="20"/>
      <c r="C100" s="20"/>
      <c r="D100" s="20"/>
      <c r="E100" s="20"/>
      <c r="F100" s="20"/>
      <c r="G100" s="20"/>
      <c r="H100" s="20"/>
      <c r="I100" s="20"/>
      <c r="J100" s="20"/>
      <c r="K100" s="20"/>
      <c r="L100" s="20"/>
      <c r="M100" s="20"/>
      <c r="N100" s="20"/>
      <c r="O100" s="20"/>
      <c r="P100" s="20"/>
      <c r="Q100" s="20"/>
      <c r="R100" s="20"/>
      <c r="S100" s="20"/>
      <c r="T100" s="20"/>
      <c r="U100" s="20"/>
      <c r="V100" s="20"/>
      <c r="W100" s="20"/>
      <c r="X100" s="20"/>
      <c r="Y100" s="20"/>
      <c r="Z100" s="20"/>
      <c r="AA100" s="20"/>
      <c r="AB100" s="20"/>
      <c r="AC100" s="20"/>
      <c r="AD100" s="20"/>
      <c r="AE100" s="20"/>
      <c r="AF100" s="20"/>
      <c r="AG100" s="20"/>
      <c r="AH100" s="20"/>
    </row>
    <row r="101" spans="2:38" x14ac:dyDescent="0.25">
      <c r="B101" s="20"/>
      <c r="C101" s="20"/>
      <c r="D101" s="20"/>
      <c r="E101" s="20"/>
      <c r="F101" s="20"/>
      <c r="G101" s="20"/>
      <c r="H101" s="20"/>
      <c r="I101" s="20"/>
      <c r="J101" s="20"/>
      <c r="K101" s="20"/>
      <c r="L101" s="20"/>
      <c r="M101" s="20"/>
      <c r="N101" s="20"/>
      <c r="O101" s="20"/>
      <c r="P101" s="20"/>
      <c r="Q101" s="20"/>
      <c r="R101" s="20"/>
      <c r="S101" s="20"/>
      <c r="T101" s="20"/>
      <c r="U101" s="20"/>
      <c r="V101" s="20"/>
      <c r="W101" s="20"/>
      <c r="X101" s="20"/>
      <c r="Y101" s="20"/>
      <c r="Z101" s="20"/>
      <c r="AA101" s="20"/>
      <c r="AB101" s="20"/>
      <c r="AC101" s="20"/>
      <c r="AD101" s="20"/>
      <c r="AE101" s="20"/>
      <c r="AF101" s="20"/>
      <c r="AG101" s="20"/>
      <c r="AH101" s="20"/>
    </row>
    <row r="102" spans="2:38" x14ac:dyDescent="0.25">
      <c r="B102" s="20"/>
      <c r="C102" s="20"/>
      <c r="D102" s="20"/>
      <c r="E102" s="20"/>
      <c r="F102" s="20"/>
      <c r="G102" s="20"/>
      <c r="H102" s="20"/>
      <c r="I102" s="20"/>
      <c r="J102" s="20"/>
      <c r="K102" s="20"/>
      <c r="L102" s="20"/>
      <c r="M102" s="20"/>
      <c r="N102" s="20"/>
      <c r="O102" s="20"/>
      <c r="P102" s="20"/>
      <c r="Q102" s="20"/>
      <c r="R102" s="20"/>
      <c r="S102" s="20"/>
      <c r="T102" s="20"/>
      <c r="U102" s="20"/>
      <c r="V102" s="20"/>
      <c r="W102" s="20"/>
      <c r="X102" s="20"/>
      <c r="Y102" s="20"/>
      <c r="Z102" s="20"/>
      <c r="AA102" s="20"/>
      <c r="AB102" s="20"/>
      <c r="AC102" s="20"/>
      <c r="AD102" s="20"/>
      <c r="AE102" s="20"/>
      <c r="AF102" s="20"/>
      <c r="AG102" s="20"/>
      <c r="AH102" s="20"/>
    </row>
    <row r="103" spans="2:38" x14ac:dyDescent="0.25">
      <c r="B103" s="20"/>
      <c r="C103" s="20"/>
      <c r="D103" s="20"/>
      <c r="E103" s="20"/>
      <c r="F103" s="20"/>
      <c r="G103" s="20"/>
      <c r="H103" s="20"/>
      <c r="I103" s="20"/>
      <c r="J103" s="20"/>
      <c r="K103" s="20"/>
      <c r="L103" s="20"/>
      <c r="M103" s="20"/>
      <c r="N103" s="20"/>
      <c r="O103" s="20"/>
      <c r="P103" s="20"/>
      <c r="Q103" s="20"/>
      <c r="R103" s="20"/>
      <c r="S103" s="20"/>
      <c r="T103" s="20"/>
      <c r="U103" s="20"/>
      <c r="V103" s="20"/>
      <c r="W103" s="20"/>
      <c r="X103" s="20"/>
      <c r="Y103" s="20"/>
      <c r="Z103" s="20"/>
      <c r="AA103" s="20"/>
      <c r="AB103" s="20"/>
      <c r="AC103" s="20"/>
      <c r="AD103" s="20"/>
      <c r="AE103" s="20"/>
      <c r="AF103" s="20"/>
      <c r="AG103" s="20"/>
      <c r="AH103" s="20"/>
    </row>
    <row r="104" spans="2:38" x14ac:dyDescent="0.25">
      <c r="B104" s="20"/>
      <c r="C104" s="20"/>
      <c r="D104" s="20"/>
      <c r="E104" s="20"/>
      <c r="F104" s="20"/>
      <c r="G104" s="20"/>
      <c r="H104" s="20"/>
      <c r="I104" s="20"/>
      <c r="J104" s="20"/>
      <c r="K104" s="20"/>
      <c r="L104" s="20"/>
      <c r="M104" s="20"/>
      <c r="N104" s="20"/>
      <c r="O104" s="20"/>
      <c r="P104" s="20"/>
      <c r="Q104" s="20"/>
      <c r="R104" s="20"/>
      <c r="S104" s="20"/>
      <c r="T104" s="20"/>
      <c r="U104" s="20"/>
      <c r="V104" s="20"/>
      <c r="W104" s="20"/>
      <c r="X104" s="20"/>
      <c r="Y104" s="20"/>
      <c r="Z104" s="20"/>
      <c r="AA104" s="20"/>
      <c r="AB104" s="20"/>
      <c r="AC104" s="20"/>
      <c r="AD104" s="20"/>
      <c r="AE104" s="20"/>
      <c r="AF104" s="20"/>
      <c r="AG104" s="20"/>
      <c r="AH104" s="20"/>
    </row>
    <row r="105" spans="2:38" x14ac:dyDescent="0.25">
      <c r="B105" s="20"/>
      <c r="C105" s="20"/>
      <c r="D105" s="20"/>
      <c r="E105" s="20"/>
      <c r="F105" s="20"/>
      <c r="G105" s="20"/>
      <c r="H105" s="20"/>
      <c r="I105" s="20"/>
      <c r="J105" s="20"/>
      <c r="K105" s="20"/>
      <c r="L105" s="20"/>
      <c r="M105" s="20"/>
      <c r="N105" s="20"/>
      <c r="O105" s="20"/>
      <c r="P105" s="20"/>
      <c r="Q105" s="20"/>
      <c r="R105" s="20"/>
      <c r="S105" s="20"/>
      <c r="T105" s="20"/>
      <c r="U105" s="20"/>
      <c r="V105" s="20"/>
      <c r="W105" s="20"/>
      <c r="X105" s="20"/>
      <c r="Y105" s="20"/>
      <c r="Z105" s="20"/>
      <c r="AA105" s="20"/>
      <c r="AB105" s="20"/>
      <c r="AC105" s="20"/>
      <c r="AD105" s="20"/>
      <c r="AE105" s="20"/>
      <c r="AF105" s="20"/>
      <c r="AG105" s="20"/>
      <c r="AH105" s="20"/>
    </row>
    <row r="106" spans="2:38" x14ac:dyDescent="0.25">
      <c r="B106" s="20"/>
      <c r="C106" s="20"/>
      <c r="D106" s="20"/>
      <c r="E106" s="20"/>
      <c r="F106" s="20"/>
      <c r="G106" s="20"/>
      <c r="H106" s="20"/>
      <c r="I106" s="20"/>
      <c r="J106" s="20"/>
      <c r="K106" s="20"/>
      <c r="L106" s="20"/>
      <c r="M106" s="20"/>
      <c r="N106" s="20"/>
      <c r="O106" s="20"/>
      <c r="P106" s="20"/>
      <c r="Q106" s="20"/>
      <c r="R106" s="20"/>
      <c r="S106" s="20"/>
      <c r="T106" s="20"/>
      <c r="U106" s="20"/>
      <c r="V106" s="20"/>
      <c r="W106" s="20"/>
      <c r="X106" s="20"/>
      <c r="Y106" s="20"/>
      <c r="Z106" s="20"/>
      <c r="AA106" s="20"/>
      <c r="AB106" s="20"/>
      <c r="AC106" s="20"/>
      <c r="AD106" s="20"/>
      <c r="AE106" s="20"/>
      <c r="AF106" s="20"/>
      <c r="AG106" s="20"/>
      <c r="AH106" s="20"/>
    </row>
    <row r="107" spans="2:38" x14ac:dyDescent="0.25">
      <c r="B107" s="20"/>
      <c r="C107" s="20"/>
      <c r="D107" s="20"/>
      <c r="E107" s="20"/>
      <c r="F107" s="20"/>
      <c r="G107" s="20"/>
      <c r="H107" s="20"/>
      <c r="I107" s="20"/>
      <c r="J107" s="20"/>
      <c r="K107" s="20"/>
      <c r="L107" s="20"/>
      <c r="M107" s="20"/>
      <c r="N107" s="20"/>
      <c r="O107" s="20"/>
      <c r="P107" s="20"/>
      <c r="Q107" s="20"/>
      <c r="R107" s="20"/>
      <c r="S107" s="20"/>
      <c r="T107" s="20"/>
      <c r="U107" s="20"/>
      <c r="V107" s="20"/>
      <c r="W107" s="20"/>
      <c r="X107" s="20"/>
      <c r="Y107" s="20"/>
      <c r="Z107" s="20"/>
      <c r="AA107" s="20"/>
      <c r="AB107" s="20"/>
      <c r="AC107" s="20"/>
      <c r="AD107" s="20"/>
      <c r="AE107" s="20"/>
      <c r="AF107" s="20"/>
      <c r="AG107" s="20"/>
      <c r="AH107" s="20"/>
    </row>
    <row r="108" spans="2:38" x14ac:dyDescent="0.25">
      <c r="B108" s="20"/>
      <c r="C108" s="20"/>
      <c r="D108" s="20"/>
      <c r="E108" s="20"/>
      <c r="F108" s="20"/>
      <c r="G108" s="20"/>
      <c r="H108" s="20"/>
      <c r="I108" s="20"/>
      <c r="J108" s="20"/>
      <c r="K108" s="20"/>
      <c r="L108" s="20"/>
      <c r="M108" s="20"/>
      <c r="N108" s="20"/>
      <c r="O108" s="20"/>
      <c r="P108" s="20"/>
      <c r="Q108" s="20"/>
      <c r="R108" s="20"/>
      <c r="S108" s="20"/>
      <c r="T108" s="20"/>
      <c r="U108" s="20"/>
      <c r="V108" s="20"/>
      <c r="W108" s="20"/>
      <c r="X108" s="20"/>
      <c r="Y108" s="20"/>
      <c r="Z108" s="20"/>
      <c r="AA108" s="20"/>
      <c r="AB108" s="20"/>
      <c r="AC108" s="20"/>
      <c r="AD108" s="20"/>
      <c r="AE108" s="20"/>
      <c r="AF108" s="20"/>
      <c r="AG108" s="20"/>
      <c r="AH108" s="20"/>
    </row>
    <row r="109" spans="2:38" x14ac:dyDescent="0.25">
      <c r="B109" s="87" t="s">
        <v>384</v>
      </c>
      <c r="C109" s="88">
        <f>SUM(C59:C108)</f>
        <v>0</v>
      </c>
      <c r="D109" s="88">
        <f t="shared" ref="D109:AH109" si="1">SUM(D59:D108)</f>
        <v>0</v>
      </c>
      <c r="E109" s="88">
        <f t="shared" si="1"/>
        <v>0</v>
      </c>
      <c r="F109" s="88">
        <f t="shared" si="1"/>
        <v>0</v>
      </c>
      <c r="G109" s="88">
        <f t="shared" si="1"/>
        <v>0</v>
      </c>
      <c r="H109" s="88">
        <f t="shared" si="1"/>
        <v>0</v>
      </c>
      <c r="I109" s="88">
        <f t="shared" si="1"/>
        <v>0</v>
      </c>
      <c r="J109" s="88">
        <f t="shared" si="1"/>
        <v>0</v>
      </c>
      <c r="K109" s="88">
        <f t="shared" si="1"/>
        <v>0</v>
      </c>
      <c r="L109" s="88">
        <f t="shared" si="1"/>
        <v>0</v>
      </c>
      <c r="M109" s="88">
        <f t="shared" si="1"/>
        <v>0</v>
      </c>
      <c r="N109" s="88">
        <f t="shared" si="1"/>
        <v>0</v>
      </c>
      <c r="O109" s="88">
        <f t="shared" si="1"/>
        <v>0</v>
      </c>
      <c r="P109" s="88">
        <f t="shared" si="1"/>
        <v>0</v>
      </c>
      <c r="Q109" s="88">
        <f t="shared" si="1"/>
        <v>0</v>
      </c>
      <c r="R109" s="88">
        <f t="shared" si="1"/>
        <v>0</v>
      </c>
      <c r="S109" s="88">
        <f t="shared" si="1"/>
        <v>0</v>
      </c>
      <c r="T109" s="88">
        <f t="shared" si="1"/>
        <v>0</v>
      </c>
      <c r="U109" s="88">
        <f t="shared" si="1"/>
        <v>0</v>
      </c>
      <c r="V109" s="88">
        <f t="shared" si="1"/>
        <v>0</v>
      </c>
      <c r="W109" s="88">
        <f t="shared" si="1"/>
        <v>0</v>
      </c>
      <c r="X109" s="88">
        <f t="shared" si="1"/>
        <v>0</v>
      </c>
      <c r="Y109" s="88">
        <f t="shared" si="1"/>
        <v>0</v>
      </c>
      <c r="Z109" s="88">
        <f t="shared" si="1"/>
        <v>0</v>
      </c>
      <c r="AA109" s="88">
        <f t="shared" si="1"/>
        <v>0</v>
      </c>
      <c r="AB109" s="88">
        <f t="shared" si="1"/>
        <v>0</v>
      </c>
      <c r="AC109" s="88">
        <f t="shared" si="1"/>
        <v>0</v>
      </c>
      <c r="AD109" s="88">
        <f t="shared" si="1"/>
        <v>0</v>
      </c>
      <c r="AE109" s="88">
        <f t="shared" si="1"/>
        <v>0</v>
      </c>
      <c r="AF109" s="88">
        <f t="shared" si="1"/>
        <v>0</v>
      </c>
      <c r="AG109" s="88">
        <f t="shared" si="1"/>
        <v>0</v>
      </c>
      <c r="AH109" s="88">
        <f t="shared" si="1"/>
        <v>0</v>
      </c>
    </row>
    <row r="110" spans="2:38" x14ac:dyDescent="0.25"/>
    <row r="111" spans="2:38" x14ac:dyDescent="0.25">
      <c r="B111" s="9" t="s">
        <v>308</v>
      </c>
    </row>
    <row r="112" spans="2:38" x14ac:dyDescent="0.25">
      <c r="B112" s="64" t="s">
        <v>0</v>
      </c>
      <c r="C112" s="64" t="s">
        <v>385</v>
      </c>
      <c r="D112" s="64" t="s">
        <v>386</v>
      </c>
      <c r="E112" s="64" t="s">
        <v>279</v>
      </c>
      <c r="F112" s="64" t="s">
        <v>280</v>
      </c>
      <c r="G112" s="64" t="s">
        <v>226</v>
      </c>
      <c r="H112" s="64" t="s">
        <v>228</v>
      </c>
      <c r="I112" s="64" t="s">
        <v>229</v>
      </c>
      <c r="J112" s="64" t="s">
        <v>281</v>
      </c>
      <c r="K112" s="64" t="s">
        <v>282</v>
      </c>
      <c r="L112" s="64" t="s">
        <v>283</v>
      </c>
      <c r="M112" s="64" t="s">
        <v>284</v>
      </c>
      <c r="N112" s="64" t="s">
        <v>285</v>
      </c>
      <c r="O112" s="64" t="s">
        <v>286</v>
      </c>
      <c r="P112" s="64" t="s">
        <v>287</v>
      </c>
      <c r="Q112" s="64" t="s">
        <v>288</v>
      </c>
      <c r="R112" s="64" t="s">
        <v>289</v>
      </c>
      <c r="S112" s="64" t="s">
        <v>293</v>
      </c>
      <c r="T112" s="64" t="s">
        <v>307</v>
      </c>
      <c r="U112" s="64" t="s">
        <v>290</v>
      </c>
      <c r="V112" s="64" t="s">
        <v>292</v>
      </c>
      <c r="W112" s="64" t="s">
        <v>294</v>
      </c>
      <c r="X112" s="64" t="s">
        <v>295</v>
      </c>
      <c r="Y112" s="64" t="s">
        <v>296</v>
      </c>
      <c r="Z112" s="64" t="s">
        <v>297</v>
      </c>
      <c r="AA112" s="64" t="s">
        <v>298</v>
      </c>
      <c r="AB112" s="64" t="s">
        <v>299</v>
      </c>
      <c r="AC112" s="64" t="s">
        <v>300</v>
      </c>
      <c r="AD112" s="64" t="s">
        <v>301</v>
      </c>
      <c r="AE112" s="64" t="s">
        <v>387</v>
      </c>
      <c r="AF112" s="64" t="s">
        <v>388</v>
      </c>
      <c r="AG112" s="64" t="s">
        <v>383</v>
      </c>
      <c r="AH112" s="64" t="s">
        <v>389</v>
      </c>
      <c r="AI112" s="85" t="s">
        <v>390</v>
      </c>
      <c r="AJ112" s="85" t="s">
        <v>323</v>
      </c>
      <c r="AK112" s="85" t="s">
        <v>391</v>
      </c>
      <c r="AL112" s="84" t="s">
        <v>392</v>
      </c>
    </row>
    <row r="113" spans="2:38" x14ac:dyDescent="0.25">
      <c r="B113" s="20"/>
      <c r="C113" s="20"/>
      <c r="D113" s="20"/>
      <c r="E113" s="20"/>
      <c r="F113" s="20"/>
      <c r="G113" s="20"/>
      <c r="H113" s="20"/>
      <c r="I113" s="20"/>
      <c r="J113" s="20"/>
      <c r="K113" s="20"/>
      <c r="L113" s="20"/>
      <c r="M113" s="20"/>
      <c r="N113" s="20"/>
      <c r="O113" s="20"/>
      <c r="P113" s="20"/>
      <c r="Q113" s="20"/>
      <c r="R113" s="20"/>
      <c r="S113" s="20"/>
      <c r="T113" s="20"/>
      <c r="U113" s="20"/>
      <c r="V113" s="20"/>
      <c r="W113" s="20"/>
      <c r="X113" s="20"/>
      <c r="Y113" s="20"/>
      <c r="Z113" s="20"/>
      <c r="AA113" s="20"/>
      <c r="AB113" s="20"/>
      <c r="AC113" s="20"/>
      <c r="AD113" s="20"/>
      <c r="AE113" s="20"/>
      <c r="AF113" s="20"/>
      <c r="AG113" s="20"/>
      <c r="AH113" s="20"/>
      <c r="AI113" s="20"/>
      <c r="AJ113" s="20"/>
      <c r="AK113" s="20"/>
      <c r="AL113" s="20"/>
    </row>
    <row r="114" spans="2:38" x14ac:dyDescent="0.25">
      <c r="B114" s="20"/>
      <c r="C114" s="20"/>
      <c r="D114" s="20"/>
      <c r="E114" s="20"/>
      <c r="F114" s="20"/>
      <c r="G114" s="20"/>
      <c r="H114" s="20"/>
      <c r="I114" s="20"/>
      <c r="J114" s="20"/>
      <c r="K114" s="20"/>
      <c r="L114" s="20"/>
      <c r="M114" s="20"/>
      <c r="N114" s="20"/>
      <c r="O114" s="20"/>
      <c r="P114" s="20"/>
      <c r="Q114" s="20"/>
      <c r="R114" s="20"/>
      <c r="S114" s="20"/>
      <c r="T114" s="20"/>
      <c r="U114" s="20"/>
      <c r="V114" s="20"/>
      <c r="W114" s="20"/>
      <c r="X114" s="20"/>
      <c r="Y114" s="20"/>
      <c r="Z114" s="20"/>
      <c r="AA114" s="20"/>
      <c r="AB114" s="20"/>
      <c r="AC114" s="20"/>
      <c r="AD114" s="20"/>
      <c r="AE114" s="20"/>
      <c r="AF114" s="20"/>
      <c r="AG114" s="20"/>
      <c r="AH114" s="20"/>
      <c r="AI114" s="20"/>
      <c r="AJ114" s="20"/>
      <c r="AK114" s="20"/>
      <c r="AL114" s="20"/>
    </row>
    <row r="115" spans="2:38" x14ac:dyDescent="0.25">
      <c r="B115" s="20"/>
      <c r="C115" s="20"/>
      <c r="D115" s="20"/>
      <c r="E115" s="20"/>
      <c r="F115" s="20"/>
      <c r="G115" s="20"/>
      <c r="H115" s="20"/>
      <c r="I115" s="20"/>
      <c r="J115" s="20"/>
      <c r="K115" s="20"/>
      <c r="L115" s="20"/>
      <c r="M115" s="20"/>
      <c r="N115" s="20"/>
      <c r="O115" s="20"/>
      <c r="P115" s="20"/>
      <c r="Q115" s="20"/>
      <c r="R115" s="20"/>
      <c r="S115" s="20"/>
      <c r="T115" s="20"/>
      <c r="U115" s="20"/>
      <c r="V115" s="20"/>
      <c r="W115" s="20"/>
      <c r="X115" s="20"/>
      <c r="Y115" s="20"/>
      <c r="Z115" s="20"/>
      <c r="AA115" s="20"/>
      <c r="AB115" s="20"/>
      <c r="AC115" s="20"/>
      <c r="AD115" s="20"/>
      <c r="AE115" s="20"/>
      <c r="AF115" s="20"/>
      <c r="AG115" s="20"/>
      <c r="AH115" s="20"/>
      <c r="AI115" s="86"/>
      <c r="AJ115" s="86"/>
      <c r="AK115" s="86"/>
      <c r="AL115" s="20"/>
    </row>
    <row r="116" spans="2:38" x14ac:dyDescent="0.25">
      <c r="B116" s="20"/>
      <c r="C116" s="20"/>
      <c r="D116" s="20"/>
      <c r="E116" s="20"/>
      <c r="F116" s="20"/>
      <c r="G116" s="20"/>
      <c r="H116" s="20"/>
      <c r="I116" s="20"/>
      <c r="J116" s="20"/>
      <c r="K116" s="20"/>
      <c r="L116" s="20"/>
      <c r="M116" s="20"/>
      <c r="N116" s="20"/>
      <c r="O116" s="20"/>
      <c r="P116" s="20"/>
      <c r="Q116" s="20"/>
      <c r="R116" s="20"/>
      <c r="S116" s="20"/>
      <c r="T116" s="20"/>
      <c r="U116" s="20"/>
      <c r="V116" s="20"/>
      <c r="W116" s="20"/>
      <c r="X116" s="20"/>
      <c r="Y116" s="20"/>
      <c r="Z116" s="20"/>
      <c r="AA116" s="20"/>
      <c r="AB116" s="20"/>
      <c r="AC116" s="20"/>
      <c r="AD116" s="20"/>
      <c r="AE116" s="20"/>
      <c r="AF116" s="20"/>
      <c r="AG116" s="20"/>
      <c r="AH116" s="20"/>
      <c r="AI116" s="20"/>
      <c r="AJ116" s="20"/>
      <c r="AK116" s="20"/>
      <c r="AL116" s="20"/>
    </row>
    <row r="117" spans="2:38" x14ac:dyDescent="0.25">
      <c r="B117" s="20"/>
      <c r="C117" s="20"/>
      <c r="D117" s="20"/>
      <c r="E117" s="20"/>
      <c r="F117" s="20"/>
      <c r="G117" s="20"/>
      <c r="H117" s="20"/>
      <c r="I117" s="20"/>
      <c r="J117" s="20"/>
      <c r="K117" s="20"/>
      <c r="L117" s="20"/>
      <c r="M117" s="20"/>
      <c r="N117" s="20"/>
      <c r="O117" s="20"/>
      <c r="P117" s="20"/>
      <c r="Q117" s="20"/>
      <c r="R117" s="20"/>
      <c r="S117" s="20"/>
      <c r="T117" s="20"/>
      <c r="U117" s="20"/>
      <c r="V117" s="20"/>
      <c r="W117" s="20"/>
      <c r="X117" s="20"/>
      <c r="Y117" s="20"/>
      <c r="Z117" s="20"/>
      <c r="AA117" s="20"/>
      <c r="AB117" s="20"/>
      <c r="AC117" s="20"/>
      <c r="AD117" s="20"/>
      <c r="AE117" s="20"/>
      <c r="AF117" s="20"/>
      <c r="AG117" s="20"/>
      <c r="AH117" s="20"/>
      <c r="AI117" s="20"/>
      <c r="AJ117" s="20"/>
      <c r="AK117" s="20"/>
      <c r="AL117" s="20"/>
    </row>
    <row r="118" spans="2:38" x14ac:dyDescent="0.25">
      <c r="B118" s="20"/>
      <c r="C118" s="20"/>
      <c r="D118" s="20"/>
      <c r="E118" s="20"/>
      <c r="F118" s="20"/>
      <c r="G118" s="20"/>
      <c r="H118" s="20"/>
      <c r="I118" s="20"/>
      <c r="J118" s="20"/>
      <c r="K118" s="20"/>
      <c r="L118" s="20"/>
      <c r="M118" s="20"/>
      <c r="N118" s="20"/>
      <c r="O118" s="20"/>
      <c r="P118" s="20"/>
      <c r="Q118" s="20"/>
      <c r="R118" s="20"/>
      <c r="S118" s="20"/>
      <c r="T118" s="20"/>
      <c r="U118" s="20"/>
      <c r="V118" s="20"/>
      <c r="W118" s="20"/>
      <c r="X118" s="20"/>
      <c r="Y118" s="20"/>
      <c r="Z118" s="20"/>
      <c r="AA118" s="20"/>
      <c r="AB118" s="20"/>
      <c r="AC118" s="20"/>
      <c r="AD118" s="20"/>
      <c r="AE118" s="20"/>
      <c r="AF118" s="20"/>
      <c r="AG118" s="20"/>
      <c r="AH118" s="20"/>
      <c r="AI118" s="20"/>
      <c r="AJ118" s="20"/>
      <c r="AK118" s="20"/>
      <c r="AL118" s="20"/>
    </row>
    <row r="119" spans="2:38" x14ac:dyDescent="0.25">
      <c r="B119" s="20"/>
      <c r="C119" s="20"/>
      <c r="D119" s="20"/>
      <c r="E119" s="20"/>
      <c r="F119" s="20"/>
      <c r="G119" s="20"/>
      <c r="H119" s="20"/>
      <c r="I119" s="20"/>
      <c r="J119" s="20"/>
      <c r="K119" s="20"/>
      <c r="L119" s="20"/>
      <c r="M119" s="20"/>
      <c r="N119" s="20"/>
      <c r="O119" s="20"/>
      <c r="P119" s="20"/>
      <c r="Q119" s="20"/>
      <c r="R119" s="20"/>
      <c r="S119" s="20"/>
      <c r="T119" s="20"/>
      <c r="U119" s="20"/>
      <c r="V119" s="20"/>
      <c r="W119" s="20"/>
      <c r="X119" s="20"/>
      <c r="Y119" s="20"/>
      <c r="Z119" s="20"/>
      <c r="AA119" s="20"/>
      <c r="AB119" s="20"/>
      <c r="AC119" s="20"/>
      <c r="AD119" s="20"/>
      <c r="AE119" s="20"/>
      <c r="AF119" s="20"/>
      <c r="AG119" s="20"/>
      <c r="AH119" s="20"/>
      <c r="AI119" s="20"/>
      <c r="AJ119" s="20"/>
      <c r="AK119" s="20"/>
      <c r="AL119" s="20"/>
    </row>
    <row r="120" spans="2:38" x14ac:dyDescent="0.25">
      <c r="B120" s="20"/>
      <c r="C120" s="20"/>
      <c r="D120" s="20"/>
      <c r="E120" s="20"/>
      <c r="F120" s="20"/>
      <c r="G120" s="20"/>
      <c r="H120" s="20"/>
      <c r="I120" s="20"/>
      <c r="J120" s="20"/>
      <c r="K120" s="20"/>
      <c r="L120" s="20"/>
      <c r="M120" s="20"/>
      <c r="N120" s="20"/>
      <c r="O120" s="20"/>
      <c r="P120" s="20"/>
      <c r="Q120" s="20"/>
      <c r="R120" s="20"/>
      <c r="S120" s="20"/>
      <c r="T120" s="20"/>
      <c r="U120" s="20"/>
      <c r="V120" s="20"/>
      <c r="W120" s="20"/>
      <c r="X120" s="20"/>
      <c r="Y120" s="20"/>
      <c r="Z120" s="20"/>
      <c r="AA120" s="20"/>
      <c r="AB120" s="20"/>
      <c r="AC120" s="20"/>
      <c r="AD120" s="20"/>
      <c r="AE120" s="20"/>
      <c r="AF120" s="20"/>
      <c r="AG120" s="20"/>
      <c r="AH120" s="20"/>
      <c r="AI120" s="20"/>
      <c r="AJ120" s="20"/>
      <c r="AK120" s="20"/>
      <c r="AL120" s="20"/>
    </row>
    <row r="121" spans="2:38" x14ac:dyDescent="0.25">
      <c r="B121" s="20"/>
      <c r="C121" s="20"/>
      <c r="D121" s="20"/>
      <c r="E121" s="20"/>
      <c r="F121" s="20"/>
      <c r="G121" s="20"/>
      <c r="H121" s="20"/>
      <c r="I121" s="20"/>
      <c r="J121" s="20"/>
      <c r="K121" s="20"/>
      <c r="L121" s="20"/>
      <c r="M121" s="20"/>
      <c r="N121" s="20"/>
      <c r="O121" s="20"/>
      <c r="P121" s="20"/>
      <c r="Q121" s="20"/>
      <c r="R121" s="20"/>
      <c r="S121" s="20"/>
      <c r="T121" s="20"/>
      <c r="U121" s="20"/>
      <c r="V121" s="20"/>
      <c r="W121" s="20"/>
      <c r="X121" s="20"/>
      <c r="Y121" s="20"/>
      <c r="Z121" s="20"/>
      <c r="AA121" s="20"/>
      <c r="AB121" s="20"/>
      <c r="AC121" s="20"/>
      <c r="AD121" s="20"/>
      <c r="AE121" s="20"/>
      <c r="AF121" s="20"/>
      <c r="AG121" s="20"/>
      <c r="AH121" s="20"/>
      <c r="AI121" s="20"/>
      <c r="AJ121" s="20"/>
      <c r="AK121" s="20"/>
      <c r="AL121" s="20"/>
    </row>
    <row r="122" spans="2:38" x14ac:dyDescent="0.25">
      <c r="B122" s="20"/>
      <c r="C122" s="20"/>
      <c r="D122" s="20"/>
      <c r="E122" s="20"/>
      <c r="F122" s="20"/>
      <c r="G122" s="20"/>
      <c r="H122" s="20"/>
      <c r="I122" s="20"/>
      <c r="J122" s="20"/>
      <c r="K122" s="20"/>
      <c r="L122" s="20"/>
      <c r="M122" s="20"/>
      <c r="N122" s="20"/>
      <c r="O122" s="20"/>
      <c r="P122" s="20"/>
      <c r="Q122" s="20"/>
      <c r="R122" s="20"/>
      <c r="S122" s="20"/>
      <c r="T122" s="20"/>
      <c r="U122" s="20"/>
      <c r="V122" s="20"/>
      <c r="W122" s="20"/>
      <c r="X122" s="20"/>
      <c r="Y122" s="20"/>
      <c r="Z122" s="20"/>
      <c r="AA122" s="20"/>
      <c r="AB122" s="20"/>
      <c r="AC122" s="20"/>
      <c r="AD122" s="20"/>
      <c r="AE122" s="20"/>
      <c r="AF122" s="20"/>
      <c r="AG122" s="20"/>
      <c r="AH122" s="20"/>
      <c r="AI122" s="20"/>
      <c r="AJ122" s="20"/>
      <c r="AK122" s="20"/>
      <c r="AL122" s="20"/>
    </row>
    <row r="123" spans="2:38" x14ac:dyDescent="0.25">
      <c r="B123" s="20"/>
      <c r="C123" s="20"/>
      <c r="D123" s="20"/>
      <c r="E123" s="20"/>
      <c r="F123" s="20"/>
      <c r="G123" s="20"/>
      <c r="H123" s="20"/>
      <c r="I123" s="20"/>
      <c r="J123" s="20"/>
      <c r="K123" s="20"/>
      <c r="L123" s="20"/>
      <c r="M123" s="20"/>
      <c r="N123" s="20"/>
      <c r="O123" s="20"/>
      <c r="P123" s="20"/>
      <c r="Q123" s="20"/>
      <c r="R123" s="20"/>
      <c r="S123" s="20"/>
      <c r="T123" s="20"/>
      <c r="U123" s="20"/>
      <c r="V123" s="20"/>
      <c r="W123" s="20"/>
      <c r="X123" s="20"/>
      <c r="Y123" s="20"/>
      <c r="Z123" s="20"/>
      <c r="AA123" s="20"/>
      <c r="AB123" s="20"/>
      <c r="AC123" s="20"/>
      <c r="AD123" s="20"/>
      <c r="AE123" s="20"/>
      <c r="AF123" s="20"/>
      <c r="AG123" s="20"/>
      <c r="AH123" s="20"/>
      <c r="AI123" s="20"/>
      <c r="AJ123" s="20"/>
      <c r="AK123" s="20"/>
      <c r="AL123" s="20"/>
    </row>
    <row r="124" spans="2:38" x14ac:dyDescent="0.25">
      <c r="B124" s="20"/>
      <c r="C124" s="20"/>
      <c r="D124" s="20"/>
      <c r="E124" s="20"/>
      <c r="F124" s="20"/>
      <c r="G124" s="20"/>
      <c r="H124" s="20"/>
      <c r="I124" s="20"/>
      <c r="J124" s="20"/>
      <c r="K124" s="20"/>
      <c r="L124" s="20"/>
      <c r="M124" s="20"/>
      <c r="N124" s="20"/>
      <c r="O124" s="20"/>
      <c r="P124" s="20"/>
      <c r="Q124" s="20"/>
      <c r="R124" s="20"/>
      <c r="S124" s="20"/>
      <c r="T124" s="20"/>
      <c r="U124" s="20"/>
      <c r="V124" s="20"/>
      <c r="W124" s="20"/>
      <c r="X124" s="20"/>
      <c r="Y124" s="20"/>
      <c r="Z124" s="20"/>
      <c r="AA124" s="20"/>
      <c r="AB124" s="20"/>
      <c r="AC124" s="20"/>
      <c r="AD124" s="20"/>
      <c r="AE124" s="20"/>
      <c r="AF124" s="20"/>
      <c r="AG124" s="20"/>
      <c r="AH124" s="20"/>
      <c r="AI124" s="20"/>
      <c r="AJ124" s="20"/>
      <c r="AK124" s="20"/>
      <c r="AL124" s="20"/>
    </row>
    <row r="125" spans="2:38" x14ac:dyDescent="0.25">
      <c r="B125" s="20"/>
      <c r="C125" s="20"/>
      <c r="D125" s="20"/>
      <c r="E125" s="20"/>
      <c r="F125" s="20"/>
      <c r="G125" s="20"/>
      <c r="H125" s="20"/>
      <c r="I125" s="20"/>
      <c r="J125" s="20"/>
      <c r="K125" s="20"/>
      <c r="L125" s="20"/>
      <c r="M125" s="20"/>
      <c r="N125" s="20"/>
      <c r="O125" s="20"/>
      <c r="P125" s="20"/>
      <c r="Q125" s="20"/>
      <c r="R125" s="20"/>
      <c r="S125" s="20"/>
      <c r="T125" s="20"/>
      <c r="U125" s="20"/>
      <c r="V125" s="20"/>
      <c r="W125" s="20"/>
      <c r="X125" s="20"/>
      <c r="Y125" s="20"/>
      <c r="Z125" s="20"/>
      <c r="AA125" s="20"/>
      <c r="AB125" s="20"/>
      <c r="AC125" s="20"/>
      <c r="AD125" s="20"/>
      <c r="AE125" s="20"/>
      <c r="AF125" s="20"/>
      <c r="AG125" s="20"/>
      <c r="AH125" s="20"/>
      <c r="AI125" s="20"/>
      <c r="AJ125" s="20"/>
      <c r="AK125" s="20"/>
      <c r="AL125" s="20"/>
    </row>
    <row r="126" spans="2:38" x14ac:dyDescent="0.25">
      <c r="B126" s="20"/>
      <c r="C126" s="20"/>
      <c r="D126" s="20"/>
      <c r="E126" s="20"/>
      <c r="F126" s="20"/>
      <c r="G126" s="20"/>
      <c r="H126" s="20"/>
      <c r="I126" s="20"/>
      <c r="J126" s="20"/>
      <c r="K126" s="20"/>
      <c r="L126" s="20"/>
      <c r="M126" s="20"/>
      <c r="N126" s="20"/>
      <c r="O126" s="20"/>
      <c r="P126" s="20"/>
      <c r="Q126" s="20"/>
      <c r="R126" s="20"/>
      <c r="S126" s="20"/>
      <c r="T126" s="20"/>
      <c r="U126" s="20"/>
      <c r="V126" s="20"/>
      <c r="W126" s="20"/>
      <c r="X126" s="20"/>
      <c r="Y126" s="20"/>
      <c r="Z126" s="20"/>
      <c r="AA126" s="20"/>
      <c r="AB126" s="20"/>
      <c r="AC126" s="20"/>
      <c r="AD126" s="20"/>
      <c r="AE126" s="20"/>
      <c r="AF126" s="20"/>
      <c r="AG126" s="20"/>
      <c r="AH126" s="20"/>
      <c r="AI126" s="20"/>
      <c r="AJ126" s="20"/>
      <c r="AK126" s="20"/>
      <c r="AL126" s="20"/>
    </row>
    <row r="127" spans="2:38" x14ac:dyDescent="0.25">
      <c r="B127" s="20"/>
      <c r="C127" s="20"/>
      <c r="D127" s="20"/>
      <c r="E127" s="20"/>
      <c r="F127" s="20"/>
      <c r="G127" s="20"/>
      <c r="H127" s="20"/>
      <c r="I127" s="20"/>
      <c r="J127" s="20"/>
      <c r="K127" s="20"/>
      <c r="L127" s="20"/>
      <c r="M127" s="20"/>
      <c r="N127" s="20"/>
      <c r="O127" s="20"/>
      <c r="P127" s="20"/>
      <c r="Q127" s="20"/>
      <c r="R127" s="20"/>
      <c r="S127" s="20"/>
      <c r="T127" s="20"/>
      <c r="U127" s="20"/>
      <c r="V127" s="20"/>
      <c r="W127" s="20"/>
      <c r="X127" s="20"/>
      <c r="Y127" s="20"/>
      <c r="Z127" s="20"/>
      <c r="AA127" s="20"/>
      <c r="AB127" s="20"/>
      <c r="AC127" s="20"/>
      <c r="AD127" s="20"/>
      <c r="AE127" s="20"/>
      <c r="AF127" s="20"/>
      <c r="AG127" s="20"/>
      <c r="AH127" s="20"/>
      <c r="AI127" s="20"/>
      <c r="AJ127" s="20"/>
      <c r="AK127" s="20"/>
      <c r="AL127" s="20"/>
    </row>
    <row r="128" spans="2:38" x14ac:dyDescent="0.25">
      <c r="B128" s="20"/>
      <c r="C128" s="20"/>
      <c r="D128" s="20"/>
      <c r="E128" s="20"/>
      <c r="F128" s="20"/>
      <c r="G128" s="20"/>
      <c r="H128" s="20"/>
      <c r="I128" s="20"/>
      <c r="J128" s="20"/>
      <c r="K128" s="20"/>
      <c r="L128" s="20"/>
      <c r="M128" s="20"/>
      <c r="N128" s="20"/>
      <c r="O128" s="20"/>
      <c r="P128" s="20"/>
      <c r="Q128" s="20"/>
      <c r="R128" s="20"/>
      <c r="S128" s="20"/>
      <c r="T128" s="20"/>
      <c r="U128" s="20"/>
      <c r="V128" s="20"/>
      <c r="W128" s="20"/>
      <c r="X128" s="20"/>
      <c r="Y128" s="20"/>
      <c r="Z128" s="20"/>
      <c r="AA128" s="20"/>
      <c r="AB128" s="20"/>
      <c r="AC128" s="20"/>
      <c r="AD128" s="20"/>
      <c r="AE128" s="20"/>
      <c r="AF128" s="20"/>
      <c r="AG128" s="20"/>
      <c r="AH128" s="20"/>
      <c r="AI128" s="20"/>
      <c r="AJ128" s="20"/>
      <c r="AK128" s="20"/>
      <c r="AL128" s="20"/>
    </row>
    <row r="129" spans="2:38" x14ac:dyDescent="0.25">
      <c r="B129" s="20"/>
      <c r="C129" s="20"/>
      <c r="D129" s="20"/>
      <c r="E129" s="20"/>
      <c r="F129" s="20"/>
      <c r="G129" s="20"/>
      <c r="H129" s="20"/>
      <c r="I129" s="20"/>
      <c r="J129" s="20"/>
      <c r="K129" s="20"/>
      <c r="L129" s="20"/>
      <c r="M129" s="20"/>
      <c r="N129" s="20"/>
      <c r="O129" s="20"/>
      <c r="P129" s="20"/>
      <c r="Q129" s="20"/>
      <c r="R129" s="20"/>
      <c r="S129" s="20"/>
      <c r="T129" s="20"/>
      <c r="U129" s="20"/>
      <c r="V129" s="20"/>
      <c r="W129" s="20"/>
      <c r="X129" s="20"/>
      <c r="Y129" s="20"/>
      <c r="Z129" s="20"/>
      <c r="AA129" s="20"/>
      <c r="AB129" s="20"/>
      <c r="AC129" s="20"/>
      <c r="AD129" s="20"/>
      <c r="AE129" s="20"/>
      <c r="AF129" s="20"/>
      <c r="AG129" s="20"/>
      <c r="AH129" s="20"/>
      <c r="AI129" s="20"/>
      <c r="AJ129" s="20"/>
      <c r="AK129" s="20"/>
      <c r="AL129" s="20"/>
    </row>
    <row r="130" spans="2:38" x14ac:dyDescent="0.25">
      <c r="B130" s="20"/>
      <c r="C130" s="20"/>
      <c r="D130" s="20"/>
      <c r="E130" s="20"/>
      <c r="F130" s="20"/>
      <c r="G130" s="20"/>
      <c r="H130" s="20"/>
      <c r="I130" s="20"/>
      <c r="J130" s="20"/>
      <c r="K130" s="20"/>
      <c r="L130" s="20"/>
      <c r="M130" s="20"/>
      <c r="N130" s="20"/>
      <c r="O130" s="20"/>
      <c r="P130" s="20"/>
      <c r="Q130" s="20"/>
      <c r="R130" s="20"/>
      <c r="S130" s="20"/>
      <c r="T130" s="20"/>
      <c r="U130" s="20"/>
      <c r="V130" s="20"/>
      <c r="W130" s="20"/>
      <c r="X130" s="20"/>
      <c r="Y130" s="20"/>
      <c r="Z130" s="20"/>
      <c r="AA130" s="20"/>
      <c r="AB130" s="20"/>
      <c r="AC130" s="20"/>
      <c r="AD130" s="20"/>
      <c r="AE130" s="20"/>
      <c r="AF130" s="20"/>
      <c r="AG130" s="20"/>
      <c r="AH130" s="20"/>
      <c r="AI130" s="20"/>
      <c r="AJ130" s="20"/>
      <c r="AK130" s="20"/>
      <c r="AL130" s="20"/>
    </row>
    <row r="131" spans="2:38" x14ac:dyDescent="0.25">
      <c r="B131" s="20"/>
      <c r="C131" s="20"/>
      <c r="D131" s="20"/>
      <c r="E131" s="20"/>
      <c r="F131" s="20"/>
      <c r="G131" s="20"/>
      <c r="H131" s="20"/>
      <c r="I131" s="20"/>
      <c r="J131" s="20"/>
      <c r="K131" s="20"/>
      <c r="L131" s="20"/>
      <c r="M131" s="20"/>
      <c r="N131" s="20"/>
      <c r="O131" s="20"/>
      <c r="P131" s="20"/>
      <c r="Q131" s="20"/>
      <c r="R131" s="20"/>
      <c r="S131" s="20"/>
      <c r="T131" s="20"/>
      <c r="U131" s="20"/>
      <c r="V131" s="20"/>
      <c r="W131" s="20"/>
      <c r="X131" s="20"/>
      <c r="Y131" s="20"/>
      <c r="Z131" s="20"/>
      <c r="AA131" s="20"/>
      <c r="AB131" s="20"/>
      <c r="AC131" s="20"/>
      <c r="AD131" s="20"/>
      <c r="AE131" s="20"/>
      <c r="AF131" s="20"/>
      <c r="AG131" s="20"/>
      <c r="AH131" s="20"/>
      <c r="AI131" s="20"/>
      <c r="AJ131" s="20"/>
      <c r="AK131" s="20"/>
      <c r="AL131" s="20"/>
    </row>
    <row r="132" spans="2:38" x14ac:dyDescent="0.25">
      <c r="B132" s="20"/>
      <c r="C132" s="20"/>
      <c r="D132" s="20"/>
      <c r="E132" s="20"/>
      <c r="F132" s="20"/>
      <c r="G132" s="20"/>
      <c r="H132" s="20"/>
      <c r="I132" s="20"/>
      <c r="J132" s="20"/>
      <c r="K132" s="20"/>
      <c r="L132" s="20"/>
      <c r="M132" s="20"/>
      <c r="N132" s="20"/>
      <c r="O132" s="20"/>
      <c r="P132" s="20"/>
      <c r="Q132" s="20"/>
      <c r="R132" s="20"/>
      <c r="S132" s="20"/>
      <c r="T132" s="20"/>
      <c r="U132" s="20"/>
      <c r="V132" s="20"/>
      <c r="W132" s="20"/>
      <c r="X132" s="20"/>
      <c r="Y132" s="20"/>
      <c r="Z132" s="20"/>
      <c r="AA132" s="20"/>
      <c r="AB132" s="20"/>
      <c r="AC132" s="20"/>
      <c r="AD132" s="20"/>
      <c r="AE132" s="20"/>
      <c r="AF132" s="20"/>
      <c r="AG132" s="20"/>
      <c r="AH132" s="20"/>
      <c r="AI132" s="20"/>
      <c r="AJ132" s="20"/>
      <c r="AK132" s="20"/>
      <c r="AL132" s="20"/>
    </row>
    <row r="133" spans="2:38" x14ac:dyDescent="0.25">
      <c r="B133" s="20"/>
      <c r="C133" s="20"/>
      <c r="D133" s="20"/>
      <c r="E133" s="20"/>
      <c r="F133" s="20"/>
      <c r="G133" s="20"/>
      <c r="H133" s="20"/>
      <c r="I133" s="20"/>
      <c r="J133" s="20"/>
      <c r="K133" s="20"/>
      <c r="L133" s="20"/>
      <c r="M133" s="20"/>
      <c r="N133" s="20"/>
      <c r="O133" s="20"/>
      <c r="P133" s="20"/>
      <c r="Q133" s="20"/>
      <c r="R133" s="20"/>
      <c r="S133" s="20"/>
      <c r="T133" s="20"/>
      <c r="U133" s="20"/>
      <c r="V133" s="20"/>
      <c r="W133" s="20"/>
      <c r="X133" s="20"/>
      <c r="Y133" s="20"/>
      <c r="Z133" s="20"/>
      <c r="AA133" s="20"/>
      <c r="AB133" s="20"/>
      <c r="AC133" s="20"/>
      <c r="AD133" s="20"/>
      <c r="AE133" s="20"/>
      <c r="AF133" s="20"/>
      <c r="AG133" s="20"/>
      <c r="AH133" s="20"/>
      <c r="AI133" s="20"/>
      <c r="AJ133" s="20"/>
      <c r="AK133" s="20"/>
      <c r="AL133" s="20"/>
    </row>
    <row r="134" spans="2:38" x14ac:dyDescent="0.25">
      <c r="B134" s="20"/>
      <c r="C134" s="20"/>
      <c r="D134" s="20"/>
      <c r="E134" s="20"/>
      <c r="F134" s="20"/>
      <c r="G134" s="20"/>
      <c r="H134" s="20"/>
      <c r="I134" s="20"/>
      <c r="J134" s="20"/>
      <c r="K134" s="20"/>
      <c r="L134" s="20"/>
      <c r="M134" s="20"/>
      <c r="N134" s="20"/>
      <c r="O134" s="20"/>
      <c r="P134" s="20"/>
      <c r="Q134" s="20"/>
      <c r="R134" s="20"/>
      <c r="S134" s="20"/>
      <c r="T134" s="20"/>
      <c r="U134" s="20"/>
      <c r="V134" s="20"/>
      <c r="W134" s="20"/>
      <c r="X134" s="20"/>
      <c r="Y134" s="20"/>
      <c r="Z134" s="20"/>
      <c r="AA134" s="20"/>
      <c r="AB134" s="20"/>
      <c r="AC134" s="20"/>
      <c r="AD134" s="20"/>
      <c r="AE134" s="20"/>
      <c r="AF134" s="20"/>
      <c r="AG134" s="20"/>
      <c r="AH134" s="20"/>
      <c r="AI134" s="20"/>
      <c r="AJ134" s="20"/>
      <c r="AK134" s="20"/>
      <c r="AL134" s="20"/>
    </row>
    <row r="135" spans="2:38" x14ac:dyDescent="0.25">
      <c r="B135" s="20"/>
      <c r="C135" s="20"/>
      <c r="D135" s="20"/>
      <c r="E135" s="20"/>
      <c r="F135" s="20"/>
      <c r="G135" s="20"/>
      <c r="H135" s="20"/>
      <c r="I135" s="20"/>
      <c r="J135" s="20"/>
      <c r="K135" s="20"/>
      <c r="L135" s="20"/>
      <c r="M135" s="20"/>
      <c r="N135" s="20"/>
      <c r="O135" s="20"/>
      <c r="P135" s="20"/>
      <c r="Q135" s="20"/>
      <c r="R135" s="20"/>
      <c r="S135" s="20"/>
      <c r="T135" s="20"/>
      <c r="U135" s="20"/>
      <c r="V135" s="20"/>
      <c r="W135" s="20"/>
      <c r="X135" s="20"/>
      <c r="Y135" s="20"/>
      <c r="Z135" s="20"/>
      <c r="AA135" s="20"/>
      <c r="AB135" s="20"/>
      <c r="AC135" s="20"/>
      <c r="AD135" s="20"/>
      <c r="AE135" s="20"/>
      <c r="AF135" s="20"/>
      <c r="AG135" s="20"/>
      <c r="AH135" s="20"/>
      <c r="AI135" s="20"/>
      <c r="AJ135" s="20"/>
      <c r="AK135" s="20"/>
      <c r="AL135" s="20"/>
    </row>
    <row r="136" spans="2:38" x14ac:dyDescent="0.25">
      <c r="B136" s="20"/>
      <c r="C136" s="20"/>
      <c r="D136" s="20"/>
      <c r="E136" s="20"/>
      <c r="F136" s="20"/>
      <c r="G136" s="20"/>
      <c r="H136" s="20"/>
      <c r="I136" s="20"/>
      <c r="J136" s="20"/>
      <c r="K136" s="20"/>
      <c r="L136" s="20"/>
      <c r="M136" s="20"/>
      <c r="N136" s="20"/>
      <c r="O136" s="20"/>
      <c r="P136" s="20"/>
      <c r="Q136" s="20"/>
      <c r="R136" s="20"/>
      <c r="S136" s="20"/>
      <c r="T136" s="20"/>
      <c r="U136" s="20"/>
      <c r="V136" s="20"/>
      <c r="W136" s="20"/>
      <c r="X136" s="20"/>
      <c r="Y136" s="20"/>
      <c r="Z136" s="20"/>
      <c r="AA136" s="20"/>
      <c r="AB136" s="20"/>
      <c r="AC136" s="20"/>
      <c r="AD136" s="20"/>
      <c r="AE136" s="20"/>
      <c r="AF136" s="20"/>
      <c r="AG136" s="20"/>
      <c r="AH136" s="20"/>
      <c r="AI136" s="20"/>
      <c r="AJ136" s="20"/>
      <c r="AK136" s="20"/>
      <c r="AL136" s="20"/>
    </row>
    <row r="137" spans="2:38" x14ac:dyDescent="0.25">
      <c r="B137" s="20"/>
      <c r="C137" s="20"/>
      <c r="D137" s="20"/>
      <c r="E137" s="20"/>
      <c r="F137" s="20"/>
      <c r="G137" s="20"/>
      <c r="H137" s="20"/>
      <c r="I137" s="20"/>
      <c r="J137" s="20"/>
      <c r="K137" s="20"/>
      <c r="L137" s="20"/>
      <c r="M137" s="20"/>
      <c r="N137" s="20"/>
      <c r="O137" s="20"/>
      <c r="P137" s="20"/>
      <c r="Q137" s="20"/>
      <c r="R137" s="20"/>
      <c r="S137" s="20"/>
      <c r="T137" s="20"/>
      <c r="U137" s="20"/>
      <c r="V137" s="20"/>
      <c r="W137" s="20"/>
      <c r="X137" s="20"/>
      <c r="Y137" s="20"/>
      <c r="Z137" s="20"/>
      <c r="AA137" s="20"/>
      <c r="AB137" s="20"/>
      <c r="AC137" s="20"/>
      <c r="AD137" s="20"/>
      <c r="AE137" s="20"/>
      <c r="AF137" s="20"/>
      <c r="AG137" s="20"/>
      <c r="AH137" s="20"/>
      <c r="AI137" s="20"/>
      <c r="AJ137" s="20"/>
      <c r="AK137" s="20"/>
      <c r="AL137" s="20"/>
    </row>
    <row r="138" spans="2:38" x14ac:dyDescent="0.25">
      <c r="B138" s="20"/>
      <c r="C138" s="20"/>
      <c r="D138" s="20"/>
      <c r="E138" s="20"/>
      <c r="F138" s="20"/>
      <c r="G138" s="20"/>
      <c r="H138" s="20"/>
      <c r="I138" s="20"/>
      <c r="J138" s="20"/>
      <c r="K138" s="20"/>
      <c r="L138" s="20"/>
      <c r="M138" s="20"/>
      <c r="N138" s="20"/>
      <c r="O138" s="20"/>
      <c r="P138" s="20"/>
      <c r="Q138" s="20"/>
      <c r="R138" s="20"/>
      <c r="S138" s="20"/>
      <c r="T138" s="20"/>
      <c r="U138" s="20"/>
      <c r="V138" s="20"/>
      <c r="W138" s="20"/>
      <c r="X138" s="20"/>
      <c r="Y138" s="20"/>
      <c r="Z138" s="20"/>
      <c r="AA138" s="20"/>
      <c r="AB138" s="20"/>
      <c r="AC138" s="20"/>
      <c r="AD138" s="20"/>
      <c r="AE138" s="20"/>
      <c r="AF138" s="20"/>
      <c r="AG138" s="20"/>
      <c r="AH138" s="20"/>
      <c r="AI138" s="20"/>
      <c r="AJ138" s="20"/>
      <c r="AK138" s="20"/>
      <c r="AL138" s="20"/>
    </row>
    <row r="139" spans="2:38" x14ac:dyDescent="0.25">
      <c r="B139" s="20"/>
      <c r="C139" s="20"/>
      <c r="D139" s="20"/>
      <c r="E139" s="20"/>
      <c r="F139" s="20"/>
      <c r="G139" s="20"/>
      <c r="H139" s="20"/>
      <c r="I139" s="20"/>
      <c r="J139" s="20"/>
      <c r="K139" s="20"/>
      <c r="L139" s="20"/>
      <c r="M139" s="20"/>
      <c r="N139" s="20"/>
      <c r="O139" s="20"/>
      <c r="P139" s="20"/>
      <c r="Q139" s="20"/>
      <c r="R139" s="20"/>
      <c r="S139" s="20"/>
      <c r="T139" s="20"/>
      <c r="U139" s="20"/>
      <c r="V139" s="20"/>
      <c r="W139" s="20"/>
      <c r="X139" s="20"/>
      <c r="Y139" s="20"/>
      <c r="Z139" s="20"/>
      <c r="AA139" s="20"/>
      <c r="AB139" s="20"/>
      <c r="AC139" s="20"/>
      <c r="AD139" s="20"/>
      <c r="AE139" s="20"/>
      <c r="AF139" s="20"/>
      <c r="AG139" s="20"/>
      <c r="AH139" s="20"/>
      <c r="AI139" s="20"/>
      <c r="AJ139" s="20"/>
      <c r="AK139" s="20"/>
      <c r="AL139" s="20"/>
    </row>
    <row r="140" spans="2:38" x14ac:dyDescent="0.25">
      <c r="B140" s="20"/>
      <c r="C140" s="20"/>
      <c r="D140" s="20"/>
      <c r="E140" s="20"/>
      <c r="F140" s="20"/>
      <c r="G140" s="20"/>
      <c r="H140" s="20"/>
      <c r="I140" s="20"/>
      <c r="J140" s="20"/>
      <c r="K140" s="20"/>
      <c r="L140" s="20"/>
      <c r="M140" s="20"/>
      <c r="N140" s="20"/>
      <c r="O140" s="20"/>
      <c r="P140" s="20"/>
      <c r="Q140" s="20"/>
      <c r="R140" s="20"/>
      <c r="S140" s="20"/>
      <c r="T140" s="20"/>
      <c r="U140" s="20"/>
      <c r="V140" s="20"/>
      <c r="W140" s="20"/>
      <c r="X140" s="20"/>
      <c r="Y140" s="20"/>
      <c r="Z140" s="20"/>
      <c r="AA140" s="20"/>
      <c r="AB140" s="20"/>
      <c r="AC140" s="20"/>
      <c r="AD140" s="20"/>
      <c r="AE140" s="20"/>
      <c r="AF140" s="20"/>
      <c r="AG140" s="20"/>
      <c r="AH140" s="20"/>
      <c r="AI140" s="20"/>
      <c r="AJ140" s="20"/>
      <c r="AK140" s="20"/>
      <c r="AL140" s="20"/>
    </row>
    <row r="141" spans="2:38" x14ac:dyDescent="0.25">
      <c r="B141" s="20"/>
      <c r="C141" s="20"/>
      <c r="D141" s="20"/>
      <c r="E141" s="20"/>
      <c r="F141" s="20"/>
      <c r="G141" s="20"/>
      <c r="H141" s="20"/>
      <c r="I141" s="20"/>
      <c r="J141" s="20"/>
      <c r="K141" s="20"/>
      <c r="L141" s="20"/>
      <c r="M141" s="20"/>
      <c r="N141" s="20"/>
      <c r="O141" s="20"/>
      <c r="P141" s="20"/>
      <c r="Q141" s="20"/>
      <c r="R141" s="20"/>
      <c r="S141" s="20"/>
      <c r="T141" s="20"/>
      <c r="U141" s="20"/>
      <c r="V141" s="20"/>
      <c r="W141" s="20"/>
      <c r="X141" s="20"/>
      <c r="Y141" s="20"/>
      <c r="Z141" s="20"/>
      <c r="AA141" s="20"/>
      <c r="AB141" s="20"/>
      <c r="AC141" s="20"/>
      <c r="AD141" s="20"/>
      <c r="AE141" s="20"/>
      <c r="AF141" s="20"/>
      <c r="AG141" s="20"/>
      <c r="AH141" s="20"/>
      <c r="AI141" s="20"/>
      <c r="AJ141" s="20"/>
      <c r="AK141" s="20"/>
      <c r="AL141" s="20"/>
    </row>
    <row r="142" spans="2:38" x14ac:dyDescent="0.25">
      <c r="B142" s="20"/>
      <c r="C142" s="20"/>
      <c r="D142" s="20"/>
      <c r="E142" s="20"/>
      <c r="F142" s="20"/>
      <c r="G142" s="20"/>
      <c r="H142" s="20"/>
      <c r="I142" s="20"/>
      <c r="J142" s="20"/>
      <c r="K142" s="20"/>
      <c r="L142" s="20"/>
      <c r="M142" s="20"/>
      <c r="N142" s="20"/>
      <c r="O142" s="20"/>
      <c r="P142" s="20"/>
      <c r="Q142" s="20"/>
      <c r="R142" s="20"/>
      <c r="S142" s="20"/>
      <c r="T142" s="20"/>
      <c r="U142" s="20"/>
      <c r="V142" s="20"/>
      <c r="W142" s="20"/>
      <c r="X142" s="20"/>
      <c r="Y142" s="20"/>
      <c r="Z142" s="20"/>
      <c r="AA142" s="20"/>
      <c r="AB142" s="20"/>
      <c r="AC142" s="20"/>
      <c r="AD142" s="20"/>
      <c r="AE142" s="20"/>
      <c r="AF142" s="20"/>
      <c r="AG142" s="20"/>
      <c r="AH142" s="20"/>
      <c r="AI142" s="20"/>
      <c r="AJ142" s="20"/>
      <c r="AK142" s="20"/>
      <c r="AL142" s="20"/>
    </row>
    <row r="143" spans="2:38" x14ac:dyDescent="0.25">
      <c r="B143" s="20"/>
      <c r="C143" s="20"/>
      <c r="D143" s="20"/>
      <c r="E143" s="20"/>
      <c r="F143" s="20"/>
      <c r="G143" s="20"/>
      <c r="H143" s="20"/>
      <c r="I143" s="20"/>
      <c r="J143" s="20"/>
      <c r="K143" s="20"/>
      <c r="L143" s="20"/>
      <c r="M143" s="20"/>
      <c r="N143" s="20"/>
      <c r="O143" s="20"/>
      <c r="P143" s="20"/>
      <c r="Q143" s="20"/>
      <c r="R143" s="20"/>
      <c r="S143" s="20"/>
      <c r="T143" s="20"/>
      <c r="U143" s="20"/>
      <c r="V143" s="20"/>
      <c r="W143" s="20"/>
      <c r="X143" s="20"/>
      <c r="Y143" s="20"/>
      <c r="Z143" s="20"/>
      <c r="AA143" s="20"/>
      <c r="AB143" s="20"/>
      <c r="AC143" s="20"/>
      <c r="AD143" s="20"/>
      <c r="AE143" s="20"/>
      <c r="AF143" s="20"/>
      <c r="AG143" s="20"/>
      <c r="AH143" s="20"/>
      <c r="AI143" s="20"/>
      <c r="AJ143" s="20"/>
      <c r="AK143" s="20"/>
      <c r="AL143" s="20"/>
    </row>
    <row r="144" spans="2:38" x14ac:dyDescent="0.25">
      <c r="B144" s="20"/>
      <c r="C144" s="20"/>
      <c r="D144" s="20"/>
      <c r="E144" s="20"/>
      <c r="F144" s="20"/>
      <c r="G144" s="20"/>
      <c r="H144" s="20"/>
      <c r="I144" s="20"/>
      <c r="J144" s="20"/>
      <c r="K144" s="20"/>
      <c r="L144" s="20"/>
      <c r="M144" s="20"/>
      <c r="N144" s="20"/>
      <c r="O144" s="20"/>
      <c r="P144" s="20"/>
      <c r="Q144" s="20"/>
      <c r="R144" s="20"/>
      <c r="S144" s="20"/>
      <c r="T144" s="20"/>
      <c r="U144" s="20"/>
      <c r="V144" s="20"/>
      <c r="W144" s="20"/>
      <c r="X144" s="20"/>
      <c r="Y144" s="20"/>
      <c r="Z144" s="20"/>
      <c r="AA144" s="20"/>
      <c r="AB144" s="20"/>
      <c r="AC144" s="20"/>
      <c r="AD144" s="20"/>
      <c r="AE144" s="20"/>
      <c r="AF144" s="20"/>
      <c r="AG144" s="20"/>
      <c r="AH144" s="20"/>
      <c r="AI144" s="20"/>
      <c r="AJ144" s="20"/>
      <c r="AK144" s="20"/>
      <c r="AL144" s="20"/>
    </row>
    <row r="145" spans="2:38" x14ac:dyDescent="0.25">
      <c r="B145" s="20"/>
      <c r="C145" s="20"/>
      <c r="D145" s="20"/>
      <c r="E145" s="20"/>
      <c r="F145" s="20"/>
      <c r="G145" s="20"/>
      <c r="H145" s="20"/>
      <c r="I145" s="20"/>
      <c r="J145" s="20"/>
      <c r="K145" s="20"/>
      <c r="L145" s="20"/>
      <c r="M145" s="20"/>
      <c r="N145" s="20"/>
      <c r="O145" s="20"/>
      <c r="P145" s="20"/>
      <c r="Q145" s="20"/>
      <c r="R145" s="20"/>
      <c r="S145" s="20"/>
      <c r="T145" s="20"/>
      <c r="U145" s="20"/>
      <c r="V145" s="20"/>
      <c r="W145" s="20"/>
      <c r="X145" s="20"/>
      <c r="Y145" s="20"/>
      <c r="Z145" s="20"/>
      <c r="AA145" s="20"/>
      <c r="AB145" s="20"/>
      <c r="AC145" s="20"/>
      <c r="AD145" s="20"/>
      <c r="AE145" s="20"/>
      <c r="AF145" s="20"/>
      <c r="AG145" s="20"/>
      <c r="AH145" s="20"/>
      <c r="AI145" s="20"/>
      <c r="AJ145" s="20"/>
      <c r="AK145" s="20"/>
      <c r="AL145" s="20"/>
    </row>
    <row r="146" spans="2:38" x14ac:dyDescent="0.25">
      <c r="B146" s="20"/>
      <c r="C146" s="20"/>
      <c r="D146" s="20"/>
      <c r="E146" s="20"/>
      <c r="F146" s="20"/>
      <c r="G146" s="20"/>
      <c r="H146" s="20"/>
      <c r="I146" s="20"/>
      <c r="J146" s="20"/>
      <c r="K146" s="20"/>
      <c r="L146" s="20"/>
      <c r="M146" s="20"/>
      <c r="N146" s="20"/>
      <c r="O146" s="20"/>
      <c r="P146" s="20"/>
      <c r="Q146" s="20"/>
      <c r="R146" s="20"/>
      <c r="S146" s="20"/>
      <c r="T146" s="20"/>
      <c r="U146" s="20"/>
      <c r="V146" s="20"/>
      <c r="W146" s="20"/>
      <c r="X146" s="20"/>
      <c r="Y146" s="20"/>
      <c r="Z146" s="20"/>
      <c r="AA146" s="20"/>
      <c r="AB146" s="20"/>
      <c r="AC146" s="20"/>
      <c r="AD146" s="20"/>
      <c r="AE146" s="20"/>
      <c r="AF146" s="20"/>
      <c r="AG146" s="20"/>
      <c r="AH146" s="20"/>
      <c r="AI146" s="20"/>
      <c r="AJ146" s="20"/>
      <c r="AK146" s="20"/>
      <c r="AL146" s="20"/>
    </row>
    <row r="147" spans="2:38" x14ac:dyDescent="0.25">
      <c r="B147" s="20"/>
      <c r="C147" s="20"/>
      <c r="D147" s="20"/>
      <c r="E147" s="20"/>
      <c r="F147" s="20"/>
      <c r="G147" s="20"/>
      <c r="H147" s="20"/>
      <c r="I147" s="20"/>
      <c r="J147" s="20"/>
      <c r="K147" s="20"/>
      <c r="L147" s="20"/>
      <c r="M147" s="20"/>
      <c r="N147" s="20"/>
      <c r="O147" s="20"/>
      <c r="P147" s="20"/>
      <c r="Q147" s="20"/>
      <c r="R147" s="20"/>
      <c r="S147" s="20"/>
      <c r="T147" s="20"/>
      <c r="U147" s="20"/>
      <c r="V147" s="20"/>
      <c r="W147" s="20"/>
      <c r="X147" s="20"/>
      <c r="Y147" s="20"/>
      <c r="Z147" s="20"/>
      <c r="AA147" s="20"/>
      <c r="AB147" s="20"/>
      <c r="AC147" s="20"/>
      <c r="AD147" s="20"/>
      <c r="AE147" s="20"/>
      <c r="AF147" s="20"/>
      <c r="AG147" s="20"/>
      <c r="AH147" s="20"/>
      <c r="AI147" s="20"/>
      <c r="AJ147" s="20"/>
      <c r="AK147" s="20"/>
      <c r="AL147" s="20"/>
    </row>
    <row r="148" spans="2:38" x14ac:dyDescent="0.25">
      <c r="B148" s="20"/>
      <c r="C148" s="20"/>
      <c r="D148" s="20"/>
      <c r="E148" s="20"/>
      <c r="F148" s="20"/>
      <c r="G148" s="20"/>
      <c r="H148" s="20"/>
      <c r="I148" s="20"/>
      <c r="J148" s="20"/>
      <c r="K148" s="20"/>
      <c r="L148" s="20"/>
      <c r="M148" s="20"/>
      <c r="N148" s="20"/>
      <c r="O148" s="20"/>
      <c r="P148" s="20"/>
      <c r="Q148" s="20"/>
      <c r="R148" s="20"/>
      <c r="S148" s="20"/>
      <c r="T148" s="20"/>
      <c r="U148" s="20"/>
      <c r="V148" s="20"/>
      <c r="W148" s="20"/>
      <c r="X148" s="20"/>
      <c r="Y148" s="20"/>
      <c r="Z148" s="20"/>
      <c r="AA148" s="20"/>
      <c r="AB148" s="20"/>
      <c r="AC148" s="20"/>
      <c r="AD148" s="20"/>
      <c r="AE148" s="20"/>
      <c r="AF148" s="20"/>
      <c r="AG148" s="20"/>
      <c r="AH148" s="20"/>
      <c r="AI148" s="20"/>
      <c r="AJ148" s="20"/>
      <c r="AK148" s="20"/>
      <c r="AL148" s="20"/>
    </row>
    <row r="149" spans="2:38" x14ac:dyDescent="0.25">
      <c r="B149" s="20"/>
      <c r="C149" s="20"/>
      <c r="D149" s="20"/>
      <c r="E149" s="20"/>
      <c r="F149" s="20"/>
      <c r="G149" s="20"/>
      <c r="H149" s="20"/>
      <c r="I149" s="20"/>
      <c r="J149" s="20"/>
      <c r="K149" s="20"/>
      <c r="L149" s="20"/>
      <c r="M149" s="20"/>
      <c r="N149" s="20"/>
      <c r="O149" s="20"/>
      <c r="P149" s="20"/>
      <c r="Q149" s="20"/>
      <c r="R149" s="20"/>
      <c r="S149" s="20"/>
      <c r="T149" s="20"/>
      <c r="U149" s="20"/>
      <c r="V149" s="20"/>
      <c r="W149" s="20"/>
      <c r="X149" s="20"/>
      <c r="Y149" s="20"/>
      <c r="Z149" s="20"/>
      <c r="AA149" s="20"/>
      <c r="AB149" s="20"/>
      <c r="AC149" s="20"/>
      <c r="AD149" s="20"/>
      <c r="AE149" s="20"/>
      <c r="AF149" s="20"/>
      <c r="AG149" s="20"/>
      <c r="AH149" s="20"/>
      <c r="AI149" s="20"/>
      <c r="AJ149" s="20"/>
      <c r="AK149" s="20"/>
      <c r="AL149" s="20"/>
    </row>
    <row r="150" spans="2:38" x14ac:dyDescent="0.25">
      <c r="B150" s="20"/>
      <c r="C150" s="20"/>
      <c r="D150" s="20"/>
      <c r="E150" s="20"/>
      <c r="F150" s="20"/>
      <c r="G150" s="20"/>
      <c r="H150" s="20"/>
      <c r="I150" s="20"/>
      <c r="J150" s="20"/>
      <c r="K150" s="20"/>
      <c r="L150" s="20"/>
      <c r="M150" s="20"/>
      <c r="N150" s="20"/>
      <c r="O150" s="20"/>
      <c r="P150" s="20"/>
      <c r="Q150" s="20"/>
      <c r="R150" s="20"/>
      <c r="S150" s="20"/>
      <c r="T150" s="20"/>
      <c r="U150" s="20"/>
      <c r="V150" s="20"/>
      <c r="W150" s="20"/>
      <c r="X150" s="20"/>
      <c r="Y150" s="20"/>
      <c r="Z150" s="20"/>
      <c r="AA150" s="20"/>
      <c r="AB150" s="20"/>
      <c r="AC150" s="20"/>
      <c r="AD150" s="20"/>
      <c r="AE150" s="20"/>
      <c r="AF150" s="20"/>
      <c r="AG150" s="20"/>
      <c r="AH150" s="20"/>
      <c r="AI150" s="20"/>
      <c r="AJ150" s="20"/>
      <c r="AK150" s="20"/>
      <c r="AL150" s="20"/>
    </row>
    <row r="151" spans="2:38" x14ac:dyDescent="0.25">
      <c r="B151" s="20"/>
      <c r="C151" s="20"/>
      <c r="D151" s="20"/>
      <c r="E151" s="20"/>
      <c r="F151" s="20"/>
      <c r="G151" s="20"/>
      <c r="H151" s="20"/>
      <c r="I151" s="20"/>
      <c r="J151" s="20"/>
      <c r="K151" s="20"/>
      <c r="L151" s="20"/>
      <c r="M151" s="20"/>
      <c r="N151" s="20"/>
      <c r="O151" s="20"/>
      <c r="P151" s="20"/>
      <c r="Q151" s="20"/>
      <c r="R151" s="20"/>
      <c r="S151" s="20"/>
      <c r="T151" s="20"/>
      <c r="U151" s="20"/>
      <c r="V151" s="20"/>
      <c r="W151" s="20"/>
      <c r="X151" s="20"/>
      <c r="Y151" s="20"/>
      <c r="Z151" s="20"/>
      <c r="AA151" s="20"/>
      <c r="AB151" s="20"/>
      <c r="AC151" s="20"/>
      <c r="AD151" s="20"/>
      <c r="AE151" s="20"/>
      <c r="AF151" s="20"/>
      <c r="AG151" s="20"/>
      <c r="AH151" s="20"/>
      <c r="AI151" s="20"/>
      <c r="AJ151" s="20"/>
      <c r="AK151" s="20"/>
      <c r="AL151" s="20"/>
    </row>
    <row r="152" spans="2:38" x14ac:dyDescent="0.25">
      <c r="B152" s="20"/>
      <c r="C152" s="20"/>
      <c r="D152" s="20"/>
      <c r="E152" s="20"/>
      <c r="F152" s="20"/>
      <c r="G152" s="20"/>
      <c r="H152" s="20"/>
      <c r="I152" s="20"/>
      <c r="J152" s="20"/>
      <c r="K152" s="20"/>
      <c r="L152" s="20"/>
      <c r="M152" s="20"/>
      <c r="N152" s="20"/>
      <c r="O152" s="20"/>
      <c r="P152" s="20"/>
      <c r="Q152" s="20"/>
      <c r="R152" s="20"/>
      <c r="S152" s="20"/>
      <c r="T152" s="20"/>
      <c r="U152" s="20"/>
      <c r="V152" s="20"/>
      <c r="W152" s="20"/>
      <c r="X152" s="20"/>
      <c r="Y152" s="20"/>
      <c r="Z152" s="20"/>
      <c r="AA152" s="20"/>
      <c r="AB152" s="20"/>
      <c r="AC152" s="20"/>
      <c r="AD152" s="20"/>
      <c r="AE152" s="20"/>
      <c r="AF152" s="20"/>
      <c r="AG152" s="20"/>
      <c r="AH152" s="20"/>
      <c r="AI152" s="20"/>
      <c r="AJ152" s="20"/>
      <c r="AK152" s="20"/>
      <c r="AL152" s="20"/>
    </row>
    <row r="153" spans="2:38" x14ac:dyDescent="0.25">
      <c r="B153" s="20"/>
      <c r="C153" s="20"/>
      <c r="D153" s="20"/>
      <c r="E153" s="20"/>
      <c r="F153" s="20"/>
      <c r="G153" s="20"/>
      <c r="H153" s="20"/>
      <c r="I153" s="20"/>
      <c r="J153" s="20"/>
      <c r="K153" s="20"/>
      <c r="L153" s="20"/>
      <c r="M153" s="20"/>
      <c r="N153" s="20"/>
      <c r="O153" s="20"/>
      <c r="P153" s="20"/>
      <c r="Q153" s="20"/>
      <c r="R153" s="20"/>
      <c r="S153" s="20"/>
      <c r="T153" s="20"/>
      <c r="U153" s="20"/>
      <c r="V153" s="20"/>
      <c r="W153" s="20"/>
      <c r="X153" s="20"/>
      <c r="Y153" s="20"/>
      <c r="Z153" s="20"/>
      <c r="AA153" s="20"/>
      <c r="AB153" s="20"/>
      <c r="AC153" s="20"/>
      <c r="AD153" s="20"/>
      <c r="AE153" s="20"/>
      <c r="AF153" s="20"/>
      <c r="AG153" s="20"/>
      <c r="AH153" s="20"/>
      <c r="AI153" s="20"/>
      <c r="AJ153" s="20"/>
      <c r="AK153" s="20"/>
      <c r="AL153" s="20"/>
    </row>
    <row r="154" spans="2:38" x14ac:dyDescent="0.25">
      <c r="B154" s="20"/>
      <c r="C154" s="20"/>
      <c r="D154" s="20"/>
      <c r="E154" s="20"/>
      <c r="F154" s="20"/>
      <c r="G154" s="20"/>
      <c r="H154" s="20"/>
      <c r="I154" s="20"/>
      <c r="J154" s="20"/>
      <c r="K154" s="20"/>
      <c r="L154" s="20"/>
      <c r="M154" s="20"/>
      <c r="N154" s="20"/>
      <c r="O154" s="20"/>
      <c r="P154" s="20"/>
      <c r="Q154" s="20"/>
      <c r="R154" s="20"/>
      <c r="S154" s="20"/>
      <c r="T154" s="20"/>
      <c r="U154" s="20"/>
      <c r="V154" s="20"/>
      <c r="W154" s="20"/>
      <c r="X154" s="20"/>
      <c r="Y154" s="20"/>
      <c r="Z154" s="20"/>
      <c r="AA154" s="20"/>
      <c r="AB154" s="20"/>
      <c r="AC154" s="20"/>
      <c r="AD154" s="20"/>
      <c r="AE154" s="20"/>
      <c r="AF154" s="20"/>
      <c r="AG154" s="20"/>
      <c r="AH154" s="20"/>
      <c r="AI154" s="20"/>
      <c r="AJ154" s="20"/>
      <c r="AK154" s="20"/>
      <c r="AL154" s="20"/>
    </row>
    <row r="155" spans="2:38" x14ac:dyDescent="0.25">
      <c r="B155" s="20"/>
      <c r="C155" s="20"/>
      <c r="D155" s="20"/>
      <c r="E155" s="20"/>
      <c r="F155" s="20"/>
      <c r="G155" s="20"/>
      <c r="H155" s="20"/>
      <c r="I155" s="20"/>
      <c r="J155" s="20"/>
      <c r="K155" s="20"/>
      <c r="L155" s="20"/>
      <c r="M155" s="20"/>
      <c r="N155" s="20"/>
      <c r="O155" s="20"/>
      <c r="P155" s="20"/>
      <c r="Q155" s="20"/>
      <c r="R155" s="20"/>
      <c r="S155" s="20"/>
      <c r="T155" s="20"/>
      <c r="U155" s="20"/>
      <c r="V155" s="20"/>
      <c r="W155" s="20"/>
      <c r="X155" s="20"/>
      <c r="Y155" s="20"/>
      <c r="Z155" s="20"/>
      <c r="AA155" s="20"/>
      <c r="AB155" s="20"/>
      <c r="AC155" s="20"/>
      <c r="AD155" s="20"/>
      <c r="AE155" s="20"/>
      <c r="AF155" s="20"/>
      <c r="AG155" s="20"/>
      <c r="AH155" s="20"/>
      <c r="AI155" s="20"/>
      <c r="AJ155" s="20"/>
      <c r="AK155" s="20"/>
      <c r="AL155" s="20"/>
    </row>
    <row r="156" spans="2:38" x14ac:dyDescent="0.25">
      <c r="B156" s="20"/>
      <c r="C156" s="20"/>
      <c r="D156" s="20"/>
      <c r="E156" s="20"/>
      <c r="F156" s="20"/>
      <c r="G156" s="20"/>
      <c r="H156" s="20"/>
      <c r="I156" s="20"/>
      <c r="J156" s="20"/>
      <c r="K156" s="20"/>
      <c r="L156" s="20"/>
      <c r="M156" s="20"/>
      <c r="N156" s="20"/>
      <c r="O156" s="20"/>
      <c r="P156" s="20"/>
      <c r="Q156" s="20"/>
      <c r="R156" s="20"/>
      <c r="S156" s="20"/>
      <c r="T156" s="20"/>
      <c r="U156" s="20"/>
      <c r="V156" s="20"/>
      <c r="W156" s="20"/>
      <c r="X156" s="20"/>
      <c r="Y156" s="20"/>
      <c r="Z156" s="20"/>
      <c r="AA156" s="20"/>
      <c r="AB156" s="20"/>
      <c r="AC156" s="20"/>
      <c r="AD156" s="20"/>
      <c r="AE156" s="20"/>
      <c r="AF156" s="20"/>
      <c r="AG156" s="20"/>
      <c r="AH156" s="20"/>
      <c r="AI156" s="20"/>
      <c r="AJ156" s="20"/>
      <c r="AK156" s="20"/>
      <c r="AL156" s="20"/>
    </row>
    <row r="157" spans="2:38" x14ac:dyDescent="0.25">
      <c r="B157" s="20"/>
      <c r="C157" s="20"/>
      <c r="D157" s="20"/>
      <c r="E157" s="20"/>
      <c r="F157" s="20"/>
      <c r="G157" s="20"/>
      <c r="H157" s="20"/>
      <c r="I157" s="20"/>
      <c r="J157" s="20"/>
      <c r="K157" s="20"/>
      <c r="L157" s="20"/>
      <c r="M157" s="20"/>
      <c r="N157" s="20"/>
      <c r="O157" s="20"/>
      <c r="P157" s="20"/>
      <c r="Q157" s="20"/>
      <c r="R157" s="20"/>
      <c r="S157" s="20"/>
      <c r="T157" s="20"/>
      <c r="U157" s="20"/>
      <c r="V157" s="20"/>
      <c r="W157" s="20"/>
      <c r="X157" s="20"/>
      <c r="Y157" s="20"/>
      <c r="Z157" s="20"/>
      <c r="AA157" s="20"/>
      <c r="AB157" s="20"/>
      <c r="AC157" s="20"/>
      <c r="AD157" s="20"/>
      <c r="AE157" s="20"/>
      <c r="AF157" s="20"/>
      <c r="AG157" s="20"/>
      <c r="AH157" s="20"/>
      <c r="AI157" s="20"/>
      <c r="AJ157" s="20"/>
      <c r="AK157" s="20"/>
      <c r="AL157" s="20"/>
    </row>
    <row r="158" spans="2:38" x14ac:dyDescent="0.25">
      <c r="B158" s="20"/>
      <c r="C158" s="20"/>
      <c r="D158" s="20"/>
      <c r="E158" s="20"/>
      <c r="F158" s="20"/>
      <c r="G158" s="20"/>
      <c r="H158" s="20"/>
      <c r="I158" s="20"/>
      <c r="J158" s="20"/>
      <c r="K158" s="20"/>
      <c r="L158" s="20"/>
      <c r="M158" s="20"/>
      <c r="N158" s="20"/>
      <c r="O158" s="20"/>
      <c r="P158" s="20"/>
      <c r="Q158" s="20"/>
      <c r="R158" s="20"/>
      <c r="S158" s="20"/>
      <c r="T158" s="20"/>
      <c r="U158" s="20"/>
      <c r="V158" s="20"/>
      <c r="W158" s="20"/>
      <c r="X158" s="20"/>
      <c r="Y158" s="20"/>
      <c r="Z158" s="20"/>
      <c r="AA158" s="20"/>
      <c r="AB158" s="20"/>
      <c r="AC158" s="20"/>
      <c r="AD158" s="20"/>
      <c r="AE158" s="20"/>
      <c r="AF158" s="20"/>
      <c r="AG158" s="20"/>
      <c r="AH158" s="20"/>
      <c r="AI158" s="20"/>
      <c r="AJ158" s="20"/>
      <c r="AK158" s="20"/>
      <c r="AL158" s="20"/>
    </row>
    <row r="159" spans="2:38" x14ac:dyDescent="0.25">
      <c r="B159" s="20"/>
      <c r="C159" s="20"/>
      <c r="D159" s="20"/>
      <c r="E159" s="20"/>
      <c r="F159" s="20"/>
      <c r="G159" s="20"/>
      <c r="H159" s="20"/>
      <c r="I159" s="20"/>
      <c r="J159" s="20"/>
      <c r="K159" s="20"/>
      <c r="L159" s="20"/>
      <c r="M159" s="20"/>
      <c r="N159" s="20"/>
      <c r="O159" s="20"/>
      <c r="P159" s="20"/>
      <c r="Q159" s="20"/>
      <c r="R159" s="20"/>
      <c r="S159" s="20"/>
      <c r="T159" s="20"/>
      <c r="U159" s="20"/>
      <c r="V159" s="20"/>
      <c r="W159" s="20"/>
      <c r="X159" s="20"/>
      <c r="Y159" s="20"/>
      <c r="Z159" s="20"/>
      <c r="AA159" s="20"/>
      <c r="AB159" s="20"/>
      <c r="AC159" s="20"/>
      <c r="AD159" s="20"/>
      <c r="AE159" s="20"/>
      <c r="AF159" s="20"/>
      <c r="AG159" s="20"/>
      <c r="AH159" s="20"/>
      <c r="AI159" s="20"/>
      <c r="AJ159" s="20"/>
      <c r="AK159" s="20"/>
      <c r="AL159" s="20"/>
    </row>
    <row r="160" spans="2:38" x14ac:dyDescent="0.25">
      <c r="B160" s="20"/>
      <c r="C160" s="20"/>
      <c r="D160" s="20"/>
      <c r="E160" s="20"/>
      <c r="F160" s="20"/>
      <c r="G160" s="20"/>
      <c r="H160" s="20"/>
      <c r="I160" s="20"/>
      <c r="J160" s="20"/>
      <c r="K160" s="20"/>
      <c r="L160" s="20"/>
      <c r="M160" s="20"/>
      <c r="N160" s="20"/>
      <c r="O160" s="20"/>
      <c r="P160" s="20"/>
      <c r="Q160" s="20"/>
      <c r="R160" s="20"/>
      <c r="S160" s="20"/>
      <c r="T160" s="20"/>
      <c r="U160" s="20"/>
      <c r="V160" s="20"/>
      <c r="W160" s="20"/>
      <c r="X160" s="20"/>
      <c r="Y160" s="20"/>
      <c r="Z160" s="20"/>
      <c r="AA160" s="20"/>
      <c r="AB160" s="20"/>
      <c r="AC160" s="20"/>
      <c r="AD160" s="20"/>
      <c r="AE160" s="20"/>
      <c r="AF160" s="20"/>
      <c r="AG160" s="20"/>
      <c r="AH160" s="20"/>
      <c r="AI160" s="20"/>
      <c r="AJ160" s="20"/>
      <c r="AK160" s="20"/>
      <c r="AL160" s="20"/>
    </row>
    <row r="161" spans="2:38" x14ac:dyDescent="0.25">
      <c r="B161" s="20"/>
      <c r="C161" s="20"/>
      <c r="D161" s="20"/>
      <c r="E161" s="20"/>
      <c r="F161" s="20"/>
      <c r="G161" s="20"/>
      <c r="H161" s="20"/>
      <c r="I161" s="20"/>
      <c r="J161" s="20"/>
      <c r="K161" s="20"/>
      <c r="L161" s="20"/>
      <c r="M161" s="20"/>
      <c r="N161" s="20"/>
      <c r="O161" s="20"/>
      <c r="P161" s="20"/>
      <c r="Q161" s="20"/>
      <c r="R161" s="20"/>
      <c r="S161" s="20"/>
      <c r="T161" s="20"/>
      <c r="U161" s="20"/>
      <c r="V161" s="20"/>
      <c r="W161" s="20"/>
      <c r="X161" s="20"/>
      <c r="Y161" s="20"/>
      <c r="Z161" s="20"/>
      <c r="AA161" s="20"/>
      <c r="AB161" s="20"/>
      <c r="AC161" s="20"/>
      <c r="AD161" s="20"/>
      <c r="AE161" s="20"/>
      <c r="AF161" s="20"/>
      <c r="AG161" s="20"/>
      <c r="AH161" s="20"/>
      <c r="AI161" s="20"/>
      <c r="AJ161" s="20"/>
      <c r="AK161" s="20"/>
      <c r="AL161" s="20"/>
    </row>
    <row r="162" spans="2:38" x14ac:dyDescent="0.25">
      <c r="B162" s="20"/>
      <c r="C162" s="20"/>
      <c r="D162" s="20"/>
      <c r="E162" s="20"/>
      <c r="F162" s="20"/>
      <c r="G162" s="20"/>
      <c r="H162" s="20"/>
      <c r="I162" s="20"/>
      <c r="J162" s="20"/>
      <c r="K162" s="20"/>
      <c r="L162" s="20"/>
      <c r="M162" s="20"/>
      <c r="N162" s="20"/>
      <c r="O162" s="20"/>
      <c r="P162" s="20"/>
      <c r="Q162" s="20"/>
      <c r="R162" s="20"/>
      <c r="S162" s="20"/>
      <c r="T162" s="20"/>
      <c r="U162" s="20"/>
      <c r="V162" s="20"/>
      <c r="W162" s="20"/>
      <c r="X162" s="20"/>
      <c r="Y162" s="20"/>
      <c r="Z162" s="20"/>
      <c r="AA162" s="20"/>
      <c r="AB162" s="20"/>
      <c r="AC162" s="20"/>
      <c r="AD162" s="20"/>
      <c r="AE162" s="20"/>
      <c r="AF162" s="20"/>
      <c r="AG162" s="20"/>
      <c r="AH162" s="20"/>
      <c r="AI162" s="20"/>
      <c r="AJ162" s="20"/>
      <c r="AK162" s="20"/>
      <c r="AL162" s="20"/>
    </row>
    <row r="163" spans="2:38" x14ac:dyDescent="0.25">
      <c r="B163" s="87" t="s">
        <v>384</v>
      </c>
      <c r="C163" s="88">
        <f>SUM(C113:C162)</f>
        <v>0</v>
      </c>
      <c r="D163" s="88">
        <f t="shared" ref="D163:AK163" si="2">SUM(D113:D162)</f>
        <v>0</v>
      </c>
      <c r="E163" s="88">
        <f t="shared" si="2"/>
        <v>0</v>
      </c>
      <c r="F163" s="88">
        <f t="shared" si="2"/>
        <v>0</v>
      </c>
      <c r="G163" s="88">
        <f t="shared" si="2"/>
        <v>0</v>
      </c>
      <c r="H163" s="88">
        <f t="shared" si="2"/>
        <v>0</v>
      </c>
      <c r="I163" s="88">
        <f t="shared" si="2"/>
        <v>0</v>
      </c>
      <c r="J163" s="88">
        <f t="shared" si="2"/>
        <v>0</v>
      </c>
      <c r="K163" s="88">
        <f t="shared" si="2"/>
        <v>0</v>
      </c>
      <c r="L163" s="88">
        <f t="shared" si="2"/>
        <v>0</v>
      </c>
      <c r="M163" s="88">
        <f t="shared" si="2"/>
        <v>0</v>
      </c>
      <c r="N163" s="88">
        <f t="shared" si="2"/>
        <v>0</v>
      </c>
      <c r="O163" s="88">
        <f t="shared" si="2"/>
        <v>0</v>
      </c>
      <c r="P163" s="88">
        <f t="shared" si="2"/>
        <v>0</v>
      </c>
      <c r="Q163" s="88">
        <f t="shared" si="2"/>
        <v>0</v>
      </c>
      <c r="R163" s="88">
        <f t="shared" si="2"/>
        <v>0</v>
      </c>
      <c r="S163" s="88">
        <f t="shared" si="2"/>
        <v>0</v>
      </c>
      <c r="T163" s="88">
        <f t="shared" si="2"/>
        <v>0</v>
      </c>
      <c r="U163" s="88">
        <f t="shared" si="2"/>
        <v>0</v>
      </c>
      <c r="V163" s="88">
        <f t="shared" si="2"/>
        <v>0</v>
      </c>
      <c r="W163" s="88">
        <f t="shared" si="2"/>
        <v>0</v>
      </c>
      <c r="X163" s="88">
        <f t="shared" si="2"/>
        <v>0</v>
      </c>
      <c r="Y163" s="88">
        <f t="shared" si="2"/>
        <v>0</v>
      </c>
      <c r="Z163" s="88">
        <f t="shared" si="2"/>
        <v>0</v>
      </c>
      <c r="AA163" s="88">
        <f t="shared" si="2"/>
        <v>0</v>
      </c>
      <c r="AB163" s="88">
        <f t="shared" si="2"/>
        <v>0</v>
      </c>
      <c r="AC163" s="88">
        <f t="shared" si="2"/>
        <v>0</v>
      </c>
      <c r="AD163" s="88">
        <f t="shared" si="2"/>
        <v>0</v>
      </c>
      <c r="AE163" s="88">
        <f t="shared" si="2"/>
        <v>0</v>
      </c>
      <c r="AF163" s="88">
        <f t="shared" si="2"/>
        <v>0</v>
      </c>
      <c r="AG163" s="88">
        <f t="shared" si="2"/>
        <v>0</v>
      </c>
      <c r="AH163" s="88">
        <f t="shared" si="2"/>
        <v>0</v>
      </c>
      <c r="AI163" s="88">
        <f t="shared" si="2"/>
        <v>0</v>
      </c>
      <c r="AJ163" s="88">
        <f t="shared" si="2"/>
        <v>0</v>
      </c>
      <c r="AK163" s="88">
        <f t="shared" si="2"/>
        <v>0</v>
      </c>
      <c r="AL163" s="20"/>
    </row>
    <row r="164" spans="2:38" x14ac:dyDescent="0.25"/>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076256-5449-4AF2-83BC-67CA459E3129}">
  <sheetPr codeName="Sheet17">
    <tabColor rgb="FFA3B8BA"/>
  </sheetPr>
  <dimension ref="A1:D110"/>
  <sheetViews>
    <sheetView showGridLines="0" zoomScale="115" zoomScaleNormal="115" workbookViewId="0">
      <selection activeCell="D84" sqref="D84"/>
    </sheetView>
  </sheetViews>
  <sheetFormatPr defaultColWidth="0" defaultRowHeight="15" zeroHeight="1" x14ac:dyDescent="0.25"/>
  <cols>
    <col min="1" max="1" width="5.7109375" customWidth="1"/>
    <col min="2" max="2" width="26.28515625" bestFit="1" customWidth="1"/>
    <col min="3" max="3" width="24.7109375" customWidth="1"/>
    <col min="4" max="4" width="8.85546875" customWidth="1"/>
    <col min="5" max="16384" width="8.85546875" hidden="1"/>
  </cols>
  <sheetData>
    <row r="1" spans="1:3" x14ac:dyDescent="0.25">
      <c r="A1" s="9" t="s">
        <v>258</v>
      </c>
    </row>
    <row r="2" spans="1:3" x14ac:dyDescent="0.25">
      <c r="B2" t="s">
        <v>261</v>
      </c>
      <c r="C2" s="22" t="s">
        <v>418</v>
      </c>
    </row>
    <row r="3" spans="1:3" hidden="1" x14ac:dyDescent="0.25">
      <c r="B3" t="s">
        <v>259</v>
      </c>
      <c r="C3" s="22">
        <v>0.42399999999999999</v>
      </c>
    </row>
    <row r="4" spans="1:3" x14ac:dyDescent="0.25"/>
    <row r="5" spans="1:3" x14ac:dyDescent="0.25">
      <c r="B5" s="62" t="s">
        <v>0</v>
      </c>
      <c r="C5" s="62" t="s">
        <v>259</v>
      </c>
    </row>
    <row r="6" spans="1:3" x14ac:dyDescent="0.25">
      <c r="B6" s="22">
        <f>YEAR('General Config'!C6)</f>
        <v>2023</v>
      </c>
      <c r="C6" s="63">
        <v>0.4</v>
      </c>
    </row>
    <row r="7" spans="1:3" x14ac:dyDescent="0.25">
      <c r="B7" s="22">
        <v>2024</v>
      </c>
      <c r="C7" s="63">
        <v>0.4</v>
      </c>
    </row>
    <row r="8" spans="1:3" x14ac:dyDescent="0.25">
      <c r="B8" s="22">
        <v>2025</v>
      </c>
      <c r="C8" s="63">
        <v>0.42</v>
      </c>
    </row>
    <row r="9" spans="1:3" x14ac:dyDescent="0.25">
      <c r="B9" s="22">
        <v>2027</v>
      </c>
      <c r="C9" s="63">
        <v>0.42</v>
      </c>
    </row>
    <row r="10" spans="1:3" x14ac:dyDescent="0.25">
      <c r="B10" s="22">
        <v>2030</v>
      </c>
      <c r="C10" s="22">
        <v>0.43</v>
      </c>
    </row>
    <row r="11" spans="1:3" x14ac:dyDescent="0.25">
      <c r="B11" s="22">
        <v>2032</v>
      </c>
      <c r="C11" s="22">
        <v>0.45</v>
      </c>
    </row>
    <row r="12" spans="1:3" x14ac:dyDescent="0.25"/>
    <row r="13" spans="1:3" x14ac:dyDescent="0.25">
      <c r="B13" t="s">
        <v>260</v>
      </c>
      <c r="C13" s="22" t="s">
        <v>381</v>
      </c>
    </row>
    <row r="14" spans="1:3" x14ac:dyDescent="0.25"/>
    <row r="15" spans="1:3" x14ac:dyDescent="0.25">
      <c r="A15" s="9" t="s">
        <v>275</v>
      </c>
    </row>
    <row r="16" spans="1:3" x14ac:dyDescent="0.25">
      <c r="B16" t="s">
        <v>276</v>
      </c>
      <c r="C16" s="22" t="s">
        <v>382</v>
      </c>
    </row>
    <row r="17" spans="1:3" x14ac:dyDescent="0.25"/>
    <row r="18" spans="1:3" x14ac:dyDescent="0.25">
      <c r="A18" s="9" t="s">
        <v>262</v>
      </c>
    </row>
    <row r="19" spans="1:3" x14ac:dyDescent="0.25">
      <c r="B19" t="s">
        <v>263</v>
      </c>
      <c r="C19" s="22" t="s">
        <v>373</v>
      </c>
    </row>
    <row r="20" spans="1:3" x14ac:dyDescent="0.25">
      <c r="B20" t="s">
        <v>371</v>
      </c>
      <c r="C20" s="22" t="s">
        <v>372</v>
      </c>
    </row>
    <row r="21" spans="1:3" x14ac:dyDescent="0.25"/>
    <row r="22" spans="1:3" x14ac:dyDescent="0.25">
      <c r="A22" s="9" t="s">
        <v>379</v>
      </c>
    </row>
    <row r="23" spans="1:3" x14ac:dyDescent="0.25">
      <c r="B23" t="s">
        <v>272</v>
      </c>
      <c r="C23" s="22">
        <v>0.02</v>
      </c>
    </row>
    <row r="24" spans="1:3" x14ac:dyDescent="0.25"/>
    <row r="25" spans="1:3" x14ac:dyDescent="0.25">
      <c r="A25" s="9" t="s">
        <v>273</v>
      </c>
    </row>
    <row r="26" spans="1:3" x14ac:dyDescent="0.25">
      <c r="B26" t="s">
        <v>274</v>
      </c>
      <c r="C26" s="22" t="s">
        <v>365</v>
      </c>
    </row>
    <row r="27" spans="1:3" x14ac:dyDescent="0.25">
      <c r="B27" t="s">
        <v>414</v>
      </c>
      <c r="C27" s="22">
        <v>2</v>
      </c>
    </row>
    <row r="28" spans="1:3" x14ac:dyDescent="0.25"/>
    <row r="29" spans="1:3" x14ac:dyDescent="0.25">
      <c r="A29" s="9" t="s">
        <v>368</v>
      </c>
    </row>
    <row r="30" spans="1:3" x14ac:dyDescent="0.25">
      <c r="B30" t="s">
        <v>370</v>
      </c>
      <c r="C30" s="22" t="s">
        <v>418</v>
      </c>
    </row>
    <row r="31" spans="1:3" hidden="1" x14ac:dyDescent="0.25">
      <c r="B31" t="s">
        <v>369</v>
      </c>
      <c r="C31" s="22">
        <v>0.1</v>
      </c>
    </row>
    <row r="32" spans="1:3" x14ac:dyDescent="0.25"/>
    <row r="33" spans="2:3" x14ac:dyDescent="0.25">
      <c r="B33" s="62" t="s">
        <v>0</v>
      </c>
      <c r="C33" s="62" t="s">
        <v>369</v>
      </c>
    </row>
    <row r="34" spans="2:3" x14ac:dyDescent="0.25">
      <c r="B34" s="22">
        <v>2023</v>
      </c>
      <c r="C34" s="62">
        <v>0.01</v>
      </c>
    </row>
    <row r="35" spans="2:3" x14ac:dyDescent="0.25">
      <c r="B35" s="22">
        <v>2024</v>
      </c>
      <c r="C35" s="62">
        <v>0.02</v>
      </c>
    </row>
    <row r="36" spans="2:3" x14ac:dyDescent="0.25">
      <c r="B36" s="22">
        <v>2025</v>
      </c>
      <c r="C36" s="62">
        <v>0.03</v>
      </c>
    </row>
    <row r="37" spans="2:3" x14ac:dyDescent="0.25">
      <c r="B37" s="22">
        <v>2026</v>
      </c>
      <c r="C37" s="62">
        <v>0.04</v>
      </c>
    </row>
    <row r="38" spans="2:3" x14ac:dyDescent="0.25">
      <c r="B38" s="22">
        <v>2027</v>
      </c>
      <c r="C38" s="62">
        <v>0.05</v>
      </c>
    </row>
    <row r="39" spans="2:3" x14ac:dyDescent="0.25">
      <c r="B39" s="22">
        <v>2028</v>
      </c>
      <c r="C39" s="62">
        <v>0.06</v>
      </c>
    </row>
    <row r="40" spans="2:3" x14ac:dyDescent="0.25">
      <c r="B40" s="22">
        <v>2029</v>
      </c>
      <c r="C40" s="62">
        <v>7.0000000000000007E-2</v>
      </c>
    </row>
    <row r="41" spans="2:3" x14ac:dyDescent="0.25">
      <c r="B41" s="22">
        <v>2030</v>
      </c>
      <c r="C41" s="62">
        <v>0.08</v>
      </c>
    </row>
    <row r="42" spans="2:3" x14ac:dyDescent="0.25">
      <c r="B42" s="22">
        <v>2031</v>
      </c>
      <c r="C42" s="62">
        <v>0.09</v>
      </c>
    </row>
    <row r="43" spans="2:3" x14ac:dyDescent="0.25">
      <c r="B43" s="22">
        <v>2032</v>
      </c>
      <c r="C43" s="62">
        <v>0.1</v>
      </c>
    </row>
    <row r="44" spans="2:3" x14ac:dyDescent="0.25">
      <c r="B44" s="22">
        <v>2033</v>
      </c>
      <c r="C44" s="62">
        <v>0.11</v>
      </c>
    </row>
    <row r="45" spans="2:3" x14ac:dyDescent="0.25">
      <c r="B45" s="22">
        <v>2034</v>
      </c>
      <c r="C45" s="62">
        <v>0.12</v>
      </c>
    </row>
    <row r="46" spans="2:3" x14ac:dyDescent="0.25">
      <c r="B46" s="22">
        <v>2035</v>
      </c>
      <c r="C46" s="62">
        <v>0.13</v>
      </c>
    </row>
    <row r="47" spans="2:3" x14ac:dyDescent="0.25">
      <c r="B47" s="22">
        <v>2036</v>
      </c>
      <c r="C47" s="62">
        <v>0.14000000000000001</v>
      </c>
    </row>
    <row r="48" spans="2:3" x14ac:dyDescent="0.25">
      <c r="B48" s="22">
        <v>2037</v>
      </c>
      <c r="C48" s="62">
        <v>0.15</v>
      </c>
    </row>
    <row r="49" spans="1:3" x14ac:dyDescent="0.25">
      <c r="B49" s="22">
        <v>2038</v>
      </c>
      <c r="C49" s="62">
        <v>0.16</v>
      </c>
    </row>
    <row r="50" spans="1:3" x14ac:dyDescent="0.25">
      <c r="B50" s="22">
        <v>2039</v>
      </c>
      <c r="C50" s="62">
        <v>0.17</v>
      </c>
    </row>
    <row r="51" spans="1:3" x14ac:dyDescent="0.25">
      <c r="B51" s="22">
        <v>2040</v>
      </c>
      <c r="C51" s="62">
        <v>0.18</v>
      </c>
    </row>
    <row r="52" spans="1:3" x14ac:dyDescent="0.25">
      <c r="B52" s="22">
        <v>2041</v>
      </c>
      <c r="C52" s="62">
        <v>0.19</v>
      </c>
    </row>
    <row r="53" spans="1:3" x14ac:dyDescent="0.25">
      <c r="B53" s="22">
        <v>2042</v>
      </c>
      <c r="C53" s="62">
        <v>0.2</v>
      </c>
    </row>
    <row r="54" spans="1:3" x14ac:dyDescent="0.25"/>
    <row r="55" spans="1:3" hidden="1" x14ac:dyDescent="0.25">
      <c r="A55" s="9" t="s">
        <v>376</v>
      </c>
    </row>
    <row r="56" spans="1:3" hidden="1" x14ac:dyDescent="0.25">
      <c r="B56" t="s">
        <v>377</v>
      </c>
      <c r="C56" s="63">
        <v>0</v>
      </c>
    </row>
    <row r="57" spans="1:3" hidden="1" x14ac:dyDescent="0.25">
      <c r="B57" t="s">
        <v>415</v>
      </c>
      <c r="C57" s="63">
        <v>0</v>
      </c>
    </row>
    <row r="59" spans="1:3" x14ac:dyDescent="0.25">
      <c r="A59" s="9" t="s">
        <v>398</v>
      </c>
    </row>
    <row r="60" spans="1:3" x14ac:dyDescent="0.25">
      <c r="B60" t="s">
        <v>401</v>
      </c>
      <c r="C60" s="22" t="s">
        <v>418</v>
      </c>
    </row>
    <row r="61" spans="1:3" hidden="1" x14ac:dyDescent="0.25">
      <c r="B61" t="s">
        <v>399</v>
      </c>
      <c r="C61" s="22">
        <v>0.12</v>
      </c>
    </row>
    <row r="62" spans="1:3" x14ac:dyDescent="0.25"/>
    <row r="63" spans="1:3" x14ac:dyDescent="0.25">
      <c r="B63" s="62" t="s">
        <v>0</v>
      </c>
      <c r="C63" s="62" t="s">
        <v>399</v>
      </c>
    </row>
    <row r="64" spans="1:3" x14ac:dyDescent="0.25">
      <c r="B64" s="22">
        <v>2023</v>
      </c>
      <c r="C64" s="63">
        <v>0.01</v>
      </c>
    </row>
    <row r="65" spans="2:3" x14ac:dyDescent="0.25">
      <c r="B65" s="22">
        <v>2024</v>
      </c>
      <c r="C65" s="63">
        <v>0.01</v>
      </c>
    </row>
    <row r="66" spans="2:3" x14ac:dyDescent="0.25">
      <c r="B66" s="22">
        <v>2025</v>
      </c>
      <c r="C66" s="63">
        <v>0.01</v>
      </c>
    </row>
    <row r="67" spans="2:3" x14ac:dyDescent="0.25">
      <c r="B67" s="22">
        <v>2026</v>
      </c>
      <c r="C67" s="63">
        <v>0.01</v>
      </c>
    </row>
    <row r="68" spans="2:3" x14ac:dyDescent="0.25">
      <c r="B68" s="22">
        <v>2027</v>
      </c>
      <c r="C68" s="63">
        <v>0.01</v>
      </c>
    </row>
    <row r="69" spans="2:3" x14ac:dyDescent="0.25">
      <c r="B69" s="22">
        <v>2028</v>
      </c>
      <c r="C69" s="63">
        <v>0.01</v>
      </c>
    </row>
    <row r="70" spans="2:3" x14ac:dyDescent="0.25">
      <c r="B70" s="22">
        <v>2029</v>
      </c>
      <c r="C70" s="63">
        <v>0.01</v>
      </c>
    </row>
    <row r="71" spans="2:3" x14ac:dyDescent="0.25">
      <c r="B71" s="22">
        <v>2030</v>
      </c>
      <c r="C71" s="63">
        <v>0.01</v>
      </c>
    </row>
    <row r="72" spans="2:3" x14ac:dyDescent="0.25">
      <c r="B72" s="22">
        <v>2031</v>
      </c>
      <c r="C72" s="63">
        <v>0.01</v>
      </c>
    </row>
    <row r="73" spans="2:3" x14ac:dyDescent="0.25">
      <c r="B73" s="22">
        <v>2032</v>
      </c>
      <c r="C73" s="63">
        <v>0.01</v>
      </c>
    </row>
    <row r="74" spans="2:3" x14ac:dyDescent="0.25">
      <c r="B74" s="22">
        <v>2033</v>
      </c>
      <c r="C74" s="63">
        <v>0.01</v>
      </c>
    </row>
    <row r="75" spans="2:3" x14ac:dyDescent="0.25">
      <c r="B75" s="22">
        <v>2034</v>
      </c>
      <c r="C75" s="63">
        <v>0.01</v>
      </c>
    </row>
    <row r="76" spans="2:3" x14ac:dyDescent="0.25">
      <c r="B76" s="22">
        <v>2035</v>
      </c>
      <c r="C76" s="63">
        <v>0.01</v>
      </c>
    </row>
    <row r="77" spans="2:3" x14ac:dyDescent="0.25">
      <c r="B77" s="22">
        <v>2036</v>
      </c>
      <c r="C77" s="63">
        <v>0.01</v>
      </c>
    </row>
    <row r="78" spans="2:3" x14ac:dyDescent="0.25">
      <c r="B78" s="22">
        <v>2037</v>
      </c>
      <c r="C78" s="63">
        <v>0.01</v>
      </c>
    </row>
    <row r="79" spans="2:3" x14ac:dyDescent="0.25">
      <c r="B79" s="22">
        <v>2038</v>
      </c>
      <c r="C79" s="63">
        <v>0.01</v>
      </c>
    </row>
    <row r="80" spans="2:3" x14ac:dyDescent="0.25">
      <c r="B80" s="22">
        <v>2039</v>
      </c>
      <c r="C80" s="63">
        <v>0.01</v>
      </c>
    </row>
    <row r="81" spans="1:3" x14ac:dyDescent="0.25">
      <c r="B81" s="22">
        <v>2040</v>
      </c>
      <c r="C81" s="63">
        <v>0.01</v>
      </c>
    </row>
    <row r="82" spans="1:3" x14ac:dyDescent="0.25">
      <c r="B82" s="22">
        <v>2041</v>
      </c>
      <c r="C82" s="63">
        <v>0.01</v>
      </c>
    </row>
    <row r="83" spans="1:3" x14ac:dyDescent="0.25">
      <c r="B83" s="22">
        <v>2042</v>
      </c>
      <c r="C83" s="63">
        <v>0.01</v>
      </c>
    </row>
    <row r="84" spans="1:3" x14ac:dyDescent="0.25"/>
    <row r="85" spans="1:3" x14ac:dyDescent="0.25">
      <c r="A85" s="9" t="s">
        <v>400</v>
      </c>
    </row>
    <row r="86" spans="1:3" x14ac:dyDescent="0.25">
      <c r="B86" t="s">
        <v>402</v>
      </c>
      <c r="C86" s="22" t="s">
        <v>418</v>
      </c>
    </row>
    <row r="87" spans="1:3" hidden="1" x14ac:dyDescent="0.25">
      <c r="B87" t="s">
        <v>403</v>
      </c>
      <c r="C87" s="22">
        <v>0.02</v>
      </c>
    </row>
    <row r="88" spans="1:3" x14ac:dyDescent="0.25"/>
    <row r="89" spans="1:3" x14ac:dyDescent="0.25">
      <c r="B89" s="62">
        <v>2023</v>
      </c>
      <c r="C89" s="62">
        <v>0.01</v>
      </c>
    </row>
    <row r="90" spans="1:3" x14ac:dyDescent="0.25">
      <c r="B90" s="22">
        <v>2024</v>
      </c>
      <c r="C90" s="63">
        <v>0.02</v>
      </c>
    </row>
    <row r="91" spans="1:3" x14ac:dyDescent="0.25">
      <c r="B91" s="22">
        <v>2025</v>
      </c>
      <c r="C91" s="62">
        <v>0.03</v>
      </c>
    </row>
    <row r="92" spans="1:3" x14ac:dyDescent="0.25">
      <c r="B92" s="62">
        <v>2026</v>
      </c>
      <c r="C92" s="63">
        <v>0.04</v>
      </c>
    </row>
    <row r="93" spans="1:3" x14ac:dyDescent="0.25">
      <c r="B93" s="22">
        <v>2027</v>
      </c>
      <c r="C93" s="62">
        <v>0.05</v>
      </c>
    </row>
    <row r="94" spans="1:3" x14ac:dyDescent="0.25">
      <c r="B94" s="22">
        <v>2028</v>
      </c>
      <c r="C94" s="63">
        <v>0.06</v>
      </c>
    </row>
    <row r="95" spans="1:3" x14ac:dyDescent="0.25">
      <c r="B95" s="62">
        <v>2029</v>
      </c>
      <c r="C95" s="62">
        <v>7.0000000000000007E-2</v>
      </c>
    </row>
    <row r="96" spans="1:3" x14ac:dyDescent="0.25">
      <c r="B96" s="22">
        <v>2030</v>
      </c>
      <c r="C96" s="63">
        <v>0.08</v>
      </c>
    </row>
    <row r="97" spans="2:3" x14ac:dyDescent="0.25">
      <c r="B97" s="22">
        <v>2031</v>
      </c>
      <c r="C97" s="62">
        <v>0.09</v>
      </c>
    </row>
    <row r="98" spans="2:3" x14ac:dyDescent="0.25">
      <c r="B98" s="62">
        <v>2032</v>
      </c>
      <c r="C98" s="63">
        <v>0.1</v>
      </c>
    </row>
    <row r="99" spans="2:3" x14ac:dyDescent="0.25">
      <c r="B99" s="22">
        <v>2033</v>
      </c>
      <c r="C99" s="62">
        <v>0.11</v>
      </c>
    </row>
    <row r="100" spans="2:3" x14ac:dyDescent="0.25">
      <c r="B100" s="22">
        <v>2034</v>
      </c>
      <c r="C100" s="63">
        <v>0.12</v>
      </c>
    </row>
    <row r="101" spans="2:3" x14ac:dyDescent="0.25">
      <c r="B101" s="62">
        <v>2035</v>
      </c>
      <c r="C101" s="62">
        <v>0.13</v>
      </c>
    </row>
    <row r="102" spans="2:3" x14ac:dyDescent="0.25">
      <c r="B102" s="22">
        <v>2036</v>
      </c>
      <c r="C102" s="63">
        <v>0.14000000000000001</v>
      </c>
    </row>
    <row r="103" spans="2:3" x14ac:dyDescent="0.25">
      <c r="B103" s="22">
        <v>2037</v>
      </c>
      <c r="C103" s="62">
        <v>0.15</v>
      </c>
    </row>
    <row r="104" spans="2:3" x14ac:dyDescent="0.25">
      <c r="B104" s="62">
        <v>2038</v>
      </c>
      <c r="C104" s="63">
        <v>0.16</v>
      </c>
    </row>
    <row r="105" spans="2:3" x14ac:dyDescent="0.25">
      <c r="B105" s="22">
        <v>2039</v>
      </c>
      <c r="C105" s="62">
        <v>0.17</v>
      </c>
    </row>
    <row r="106" spans="2:3" x14ac:dyDescent="0.25">
      <c r="B106" s="22">
        <v>2040</v>
      </c>
      <c r="C106" s="63">
        <v>0.18</v>
      </c>
    </row>
    <row r="107" spans="2:3" x14ac:dyDescent="0.25">
      <c r="B107" s="62">
        <v>2041</v>
      </c>
      <c r="C107" s="62">
        <v>0.19</v>
      </c>
    </row>
    <row r="108" spans="2:3" x14ac:dyDescent="0.25">
      <c r="B108" s="22">
        <v>2042</v>
      </c>
      <c r="C108" s="63">
        <v>0.2</v>
      </c>
    </row>
    <row r="109" spans="2:3" x14ac:dyDescent="0.25">
      <c r="B109" s="22">
        <v>2043</v>
      </c>
      <c r="C109" s="62">
        <v>0.21</v>
      </c>
    </row>
    <row r="110" spans="2:3" x14ac:dyDescent="0.25"/>
  </sheetData>
  <dataValidations count="11">
    <dataValidation type="list" allowBlank="1" showInputMessage="1" showErrorMessage="1" sqref="C13" xr:uid="{0F4D8B95-6C84-4E1F-A19D-F4811513895E}">
      <formula1>"Due Mode,Direct Mode"</formula1>
    </dataValidation>
    <dataValidation type="decimal" allowBlank="1" showInputMessage="1" showErrorMessage="1" sqref="C3 C61 C87" xr:uid="{0E655B14-7881-4C11-9C2E-59973451C36A}">
      <formula1>0</formula1>
      <formula2>1</formula2>
    </dataValidation>
    <dataValidation type="list" allowBlank="1" showInputMessage="1" showErrorMessage="1" sqref="C19" xr:uid="{796E4B67-CF19-4DFB-9E9E-A5FFDBCDAD97}">
      <formula1>"SKK Full Cycle Real Terms,SKK Full Cycle Nominal Terms,Full Cycle Real Terms,Full Cycle Nominal Terms,Point Forward"</formula1>
    </dataValidation>
    <dataValidation type="decimal" allowBlank="1" showInputMessage="1" showErrorMessage="1" errorTitle="Data type" error="Should be in float" sqref="C23" xr:uid="{96A2F105-AA38-48E8-B01A-371391349B1D}">
      <formula1>0</formula1>
      <formula2>1</formula2>
    </dataValidation>
    <dataValidation type="list" allowBlank="1" showInputMessage="1" showErrorMessage="1" errorTitle="Data type" error="Should be in float" sqref="C26" xr:uid="{D2E979B4-AAE3-46DD-AC35-37A5EC49D599}">
      <formula1>"Declining Balance,PSC Declining Balance,Unit Of Production,Straight Line"</formula1>
    </dataValidation>
    <dataValidation type="list" allowBlank="1" showInputMessage="1" showErrorMessage="1" sqref="C16" xr:uid="{748D00EC-189A-4E9F-9F34-F3E24C10CB86}">
      <formula1>"PDJP No.20 Tahun 2017,Pre PDJP No.20 Tahun 2017"</formula1>
    </dataValidation>
    <dataValidation errorStyle="warning" allowBlank="1" showInputMessage="1" showErrorMessage="1" sqref="C2 C30:C31 C86 C60 C56:C58" xr:uid="{1DE8691F-764D-4B8B-BA0A-CE7EE0C4C6C6}"/>
    <dataValidation type="whole" allowBlank="1" showInputMessage="1" showErrorMessage="1" errorTitle="Data Type" error="Should be year" sqref="B6:B11 B34:B54 B64:B83 B90:B91 B93:B94 B96:B97 B99:B100 B102:B103 B105:B106 B108:B109" xr:uid="{73E8C4BB-3E1F-4188-B79D-7E460395708B}">
      <formula1>1945</formula1>
      <formula2>3000</formula2>
    </dataValidation>
    <dataValidation type="decimal" allowBlank="1" showInputMessage="1" showErrorMessage="1" errorTitle="Data Type" error="Should be between 0 and 1" sqref="C6:C11 C64:C83 C54 C90 C92 C94 C96 C98 C100 C102 C104 C106 C108" xr:uid="{CF646499-E3B4-4A30-B4A3-F4BC798BD89F}">
      <formula1>0</formula1>
      <formula2>1</formula2>
    </dataValidation>
    <dataValidation type="list" allowBlank="1" showInputMessage="1" showErrorMessage="1" sqref="C20" xr:uid="{C9A4F0EB-2D97-4EF1-A6B8-6963D71AB965}">
      <formula1>"End Year,Mid Year"</formula1>
    </dataValidation>
    <dataValidation type="decimal" allowBlank="1" showInputMessage="1" showErrorMessage="1" errorTitle="Data type" error="Should be in float" sqref="C27:C28" xr:uid="{C4D18D1E-36B2-49C0-BEA2-EC353B17A53D}">
      <formula1>0</formula1>
      <formula2>2</formula2>
    </dataValidation>
  </dataValidations>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3107" r:id="rId4" name="Spinner 3">
              <controlPr defaultSize="0" autoPict="0" macro="[0]!ThisWorkbook.SetTaxConfig">
                <anchor moveWithCells="1" sizeWithCells="1">
                  <from>
                    <xdr:col>2</xdr:col>
                    <xdr:colOff>1514475</xdr:colOff>
                    <xdr:row>1</xdr:row>
                    <xdr:rowOff>9525</xdr:rowOff>
                  </from>
                  <to>
                    <xdr:col>2</xdr:col>
                    <xdr:colOff>1685925</xdr:colOff>
                    <xdr:row>1</xdr:row>
                    <xdr:rowOff>171450</xdr:rowOff>
                  </to>
                </anchor>
              </controlPr>
            </control>
          </mc:Choice>
        </mc:AlternateContent>
        <mc:AlternateContent xmlns:mc="http://schemas.openxmlformats.org/markup-compatibility/2006">
          <mc:Choice Requires="x14">
            <control shapeId="303109" r:id="rId5" name="Spinner 5">
              <controlPr defaultSize="0" autoPict="0" macro="[0]!ThisWorkbook.SetInflationConfig">
                <anchor moveWithCells="1" sizeWithCells="1">
                  <from>
                    <xdr:col>2</xdr:col>
                    <xdr:colOff>1514475</xdr:colOff>
                    <xdr:row>29</xdr:row>
                    <xdr:rowOff>9525</xdr:rowOff>
                  </from>
                  <to>
                    <xdr:col>2</xdr:col>
                    <xdr:colOff>1685925</xdr:colOff>
                    <xdr:row>29</xdr:row>
                    <xdr:rowOff>171450</xdr:rowOff>
                  </to>
                </anchor>
              </controlPr>
            </control>
          </mc:Choice>
        </mc:AlternateContent>
        <mc:AlternateContent xmlns:mc="http://schemas.openxmlformats.org/markup-compatibility/2006">
          <mc:Choice Requires="x14">
            <control shapeId="303111" r:id="rId6" name="Spinner 7">
              <controlPr defaultSize="0" autoPict="0" macro="[0]!ThisWorkbook.SetVatConfig">
                <anchor moveWithCells="1" sizeWithCells="1">
                  <from>
                    <xdr:col>2</xdr:col>
                    <xdr:colOff>1514475</xdr:colOff>
                    <xdr:row>59</xdr:row>
                    <xdr:rowOff>9525</xdr:rowOff>
                  </from>
                  <to>
                    <xdr:col>2</xdr:col>
                    <xdr:colOff>1685925</xdr:colOff>
                    <xdr:row>59</xdr:row>
                    <xdr:rowOff>171450</xdr:rowOff>
                  </to>
                </anchor>
              </controlPr>
            </control>
          </mc:Choice>
        </mc:AlternateContent>
        <mc:AlternateContent xmlns:mc="http://schemas.openxmlformats.org/markup-compatibility/2006">
          <mc:Choice Requires="x14">
            <control shapeId="303112" r:id="rId7" name="Spinner 8">
              <controlPr defaultSize="0" autoPict="0" macro="[0]!ThisWorkbook.SetLBTConfig">
                <anchor moveWithCells="1" sizeWithCells="1">
                  <from>
                    <xdr:col>2</xdr:col>
                    <xdr:colOff>1514475</xdr:colOff>
                    <xdr:row>85</xdr:row>
                    <xdr:rowOff>9525</xdr:rowOff>
                  </from>
                  <to>
                    <xdr:col>2</xdr:col>
                    <xdr:colOff>1685925</xdr:colOff>
                    <xdr:row>85</xdr:row>
                    <xdr:rowOff>171450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6B933F-B136-4100-87AC-660E3436A411}">
  <sheetPr codeName="Sheet5">
    <tabColor rgb="FFA3B8BA"/>
  </sheetPr>
  <dimension ref="A1:E50"/>
  <sheetViews>
    <sheetView workbookViewId="0">
      <pane xSplit="1" topLeftCell="B1" activePane="topRight" state="frozen"/>
      <selection activeCell="D21" sqref="D21"/>
      <selection pane="topRight" activeCell="D20" sqref="D20"/>
    </sheetView>
  </sheetViews>
  <sheetFormatPr defaultColWidth="0" defaultRowHeight="15" zeroHeight="1" x14ac:dyDescent="0.25"/>
  <cols>
    <col min="1" max="1" width="6.5703125" customWidth="1"/>
    <col min="2" max="2" width="19.7109375" customWidth="1"/>
    <col min="3" max="3" width="19" customWidth="1"/>
    <col min="4" max="4" width="27.42578125" customWidth="1"/>
    <col min="5" max="5" width="26.7109375" customWidth="1"/>
    <col min="6" max="16384" width="8.85546875" hidden="1"/>
  </cols>
  <sheetData>
    <row r="1" spans="1:5" x14ac:dyDescent="0.25">
      <c r="A1" s="65" t="s">
        <v>0</v>
      </c>
      <c r="B1" s="65" t="s">
        <v>1</v>
      </c>
      <c r="C1" s="65" t="s">
        <v>2</v>
      </c>
      <c r="D1" s="65" t="s">
        <v>3</v>
      </c>
      <c r="E1" s="65" t="s">
        <v>4</v>
      </c>
    </row>
    <row r="2" spans="1:5" x14ac:dyDescent="0.25">
      <c r="A2">
        <v>2023</v>
      </c>
      <c r="B2">
        <v>100</v>
      </c>
      <c r="C2">
        <v>100</v>
      </c>
      <c r="D2" s="25">
        <v>100</v>
      </c>
      <c r="E2" s="25">
        <v>100</v>
      </c>
    </row>
    <row r="3" spans="1:5" x14ac:dyDescent="0.25">
      <c r="A3">
        <v>2024</v>
      </c>
      <c r="B3">
        <v>100</v>
      </c>
      <c r="C3">
        <v>100</v>
      </c>
      <c r="D3" s="25">
        <v>100</v>
      </c>
      <c r="E3" s="25">
        <v>100</v>
      </c>
    </row>
    <row r="4" spans="1:5" x14ac:dyDescent="0.25">
      <c r="A4">
        <v>2025</v>
      </c>
      <c r="B4">
        <v>100</v>
      </c>
      <c r="C4">
        <v>100</v>
      </c>
      <c r="D4" s="25">
        <v>100</v>
      </c>
      <c r="E4" s="25">
        <v>100</v>
      </c>
    </row>
    <row r="5" spans="1:5" x14ac:dyDescent="0.25">
      <c r="A5">
        <v>2026</v>
      </c>
      <c r="B5">
        <v>100</v>
      </c>
      <c r="C5">
        <v>100</v>
      </c>
      <c r="D5" s="25">
        <v>100</v>
      </c>
      <c r="E5" s="25">
        <v>100</v>
      </c>
    </row>
    <row r="6" spans="1:5" x14ac:dyDescent="0.25">
      <c r="A6">
        <v>2027</v>
      </c>
      <c r="B6">
        <v>100</v>
      </c>
      <c r="C6">
        <v>100</v>
      </c>
      <c r="D6" s="25">
        <v>100</v>
      </c>
      <c r="E6" s="25">
        <v>100</v>
      </c>
    </row>
    <row r="7" spans="1:5" x14ac:dyDescent="0.25">
      <c r="A7">
        <v>2028</v>
      </c>
      <c r="B7">
        <v>100</v>
      </c>
      <c r="C7">
        <v>100</v>
      </c>
      <c r="D7" s="25">
        <v>100</v>
      </c>
      <c r="E7" s="25">
        <v>100</v>
      </c>
    </row>
    <row r="8" spans="1:5" x14ac:dyDescent="0.25">
      <c r="A8">
        <v>2029</v>
      </c>
      <c r="B8">
        <v>100</v>
      </c>
      <c r="C8">
        <v>100</v>
      </c>
      <c r="D8" s="25">
        <v>100</v>
      </c>
      <c r="E8" s="25">
        <v>100</v>
      </c>
    </row>
    <row r="9" spans="1:5" x14ac:dyDescent="0.25">
      <c r="A9">
        <v>2030</v>
      </c>
      <c r="B9">
        <v>100</v>
      </c>
      <c r="C9">
        <v>100</v>
      </c>
      <c r="D9" s="25">
        <v>100</v>
      </c>
      <c r="E9" s="25">
        <v>100</v>
      </c>
    </row>
    <row r="10" spans="1:5" x14ac:dyDescent="0.25">
      <c r="A10">
        <v>2031</v>
      </c>
      <c r="B10">
        <v>12.5</v>
      </c>
      <c r="C10">
        <v>12.5</v>
      </c>
      <c r="D10" s="25">
        <v>12.5</v>
      </c>
      <c r="E10" s="25">
        <v>12.5</v>
      </c>
    </row>
    <row r="11" spans="1:5" x14ac:dyDescent="0.25">
      <c r="A11">
        <v>2032</v>
      </c>
      <c r="B11">
        <v>12.5</v>
      </c>
      <c r="C11">
        <v>12.5</v>
      </c>
      <c r="D11" s="25">
        <v>12.5</v>
      </c>
      <c r="E11" s="25">
        <v>12.5</v>
      </c>
    </row>
    <row r="12" spans="1:5" x14ac:dyDescent="0.25">
      <c r="A12">
        <v>2033</v>
      </c>
      <c r="B12">
        <v>12.5</v>
      </c>
      <c r="C12">
        <v>12.5</v>
      </c>
      <c r="D12" s="25">
        <v>12.5</v>
      </c>
      <c r="E12" s="25">
        <v>12.5</v>
      </c>
    </row>
    <row r="13" spans="1:5" x14ac:dyDescent="0.25">
      <c r="A13">
        <v>2034</v>
      </c>
      <c r="B13">
        <v>12.5</v>
      </c>
      <c r="C13">
        <v>12.5</v>
      </c>
      <c r="D13" s="25">
        <v>12.5</v>
      </c>
      <c r="E13" s="25">
        <v>12.5</v>
      </c>
    </row>
    <row r="14" spans="1:5" x14ac:dyDescent="0.25">
      <c r="A14">
        <v>2035</v>
      </c>
      <c r="B14">
        <v>12.5</v>
      </c>
      <c r="C14">
        <v>12.5</v>
      </c>
      <c r="D14" s="25">
        <v>12.5</v>
      </c>
      <c r="E14" s="25">
        <v>12.5</v>
      </c>
    </row>
    <row r="15" spans="1:5" x14ac:dyDescent="0.25">
      <c r="D15" s="25"/>
      <c r="E15" s="25"/>
    </row>
    <row r="16" spans="1:5" x14ac:dyDescent="0.25">
      <c r="D16" s="25"/>
      <c r="E16" s="25"/>
    </row>
    <row r="17" spans="4:5" x14ac:dyDescent="0.25">
      <c r="D17" s="25"/>
      <c r="E17" s="25"/>
    </row>
    <row r="18" spans="4:5" x14ac:dyDescent="0.25">
      <c r="D18" s="25"/>
      <c r="E18" s="25"/>
    </row>
    <row r="19" spans="4:5" x14ac:dyDescent="0.25">
      <c r="D19" s="25"/>
      <c r="E19" s="25"/>
    </row>
    <row r="20" spans="4:5" x14ac:dyDescent="0.25">
      <c r="D20" s="25"/>
      <c r="E20" s="25"/>
    </row>
    <row r="21" spans="4:5" x14ac:dyDescent="0.25">
      <c r="D21" s="25"/>
      <c r="E21" s="25"/>
    </row>
    <row r="22" spans="4:5" x14ac:dyDescent="0.25">
      <c r="D22" s="25"/>
      <c r="E22" s="25"/>
    </row>
    <row r="23" spans="4:5" x14ac:dyDescent="0.25">
      <c r="D23" s="25"/>
      <c r="E23" s="25"/>
    </row>
    <row r="24" spans="4:5" x14ac:dyDescent="0.25">
      <c r="D24" s="25"/>
      <c r="E24" s="25"/>
    </row>
    <row r="25" spans="4:5" x14ac:dyDescent="0.25">
      <c r="D25" s="25"/>
      <c r="E25" s="25"/>
    </row>
    <row r="26" spans="4:5" x14ac:dyDescent="0.25">
      <c r="D26" s="25"/>
      <c r="E26" s="25"/>
    </row>
    <row r="27" spans="4:5" x14ac:dyDescent="0.25">
      <c r="D27" s="25"/>
      <c r="E27" s="25"/>
    </row>
    <row r="28" spans="4:5" x14ac:dyDescent="0.25">
      <c r="D28" s="25"/>
      <c r="E28" s="25"/>
    </row>
    <row r="29" spans="4:5" x14ac:dyDescent="0.25">
      <c r="D29" s="25"/>
      <c r="E29" s="25"/>
    </row>
    <row r="30" spans="4:5" x14ac:dyDescent="0.25">
      <c r="D30" s="25"/>
      <c r="E30" s="25"/>
    </row>
    <row r="31" spans="4:5" x14ac:dyDescent="0.25">
      <c r="D31" s="25"/>
      <c r="E31" s="25"/>
    </row>
    <row r="32" spans="4:5" x14ac:dyDescent="0.25">
      <c r="D32" s="25"/>
      <c r="E32" s="25"/>
    </row>
    <row r="33" spans="1:5" x14ac:dyDescent="0.25">
      <c r="D33" s="25"/>
      <c r="E33" s="25"/>
    </row>
    <row r="34" spans="1:5" x14ac:dyDescent="0.25">
      <c r="D34" s="25"/>
      <c r="E34" s="25"/>
    </row>
    <row r="35" spans="1:5" x14ac:dyDescent="0.25">
      <c r="D35" s="25"/>
      <c r="E35" s="25"/>
    </row>
    <row r="36" spans="1:5" x14ac:dyDescent="0.25">
      <c r="D36" s="25"/>
      <c r="E36" s="25"/>
    </row>
    <row r="37" spans="1:5" x14ac:dyDescent="0.25">
      <c r="D37" s="25"/>
      <c r="E37" s="25"/>
    </row>
    <row r="38" spans="1:5" x14ac:dyDescent="0.25">
      <c r="A38" s="25"/>
      <c r="B38" s="25"/>
      <c r="C38" s="25"/>
      <c r="D38" s="25"/>
      <c r="E38" s="25"/>
    </row>
    <row r="39" spans="1:5" x14ac:dyDescent="0.25">
      <c r="A39" s="25"/>
      <c r="B39" s="25"/>
      <c r="C39" s="25"/>
      <c r="D39" s="25"/>
      <c r="E39" s="25"/>
    </row>
    <row r="40" spans="1:5" x14ac:dyDescent="0.25">
      <c r="A40" s="25"/>
      <c r="B40" s="25"/>
      <c r="C40" s="25"/>
      <c r="D40" s="25"/>
      <c r="E40" s="25"/>
    </row>
    <row r="41" spans="1:5" x14ac:dyDescent="0.25">
      <c r="A41" s="25"/>
      <c r="B41" s="25"/>
      <c r="C41" s="25"/>
      <c r="D41" s="25"/>
      <c r="E41" s="25"/>
    </row>
    <row r="42" spans="1:5" x14ac:dyDescent="0.25">
      <c r="A42" s="25"/>
      <c r="B42" s="25"/>
      <c r="C42" s="25"/>
      <c r="D42" s="25"/>
      <c r="E42" s="25"/>
    </row>
    <row r="43" spans="1:5" x14ac:dyDescent="0.25">
      <c r="A43" s="25"/>
      <c r="B43" s="25"/>
      <c r="C43" s="25"/>
      <c r="D43" s="25"/>
      <c r="E43" s="25"/>
    </row>
    <row r="44" spans="1:5" x14ac:dyDescent="0.25">
      <c r="A44" s="25"/>
      <c r="B44" s="25"/>
      <c r="C44" s="25"/>
      <c r="D44" s="25"/>
      <c r="E44" s="25"/>
    </row>
    <row r="45" spans="1:5" x14ac:dyDescent="0.25">
      <c r="A45" s="25"/>
      <c r="B45" s="25"/>
      <c r="C45" s="25"/>
      <c r="D45" s="25"/>
      <c r="E45" s="25"/>
    </row>
    <row r="46" spans="1:5" x14ac:dyDescent="0.25">
      <c r="A46" s="25"/>
      <c r="B46" s="25"/>
      <c r="C46" s="25"/>
      <c r="D46" s="25"/>
      <c r="E46" s="25"/>
    </row>
    <row r="47" spans="1:5" x14ac:dyDescent="0.25">
      <c r="A47" s="25"/>
      <c r="B47" s="25"/>
      <c r="C47" s="25"/>
      <c r="D47" s="25"/>
      <c r="E47" s="25"/>
    </row>
    <row r="48" spans="1:5" x14ac:dyDescent="0.25">
      <c r="A48" s="25"/>
      <c r="B48" s="25"/>
      <c r="C48" s="25"/>
      <c r="D48" s="25"/>
      <c r="E48" s="25"/>
    </row>
    <row r="49" spans="1:5" x14ac:dyDescent="0.25">
      <c r="A49" s="25"/>
      <c r="B49" s="25"/>
      <c r="C49" s="25"/>
      <c r="D49" s="25"/>
      <c r="E49" s="25"/>
    </row>
    <row r="50" spans="1:5" x14ac:dyDescent="0.25">
      <c r="A50" s="25"/>
      <c r="B50" s="25"/>
      <c r="C50" s="25"/>
      <c r="D50" s="25"/>
      <c r="E50" s="25"/>
    </row>
  </sheetData>
  <phoneticPr fontId="16" type="noConversion"/>
  <dataValidations count="4">
    <dataValidation type="decimal" operator="greaterThan" allowBlank="1" showInputMessage="1" showErrorMessage="1" errorTitle="Data Type Error" error="Should be Number not Text." sqref="B51:B1048576 C51:C1048576 D51:D1048576 E51:E1048576" xr:uid="{931BCF00-63D4-4A77-B661-1BFB6918B3BB}">
      <formula1>0</formula1>
    </dataValidation>
    <dataValidation type="whole" operator="greaterThan" allowBlank="1" showInputMessage="1" showErrorMessage="1" errorTitle="Data Type Error" error="Should be Number not Text." sqref="A2:A1048576" xr:uid="{FA695A44-A3C3-4FB2-A277-ED9539A8AAF6}">
      <formula1>0</formula1>
    </dataValidation>
    <dataValidation type="decimal" operator="greaterThanOrEqual" allowBlank="1" showInputMessage="1" showErrorMessage="1" errorTitle="Data Type Error" error="Should be greater than or equal to 0" sqref="B2:B50 D2:D50 E2:E50" xr:uid="{50625E7A-C52F-4209-A8F6-4DA6688B283C}">
      <formula1>0</formula1>
    </dataValidation>
    <dataValidation type="decimal" operator="greaterThanOrEqual" allowBlank="1" showInputMessage="1" showErrorMessage="1" errorTitle="Data Type Error" error="Should be greater than equal to 0" sqref="C2:C50" xr:uid="{5A81D88F-D8EC-4F0B-BB75-66EA50E40EF5}">
      <formula1>0</formula1>
    </dataValidation>
  </dataValidations>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46F27-0355-40E2-99A2-9886A44C3B28}">
  <sheetPr codeName="Sheet7">
    <tabColor rgb="FFA3B8BA"/>
  </sheetPr>
  <dimension ref="A1:C50"/>
  <sheetViews>
    <sheetView workbookViewId="0">
      <selection activeCell="A2" sqref="A2:C14"/>
    </sheetView>
  </sheetViews>
  <sheetFormatPr defaultColWidth="0" defaultRowHeight="15" zeroHeight="1" x14ac:dyDescent="0.25"/>
  <cols>
    <col min="1" max="1" width="6.85546875" bestFit="1" customWidth="1"/>
    <col min="2" max="2" width="23.5703125" bestFit="1" customWidth="1"/>
    <col min="3" max="3" width="26.140625" bestFit="1" customWidth="1"/>
    <col min="4" max="16384" width="8.85546875" hidden="1"/>
  </cols>
  <sheetData>
    <row r="1" spans="1:3" x14ac:dyDescent="0.25">
      <c r="A1" s="2" t="s">
        <v>0</v>
      </c>
      <c r="B1" s="2" t="s">
        <v>8</v>
      </c>
      <c r="C1" s="2" t="s">
        <v>9</v>
      </c>
    </row>
    <row r="2" spans="1:3" x14ac:dyDescent="0.25">
      <c r="A2" s="25">
        <v>2023</v>
      </c>
      <c r="B2" s="25">
        <v>100</v>
      </c>
      <c r="C2" s="25">
        <v>100</v>
      </c>
    </row>
    <row r="3" spans="1:3" x14ac:dyDescent="0.25">
      <c r="A3" s="25">
        <v>2024</v>
      </c>
      <c r="B3" s="25">
        <v>100</v>
      </c>
      <c r="C3" s="25">
        <v>100</v>
      </c>
    </row>
    <row r="4" spans="1:3" x14ac:dyDescent="0.25">
      <c r="A4" s="25">
        <v>2025</v>
      </c>
      <c r="B4" s="25">
        <v>100</v>
      </c>
      <c r="C4" s="25">
        <v>100</v>
      </c>
    </row>
    <row r="5" spans="1:3" x14ac:dyDescent="0.25">
      <c r="A5" s="25">
        <v>2026</v>
      </c>
      <c r="B5" s="25">
        <v>100</v>
      </c>
      <c r="C5" s="25">
        <v>100</v>
      </c>
    </row>
    <row r="6" spans="1:3" x14ac:dyDescent="0.25">
      <c r="A6" s="25">
        <v>2027</v>
      </c>
      <c r="B6" s="25">
        <v>100</v>
      </c>
      <c r="C6" s="25">
        <v>100</v>
      </c>
    </row>
    <row r="7" spans="1:3" x14ac:dyDescent="0.25">
      <c r="A7" s="25">
        <v>2028</v>
      </c>
      <c r="B7" s="25">
        <v>100</v>
      </c>
      <c r="C7" s="25">
        <v>100</v>
      </c>
    </row>
    <row r="8" spans="1:3" x14ac:dyDescent="0.25">
      <c r="A8" s="25">
        <v>2029</v>
      </c>
      <c r="B8" s="25">
        <v>100</v>
      </c>
      <c r="C8" s="25">
        <v>100</v>
      </c>
    </row>
    <row r="9" spans="1:3" x14ac:dyDescent="0.25">
      <c r="A9" s="25">
        <v>2030</v>
      </c>
      <c r="B9" s="25">
        <v>100</v>
      </c>
      <c r="C9" s="25">
        <v>100</v>
      </c>
    </row>
    <row r="10" spans="1:3" x14ac:dyDescent="0.25">
      <c r="A10" s="25">
        <v>2031</v>
      </c>
      <c r="B10" s="25">
        <v>12.5</v>
      </c>
      <c r="C10" s="25">
        <v>12.5</v>
      </c>
    </row>
    <row r="11" spans="1:3" x14ac:dyDescent="0.25">
      <c r="A11" s="25">
        <v>2032</v>
      </c>
      <c r="B11" s="25">
        <v>12.5</v>
      </c>
      <c r="C11" s="25">
        <v>12.5</v>
      </c>
    </row>
    <row r="12" spans="1:3" x14ac:dyDescent="0.25">
      <c r="A12" s="25">
        <v>2033</v>
      </c>
      <c r="B12" s="25">
        <v>12.5</v>
      </c>
      <c r="C12" s="25">
        <v>12.5</v>
      </c>
    </row>
    <row r="13" spans="1:3" x14ac:dyDescent="0.25">
      <c r="A13" s="25">
        <v>2034</v>
      </c>
      <c r="B13" s="25">
        <v>12.5</v>
      </c>
      <c r="C13" s="25">
        <v>12.5</v>
      </c>
    </row>
    <row r="14" spans="1:3" x14ac:dyDescent="0.25">
      <c r="A14" s="25">
        <v>2035</v>
      </c>
      <c r="B14" s="25">
        <v>12.5</v>
      </c>
      <c r="C14" s="25">
        <v>12.5</v>
      </c>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operator="greaterThan" allowBlank="1" showInputMessage="1" showErrorMessage="1" errorTitle="Data Type Error" error="Should be Number not Text." sqref="D1:XFD1" xr:uid="{F0767B1B-4327-4F6D-AD97-93AEFB1C59EA}"/>
    <dataValidation type="whole" operator="greaterThan" allowBlank="1" showInputMessage="1" showErrorMessage="1" errorTitle="Data Type Error" error="Should be Number not Text" sqref="A2:A1048576" xr:uid="{537B9508-F346-4667-BB94-901B5B2F9301}">
      <formula1>0</formula1>
    </dataValidation>
    <dataValidation type="decimal" operator="greaterThan" allowBlank="1" showInputMessage="1" showErrorMessage="1" errorTitle="Data Type Error" error="Should be Number not Text" sqref="B51:C1048576" xr:uid="{B9DDE09F-02CD-46AB-B91D-4F7A248167E9}">
      <formula1>0</formula1>
    </dataValidation>
    <dataValidation type="decimal" operator="greaterThanOrEqual" allowBlank="1" showInputMessage="1" showErrorMessage="1" errorTitle="Data Type Error" error="Should be greater than or equal to 0" sqref="B2:C50" xr:uid="{F24FAAFE-900A-45BF-915B-F8902C98103C}">
      <formula1>0</formula1>
    </dataValidation>
  </dataValidations>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786AA6-F4DC-4ADC-BA56-A72CD12B6DDB}">
  <sheetPr codeName="Sheet18">
    <tabColor rgb="FFA3B8BA"/>
  </sheetPr>
  <dimension ref="A1:H77"/>
  <sheetViews>
    <sheetView showGridLines="0" topLeftCell="A10" zoomScaleNormal="100" workbookViewId="0">
      <selection activeCell="A21" sqref="A21"/>
    </sheetView>
  </sheetViews>
  <sheetFormatPr defaultColWidth="0" defaultRowHeight="15" zeroHeight="1" x14ac:dyDescent="0.25"/>
  <cols>
    <col min="1" max="1" width="5" customWidth="1"/>
    <col min="2" max="2" width="32" bestFit="1" customWidth="1"/>
    <col min="3" max="3" width="21.5703125" customWidth="1"/>
    <col min="4" max="4" width="5.7109375" customWidth="1"/>
    <col min="5" max="5" width="8.85546875" hidden="1" customWidth="1"/>
    <col min="6" max="6" width="32.5703125" hidden="1" customWidth="1"/>
    <col min="7" max="7" width="22" hidden="1" customWidth="1"/>
    <col min="8" max="16384" width="8.85546875" hidden="1"/>
  </cols>
  <sheetData>
    <row r="1" spans="1:3" x14ac:dyDescent="0.25">
      <c r="A1" s="24" t="s">
        <v>102</v>
      </c>
      <c r="C1" s="24"/>
    </row>
    <row r="2" spans="1:3" x14ac:dyDescent="0.25">
      <c r="B2" t="s">
        <v>35</v>
      </c>
      <c r="C2" s="22" t="s">
        <v>28</v>
      </c>
    </row>
    <row r="3" spans="1:3" x14ac:dyDescent="0.25">
      <c r="B3" t="s">
        <v>36</v>
      </c>
      <c r="C3" s="22" t="s">
        <v>29</v>
      </c>
    </row>
    <row r="4" spans="1:3" x14ac:dyDescent="0.25">
      <c r="B4" t="s">
        <v>37</v>
      </c>
      <c r="C4" s="22" t="s">
        <v>45</v>
      </c>
    </row>
    <row r="5" spans="1:3" x14ac:dyDescent="0.25">
      <c r="B5" t="s">
        <v>38</v>
      </c>
      <c r="C5" s="22" t="s">
        <v>30</v>
      </c>
    </row>
    <row r="6" spans="1:3" x14ac:dyDescent="0.25">
      <c r="B6" t="s">
        <v>39</v>
      </c>
      <c r="C6" s="22" t="s">
        <v>34</v>
      </c>
    </row>
    <row r="7" spans="1:3" x14ac:dyDescent="0.25">
      <c r="B7" t="s">
        <v>40</v>
      </c>
      <c r="C7" s="22" t="s">
        <v>80</v>
      </c>
    </row>
    <row r="8" spans="1:3" x14ac:dyDescent="0.25">
      <c r="B8" t="s">
        <v>41</v>
      </c>
      <c r="C8" s="22" t="s">
        <v>91</v>
      </c>
    </row>
    <row r="9" spans="1:3" x14ac:dyDescent="0.25">
      <c r="B9" t="s">
        <v>42</v>
      </c>
      <c r="C9" s="22" t="s">
        <v>31</v>
      </c>
    </row>
    <row r="10" spans="1:3" x14ac:dyDescent="0.25">
      <c r="B10" t="s">
        <v>43</v>
      </c>
      <c r="C10" s="22" t="s">
        <v>56</v>
      </c>
    </row>
    <row r="11" spans="1:3" x14ac:dyDescent="0.25">
      <c r="B11" t="s">
        <v>44</v>
      </c>
      <c r="C11" s="22" t="s">
        <v>57</v>
      </c>
    </row>
    <row r="12" spans="1:3" x14ac:dyDescent="0.25"/>
    <row r="13" spans="1:3" x14ac:dyDescent="0.25">
      <c r="B13" t="s">
        <v>336</v>
      </c>
      <c r="C13" s="93">
        <v>0.08</v>
      </c>
    </row>
    <row r="14" spans="1:3" x14ac:dyDescent="0.25"/>
    <row r="15" spans="1:3" x14ac:dyDescent="0.25">
      <c r="B15" t="s">
        <v>404</v>
      </c>
      <c r="C15" s="93">
        <v>0.43</v>
      </c>
    </row>
    <row r="16" spans="1:3" x14ac:dyDescent="0.25">
      <c r="B16" t="s">
        <v>405</v>
      </c>
      <c r="C16" s="93">
        <v>0.48</v>
      </c>
    </row>
    <row r="17" spans="1:3" x14ac:dyDescent="0.25">
      <c r="C17" s="25"/>
    </row>
    <row r="18" spans="1:3" x14ac:dyDescent="0.25">
      <c r="A18" s="9" t="s">
        <v>256</v>
      </c>
    </row>
    <row r="19" spans="1:3" x14ac:dyDescent="0.25">
      <c r="B19" t="s">
        <v>255</v>
      </c>
      <c r="C19" s="22" t="s">
        <v>26</v>
      </c>
    </row>
    <row r="20" spans="1:3" x14ac:dyDescent="0.25">
      <c r="C20" s="25"/>
    </row>
    <row r="21" spans="1:3" x14ac:dyDescent="0.25">
      <c r="A21" s="9" t="s">
        <v>103</v>
      </c>
      <c r="C21" s="24"/>
    </row>
    <row r="22" spans="1:3" x14ac:dyDescent="0.25">
      <c r="B22" t="s">
        <v>62</v>
      </c>
      <c r="C22" s="22" t="s">
        <v>26</v>
      </c>
    </row>
    <row r="23" spans="1:3" x14ac:dyDescent="0.25">
      <c r="B23" t="s">
        <v>63</v>
      </c>
      <c r="C23" s="22">
        <v>60</v>
      </c>
    </row>
    <row r="24" spans="1:3" x14ac:dyDescent="0.25">
      <c r="B24" t="s">
        <v>64</v>
      </c>
      <c r="C24" s="23">
        <v>39448</v>
      </c>
    </row>
    <row r="25" spans="1:3" x14ac:dyDescent="0.25">
      <c r="B25" t="s">
        <v>65</v>
      </c>
      <c r="C25" s="29">
        <v>0.25</v>
      </c>
    </row>
    <row r="26" spans="1:3" x14ac:dyDescent="0.25">
      <c r="B26" t="s">
        <v>66</v>
      </c>
      <c r="C26" s="29">
        <v>1</v>
      </c>
    </row>
    <row r="27" spans="1:3" x14ac:dyDescent="0.25">
      <c r="C27" s="25"/>
    </row>
    <row r="28" spans="1:3" x14ac:dyDescent="0.25">
      <c r="A28" s="9" t="s">
        <v>104</v>
      </c>
      <c r="C28" s="24"/>
    </row>
    <row r="29" spans="1:3" x14ac:dyDescent="0.25">
      <c r="B29" t="s">
        <v>62</v>
      </c>
      <c r="C29" s="22" t="s">
        <v>26</v>
      </c>
    </row>
    <row r="30" spans="1:3" x14ac:dyDescent="0.25">
      <c r="B30" t="s">
        <v>63</v>
      </c>
      <c r="C30" s="22">
        <v>60</v>
      </c>
    </row>
    <row r="31" spans="1:3" x14ac:dyDescent="0.25">
      <c r="B31" t="s">
        <v>64</v>
      </c>
      <c r="C31" s="23">
        <v>39448</v>
      </c>
    </row>
    <row r="32" spans="1:3" x14ac:dyDescent="0.25">
      <c r="B32" t="s">
        <v>65</v>
      </c>
      <c r="C32" s="29">
        <v>0.25</v>
      </c>
    </row>
    <row r="33" spans="2:8" x14ac:dyDescent="0.25">
      <c r="B33" t="s">
        <v>66</v>
      </c>
      <c r="C33" s="29">
        <v>1</v>
      </c>
    </row>
    <row r="34" spans="2:8" x14ac:dyDescent="0.25"/>
    <row r="38" spans="2:8" hidden="1" x14ac:dyDescent="0.25">
      <c r="B38" s="128" t="s">
        <v>88</v>
      </c>
      <c r="C38" s="128"/>
      <c r="D38" s="128"/>
      <c r="F38" s="128" t="s">
        <v>95</v>
      </c>
      <c r="G38" s="128"/>
      <c r="H38" s="128"/>
    </row>
    <row r="39" spans="2:8" hidden="1" x14ac:dyDescent="0.25">
      <c r="B39" s="15" t="s">
        <v>48</v>
      </c>
      <c r="C39" s="15" t="s">
        <v>49</v>
      </c>
      <c r="D39" s="19" t="s">
        <v>74</v>
      </c>
      <c r="F39" s="15" t="s">
        <v>48</v>
      </c>
      <c r="G39" s="15" t="s">
        <v>49</v>
      </c>
      <c r="H39" s="19" t="s">
        <v>74</v>
      </c>
    </row>
    <row r="40" spans="2:8" hidden="1" x14ac:dyDescent="0.25">
      <c r="B40" s="125" t="s">
        <v>35</v>
      </c>
      <c r="C40" s="16" t="s">
        <v>50</v>
      </c>
      <c r="D40" s="21">
        <v>5</v>
      </c>
      <c r="F40" s="125" t="s">
        <v>35</v>
      </c>
      <c r="G40" s="16" t="s">
        <v>50</v>
      </c>
      <c r="H40" s="21">
        <v>5</v>
      </c>
    </row>
    <row r="41" spans="2:8" hidden="1" x14ac:dyDescent="0.25">
      <c r="B41" s="126"/>
      <c r="C41" s="16" t="s">
        <v>51</v>
      </c>
      <c r="D41" s="21">
        <v>0</v>
      </c>
      <c r="F41" s="126"/>
      <c r="G41" s="16" t="s">
        <v>51</v>
      </c>
      <c r="H41" s="21">
        <v>3</v>
      </c>
    </row>
    <row r="42" spans="2:8" hidden="1" x14ac:dyDescent="0.25">
      <c r="B42" s="126"/>
      <c r="C42" s="17" t="s">
        <v>73</v>
      </c>
      <c r="D42" s="21">
        <v>0</v>
      </c>
      <c r="F42" s="126"/>
      <c r="G42" s="17" t="s">
        <v>28</v>
      </c>
      <c r="H42" s="21">
        <v>0</v>
      </c>
    </row>
    <row r="43" spans="2:8" hidden="1" x14ac:dyDescent="0.25">
      <c r="B43" s="127"/>
      <c r="C43" s="20" t="s">
        <v>28</v>
      </c>
      <c r="D43" s="21">
        <v>-5</v>
      </c>
      <c r="F43" s="127"/>
      <c r="G43" s="19" t="s">
        <v>94</v>
      </c>
      <c r="H43" s="21" t="s">
        <v>94</v>
      </c>
    </row>
    <row r="44" spans="2:8" ht="14.45" hidden="1" customHeight="1" x14ac:dyDescent="0.25">
      <c r="B44" s="125" t="s">
        <v>58</v>
      </c>
      <c r="C44" s="17" t="s">
        <v>29</v>
      </c>
      <c r="D44" s="21">
        <v>0</v>
      </c>
      <c r="F44" s="125" t="s">
        <v>58</v>
      </c>
      <c r="G44" s="17" t="s">
        <v>29</v>
      </c>
      <c r="H44" s="21">
        <v>0</v>
      </c>
    </row>
    <row r="45" spans="2:8" hidden="1" x14ac:dyDescent="0.25">
      <c r="B45" s="126"/>
      <c r="C45" s="17" t="s">
        <v>67</v>
      </c>
      <c r="D45" s="21">
        <v>8</v>
      </c>
      <c r="F45" s="126"/>
      <c r="G45" s="17" t="s">
        <v>67</v>
      </c>
      <c r="H45" s="21">
        <v>8</v>
      </c>
    </row>
    <row r="46" spans="2:8" hidden="1" x14ac:dyDescent="0.25">
      <c r="B46" s="126"/>
      <c r="C46" s="17" t="s">
        <v>68</v>
      </c>
      <c r="D46" s="21">
        <v>10</v>
      </c>
      <c r="F46" s="126"/>
      <c r="G46" s="17" t="s">
        <v>68</v>
      </c>
      <c r="H46" s="21">
        <v>10</v>
      </c>
    </row>
    <row r="47" spans="2:8" hidden="1" x14ac:dyDescent="0.25">
      <c r="B47" s="126"/>
      <c r="C47" s="17" t="s">
        <v>69</v>
      </c>
      <c r="D47" s="21">
        <v>12</v>
      </c>
      <c r="F47" s="126"/>
      <c r="G47" s="17" t="s">
        <v>69</v>
      </c>
      <c r="H47" s="21">
        <v>12</v>
      </c>
    </row>
    <row r="48" spans="2:8" ht="30" hidden="1" x14ac:dyDescent="0.25">
      <c r="B48" s="126"/>
      <c r="C48" s="17" t="s">
        <v>70</v>
      </c>
      <c r="D48" s="21">
        <v>14</v>
      </c>
      <c r="F48" s="126"/>
      <c r="G48" s="17" t="s">
        <v>70</v>
      </c>
      <c r="H48" s="21">
        <v>14</v>
      </c>
    </row>
    <row r="49" spans="2:8" hidden="1" x14ac:dyDescent="0.25">
      <c r="B49" s="127"/>
      <c r="C49" s="17" t="s">
        <v>52</v>
      </c>
      <c r="D49" s="21">
        <v>16</v>
      </c>
      <c r="F49" s="127"/>
      <c r="G49" s="17" t="s">
        <v>52</v>
      </c>
      <c r="H49" s="21">
        <v>16</v>
      </c>
    </row>
    <row r="50" spans="2:8" hidden="1" x14ac:dyDescent="0.25">
      <c r="B50" s="125" t="s">
        <v>37</v>
      </c>
      <c r="C50" s="17" t="s">
        <v>45</v>
      </c>
      <c r="D50" s="21">
        <v>0</v>
      </c>
      <c r="F50" s="125" t="s">
        <v>37</v>
      </c>
      <c r="G50" s="17" t="s">
        <v>45</v>
      </c>
      <c r="H50" s="21">
        <v>0</v>
      </c>
    </row>
    <row r="51" spans="2:8" hidden="1" x14ac:dyDescent="0.25">
      <c r="B51" s="127"/>
      <c r="C51" s="18" t="s">
        <v>53</v>
      </c>
      <c r="D51" s="21">
        <v>1</v>
      </c>
      <c r="F51" s="127"/>
      <c r="G51" s="18" t="s">
        <v>53</v>
      </c>
      <c r="H51" s="21">
        <v>1</v>
      </c>
    </row>
    <row r="52" spans="2:8" hidden="1" x14ac:dyDescent="0.25">
      <c r="B52" s="129" t="s">
        <v>38</v>
      </c>
      <c r="C52" s="18" t="s">
        <v>30</v>
      </c>
      <c r="D52" s="21">
        <v>0</v>
      </c>
      <c r="F52" s="122" t="s">
        <v>38</v>
      </c>
      <c r="G52" s="18" t="s">
        <v>30</v>
      </c>
      <c r="H52" s="21">
        <v>0</v>
      </c>
    </row>
    <row r="53" spans="2:8" hidden="1" x14ac:dyDescent="0.25">
      <c r="B53" s="130"/>
      <c r="C53" s="18" t="s">
        <v>75</v>
      </c>
      <c r="D53" s="21">
        <v>2</v>
      </c>
      <c r="F53" s="123"/>
      <c r="G53" s="18" t="s">
        <v>54</v>
      </c>
      <c r="H53" s="21">
        <v>2</v>
      </c>
    </row>
    <row r="54" spans="2:8" hidden="1" x14ac:dyDescent="0.25">
      <c r="B54" s="131"/>
      <c r="C54" s="19" t="s">
        <v>94</v>
      </c>
      <c r="D54" s="19" t="s">
        <v>94</v>
      </c>
      <c r="F54" s="124"/>
      <c r="G54" s="18" t="s">
        <v>55</v>
      </c>
      <c r="H54" s="21">
        <v>4</v>
      </c>
    </row>
    <row r="55" spans="2:8" hidden="1" x14ac:dyDescent="0.25">
      <c r="B55" s="122" t="s">
        <v>39</v>
      </c>
      <c r="C55" s="18" t="s">
        <v>34</v>
      </c>
      <c r="D55" s="21">
        <v>0</v>
      </c>
      <c r="F55" s="122" t="s">
        <v>39</v>
      </c>
      <c r="G55" s="18" t="s">
        <v>34</v>
      </c>
      <c r="H55" s="21">
        <v>0</v>
      </c>
    </row>
    <row r="56" spans="2:8" hidden="1" x14ac:dyDescent="0.25">
      <c r="B56" s="124"/>
      <c r="C56" s="18" t="s">
        <v>71</v>
      </c>
      <c r="D56" s="21">
        <v>16</v>
      </c>
      <c r="F56" s="124"/>
      <c r="G56" s="18" t="s">
        <v>71</v>
      </c>
      <c r="H56" s="21">
        <v>16</v>
      </c>
    </row>
    <row r="57" spans="2:8" hidden="1" x14ac:dyDescent="0.25">
      <c r="B57" s="122" t="s">
        <v>42</v>
      </c>
      <c r="C57" s="18" t="s">
        <v>31</v>
      </c>
      <c r="D57" s="21">
        <v>1</v>
      </c>
      <c r="F57" s="122" t="s">
        <v>42</v>
      </c>
      <c r="G57" s="18" t="s">
        <v>31</v>
      </c>
      <c r="H57" s="21">
        <v>1</v>
      </c>
    </row>
    <row r="58" spans="2:8" hidden="1" x14ac:dyDescent="0.25">
      <c r="B58" s="124"/>
      <c r="C58" s="18" t="s">
        <v>72</v>
      </c>
      <c r="D58" s="21">
        <v>0</v>
      </c>
      <c r="F58" s="124"/>
      <c r="G58" s="18" t="s">
        <v>72</v>
      </c>
      <c r="H58" s="21">
        <v>0</v>
      </c>
    </row>
    <row r="59" spans="2:8" hidden="1" x14ac:dyDescent="0.25">
      <c r="B59" s="122" t="s">
        <v>59</v>
      </c>
      <c r="C59" s="18" t="s">
        <v>56</v>
      </c>
      <c r="D59" s="21">
        <v>0</v>
      </c>
      <c r="F59" s="122" t="s">
        <v>59</v>
      </c>
      <c r="G59" s="18" t="s">
        <v>56</v>
      </c>
      <c r="H59" s="21">
        <v>0</v>
      </c>
    </row>
    <row r="60" spans="2:8" hidden="1" x14ac:dyDescent="0.25">
      <c r="B60" s="123"/>
      <c r="C60" s="18" t="s">
        <v>76</v>
      </c>
      <c r="D60" s="21">
        <v>2</v>
      </c>
      <c r="F60" s="123"/>
      <c r="G60" s="18" t="s">
        <v>76</v>
      </c>
      <c r="H60" s="21">
        <v>2</v>
      </c>
    </row>
    <row r="61" spans="2:8" hidden="1" x14ac:dyDescent="0.25">
      <c r="B61" s="123"/>
      <c r="C61" s="18" t="s">
        <v>46</v>
      </c>
      <c r="D61" s="21">
        <v>3</v>
      </c>
      <c r="F61" s="123"/>
      <c r="G61" s="18" t="s">
        <v>46</v>
      </c>
      <c r="H61" s="21">
        <v>3</v>
      </c>
    </row>
    <row r="62" spans="2:8" hidden="1" x14ac:dyDescent="0.25">
      <c r="B62" s="124"/>
      <c r="C62" s="18" t="s">
        <v>77</v>
      </c>
      <c r="D62" s="21">
        <v>4</v>
      </c>
      <c r="F62" s="124"/>
      <c r="G62" s="18" t="s">
        <v>77</v>
      </c>
      <c r="H62" s="21">
        <v>4</v>
      </c>
    </row>
    <row r="63" spans="2:8" hidden="1" x14ac:dyDescent="0.25">
      <c r="B63" s="122" t="s">
        <v>27</v>
      </c>
      <c r="C63" s="18" t="s">
        <v>78</v>
      </c>
      <c r="D63" s="21">
        <v>0</v>
      </c>
      <c r="F63" s="122" t="s">
        <v>27</v>
      </c>
      <c r="G63" s="18" t="s">
        <v>78</v>
      </c>
      <c r="H63" s="21">
        <v>0</v>
      </c>
    </row>
    <row r="64" spans="2:8" hidden="1" x14ac:dyDescent="0.25">
      <c r="B64" s="123"/>
      <c r="C64" s="18" t="s">
        <v>47</v>
      </c>
      <c r="D64" s="21">
        <v>3</v>
      </c>
      <c r="F64" s="123"/>
      <c r="G64" s="18" t="s">
        <v>47</v>
      </c>
      <c r="H64" s="21">
        <v>6</v>
      </c>
    </row>
    <row r="65" spans="2:8" hidden="1" x14ac:dyDescent="0.25">
      <c r="B65" s="124"/>
      <c r="C65" s="18" t="s">
        <v>79</v>
      </c>
      <c r="D65" s="21">
        <v>5</v>
      </c>
      <c r="F65" s="124"/>
      <c r="G65" s="18" t="s">
        <v>79</v>
      </c>
      <c r="H65" s="21">
        <v>10</v>
      </c>
    </row>
    <row r="66" spans="2:8" hidden="1" x14ac:dyDescent="0.25">
      <c r="B66" s="122" t="s">
        <v>60</v>
      </c>
      <c r="C66" s="18" t="s">
        <v>32</v>
      </c>
      <c r="D66" s="21">
        <v>0</v>
      </c>
      <c r="F66" s="122" t="s">
        <v>60</v>
      </c>
      <c r="G66" s="18" t="s">
        <v>32</v>
      </c>
      <c r="H66" s="21">
        <v>0</v>
      </c>
    </row>
    <row r="67" spans="2:8" hidden="1" x14ac:dyDescent="0.25">
      <c r="B67" s="123"/>
      <c r="C67" s="18" t="s">
        <v>80</v>
      </c>
      <c r="D67" s="21">
        <v>0.5</v>
      </c>
      <c r="F67" s="123"/>
      <c r="G67" s="18" t="s">
        <v>80</v>
      </c>
      <c r="H67" s="21">
        <v>0.5</v>
      </c>
    </row>
    <row r="68" spans="2:8" hidden="1" x14ac:dyDescent="0.25">
      <c r="B68" s="123"/>
      <c r="C68" s="18" t="s">
        <v>81</v>
      </c>
      <c r="D68" s="21">
        <v>1</v>
      </c>
      <c r="F68" s="123"/>
      <c r="G68" s="18" t="s">
        <v>81</v>
      </c>
      <c r="H68" s="21">
        <v>1</v>
      </c>
    </row>
    <row r="69" spans="2:8" hidden="1" x14ac:dyDescent="0.25">
      <c r="B69" s="123"/>
      <c r="C69" s="18" t="s">
        <v>82</v>
      </c>
      <c r="D69" s="21">
        <v>1.5</v>
      </c>
      <c r="F69" s="123"/>
      <c r="G69" s="18" t="s">
        <v>82</v>
      </c>
      <c r="H69" s="21">
        <v>1.5</v>
      </c>
    </row>
    <row r="70" spans="2:8" hidden="1" x14ac:dyDescent="0.25">
      <c r="B70" s="123"/>
      <c r="C70" s="18" t="s">
        <v>83</v>
      </c>
      <c r="D70" s="21">
        <v>2</v>
      </c>
      <c r="F70" s="123"/>
      <c r="G70" s="18" t="s">
        <v>83</v>
      </c>
      <c r="H70" s="21">
        <v>2</v>
      </c>
    </row>
    <row r="71" spans="2:8" hidden="1" x14ac:dyDescent="0.25">
      <c r="B71" s="124"/>
      <c r="C71" s="18" t="s">
        <v>90</v>
      </c>
      <c r="D71" s="21">
        <v>4</v>
      </c>
      <c r="F71" s="124"/>
      <c r="G71" s="18" t="s">
        <v>90</v>
      </c>
      <c r="H71" s="21">
        <v>4</v>
      </c>
    </row>
    <row r="72" spans="2:8" hidden="1" x14ac:dyDescent="0.25">
      <c r="B72" s="122" t="s">
        <v>61</v>
      </c>
      <c r="C72" s="18" t="s">
        <v>33</v>
      </c>
      <c r="D72" s="21">
        <v>0</v>
      </c>
      <c r="F72" s="122" t="s">
        <v>61</v>
      </c>
      <c r="G72" s="18" t="s">
        <v>33</v>
      </c>
      <c r="H72" s="21">
        <v>0</v>
      </c>
    </row>
    <row r="73" spans="2:8" hidden="1" x14ac:dyDescent="0.25">
      <c r="B73" s="123"/>
      <c r="C73" s="18" t="s">
        <v>86</v>
      </c>
      <c r="D73" s="21">
        <v>0.5</v>
      </c>
      <c r="F73" s="123"/>
      <c r="G73" s="18" t="s">
        <v>91</v>
      </c>
      <c r="H73" s="21">
        <v>1</v>
      </c>
    </row>
    <row r="74" spans="2:8" hidden="1" x14ac:dyDescent="0.25">
      <c r="B74" s="123"/>
      <c r="C74" s="18" t="s">
        <v>87</v>
      </c>
      <c r="D74" s="21">
        <v>0.75</v>
      </c>
      <c r="F74" s="123"/>
      <c r="G74" s="18" t="s">
        <v>92</v>
      </c>
      <c r="H74" s="21">
        <v>2</v>
      </c>
    </row>
    <row r="75" spans="2:8" hidden="1" x14ac:dyDescent="0.25">
      <c r="B75" s="124"/>
      <c r="C75" s="18" t="s">
        <v>89</v>
      </c>
      <c r="D75" s="21">
        <v>1</v>
      </c>
      <c r="F75" s="123"/>
      <c r="G75" s="18" t="s">
        <v>84</v>
      </c>
      <c r="H75" s="21">
        <v>3</v>
      </c>
    </row>
    <row r="76" spans="2:8" hidden="1" x14ac:dyDescent="0.25">
      <c r="F76" s="123"/>
      <c r="G76" s="18" t="s">
        <v>85</v>
      </c>
      <c r="H76" s="21">
        <v>4</v>
      </c>
    </row>
    <row r="77" spans="2:8" hidden="1" x14ac:dyDescent="0.25">
      <c r="F77" s="124"/>
      <c r="G77" s="18" t="s">
        <v>93</v>
      </c>
      <c r="H77" s="21">
        <v>5</v>
      </c>
    </row>
  </sheetData>
  <mergeCells count="22">
    <mergeCell ref="B66:B71"/>
    <mergeCell ref="F66:F71"/>
    <mergeCell ref="B72:B75"/>
    <mergeCell ref="F72:F77"/>
    <mergeCell ref="B57:B58"/>
    <mergeCell ref="F57:F58"/>
    <mergeCell ref="B59:B62"/>
    <mergeCell ref="F59:F62"/>
    <mergeCell ref="B63:B65"/>
    <mergeCell ref="F63:F65"/>
    <mergeCell ref="B50:B51"/>
    <mergeCell ref="F50:F51"/>
    <mergeCell ref="B52:B54"/>
    <mergeCell ref="F52:F54"/>
    <mergeCell ref="B55:B56"/>
    <mergeCell ref="F55:F56"/>
    <mergeCell ref="B38:D38"/>
    <mergeCell ref="F38:H38"/>
    <mergeCell ref="B40:B43"/>
    <mergeCell ref="F40:F43"/>
    <mergeCell ref="B44:B49"/>
    <mergeCell ref="F44:F49"/>
  </mergeCells>
  <dataValidations count="13">
    <dataValidation type="list" allowBlank="1" showInputMessage="1" showErrorMessage="1" sqref="C19" xr:uid="{2FDDC6F9-2A2F-407D-BE22-B0723E38DEAD}">
      <formula1>"No,Yes"</formula1>
    </dataValidation>
    <dataValidation type="date" allowBlank="1" showInputMessage="1" showErrorMessage="1" errorTitle="Data Type Error" error="Should be Data" sqref="C24 C31" xr:uid="{73A85250-6066-47CE-9607-7B009C8F6F4F}">
      <formula1>16438</formula1>
      <formula2>401769</formula2>
    </dataValidation>
    <dataValidation type="list" allowBlank="1" showInputMessage="1" showErrorMessage="1" sqref="C22 C29" xr:uid="{DF4D22EE-BC52-4DE8-BE34-EF35DDEB96EC}">
      <formula1>"Yes,No"</formula1>
    </dataValidation>
    <dataValidation type="list" allowBlank="1" showInputMessage="1" showErrorMessage="1" sqref="C20 C11 C17" xr:uid="{258EB51B-3582-444A-8487-61673BD428CE}">
      <formula1>$G$63:$G$65</formula1>
    </dataValidation>
    <dataValidation type="list" allowBlank="1" showInputMessage="1" showErrorMessage="1" sqref="C10" xr:uid="{4735F13D-EEC2-4300-8988-F7E086C22AF6}">
      <formula1>$G$59:$G$62</formula1>
    </dataValidation>
    <dataValidation type="list" allowBlank="1" showInputMessage="1" showErrorMessage="1" sqref="C9" xr:uid="{626C3FB6-2938-4A4C-B105-E9CC25999A61}">
      <formula1>$G$57:$G$58</formula1>
    </dataValidation>
    <dataValidation type="list" allowBlank="1" showInputMessage="1" showErrorMessage="1" sqref="C8" xr:uid="{C8162B40-B9B4-4FE6-A08B-56EEEF00028A}">
      <formula1>$G$72:$G$77</formula1>
    </dataValidation>
    <dataValidation type="list" allowBlank="1" showInputMessage="1" showErrorMessage="1" sqref="C7" xr:uid="{49B256AE-855C-4D8B-A0A4-099E47785417}">
      <formula1>$G$66:$G$71</formula1>
    </dataValidation>
    <dataValidation type="list" allowBlank="1" showInputMessage="1" showErrorMessage="1" sqref="C6" xr:uid="{E65EDB4B-EBD9-465D-A168-029C40D28D05}">
      <formula1>$G$55:$G$56</formula1>
    </dataValidation>
    <dataValidation type="list" allowBlank="1" showInputMessage="1" showErrorMessage="1" sqref="C5" xr:uid="{EB5FD7B5-6FD1-48EA-9C03-FDD015651A0A}">
      <formula1>$G$52:$G$54</formula1>
    </dataValidation>
    <dataValidation type="list" allowBlank="1" showInputMessage="1" showErrorMessage="1" sqref="C4" xr:uid="{0A60BD8D-6CB8-45C0-8E94-4C8819CC9DFC}">
      <formula1>$G$50:$G$51</formula1>
    </dataValidation>
    <dataValidation type="list" allowBlank="1" showInputMessage="1" showErrorMessage="1" sqref="C2" xr:uid="{DC427ED4-C814-4213-A9ED-210E5845EF0B}">
      <formula1>$G$40:$G$42</formula1>
    </dataValidation>
    <dataValidation type="list" allowBlank="1" showInputMessage="1" showErrorMessage="1" sqref="C3" xr:uid="{5A60FE5F-35BE-4191-825A-649A3BC4180A}">
      <formula1>$C$44:$C$49</formula1>
    </dataValidation>
  </dataValidation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73AF5-B038-49DD-9D20-DE20DADCCFC3}">
  <sheetPr codeName="Sheet29">
    <tabColor rgb="FFA3B8BA"/>
  </sheetPr>
  <dimension ref="A1:E50"/>
  <sheetViews>
    <sheetView workbookViewId="0">
      <pane xSplit="1" topLeftCell="B1" activePane="topRight" state="frozen"/>
      <selection activeCell="D21" sqref="D21"/>
      <selection pane="topRight" activeCell="B16" sqref="B16"/>
    </sheetView>
  </sheetViews>
  <sheetFormatPr defaultColWidth="0" defaultRowHeight="15" zeroHeight="1" x14ac:dyDescent="0.25"/>
  <cols>
    <col min="1" max="1" width="6.5703125" customWidth="1"/>
    <col min="2" max="2" width="19.7109375" customWidth="1"/>
    <col min="3" max="3" width="19" customWidth="1"/>
    <col min="4" max="4" width="27.42578125" customWidth="1"/>
    <col min="5" max="5" width="26.7109375" customWidth="1"/>
    <col min="6" max="16384" width="8.85546875" hidden="1"/>
  </cols>
  <sheetData>
    <row r="1" spans="1:5" x14ac:dyDescent="0.25">
      <c r="A1" s="65" t="s">
        <v>0</v>
      </c>
      <c r="B1" s="65" t="s">
        <v>1</v>
      </c>
      <c r="C1" s="65" t="s">
        <v>2</v>
      </c>
      <c r="D1" s="65" t="s">
        <v>3</v>
      </c>
      <c r="E1" s="65" t="s">
        <v>4</v>
      </c>
    </row>
    <row r="2" spans="1:5" x14ac:dyDescent="0.25">
      <c r="A2">
        <v>2023</v>
      </c>
      <c r="B2">
        <v>100</v>
      </c>
      <c r="C2">
        <v>100</v>
      </c>
      <c r="D2" s="25">
        <v>100</v>
      </c>
      <c r="E2" s="25">
        <v>100</v>
      </c>
    </row>
    <row r="3" spans="1:5" x14ac:dyDescent="0.25">
      <c r="A3">
        <v>2024</v>
      </c>
      <c r="B3">
        <v>100</v>
      </c>
      <c r="C3">
        <v>100</v>
      </c>
      <c r="D3" s="25">
        <v>100</v>
      </c>
      <c r="E3" s="25">
        <v>100</v>
      </c>
    </row>
    <row r="4" spans="1:5" x14ac:dyDescent="0.25">
      <c r="A4">
        <v>2025</v>
      </c>
      <c r="B4">
        <v>100</v>
      </c>
      <c r="C4">
        <v>100</v>
      </c>
      <c r="D4" s="25">
        <v>100</v>
      </c>
      <c r="E4" s="25">
        <v>100</v>
      </c>
    </row>
    <row r="5" spans="1:5" x14ac:dyDescent="0.25">
      <c r="A5">
        <v>2026</v>
      </c>
      <c r="B5">
        <v>100</v>
      </c>
      <c r="C5">
        <v>100</v>
      </c>
      <c r="D5" s="25">
        <v>100</v>
      </c>
      <c r="E5" s="25">
        <v>100</v>
      </c>
    </row>
    <row r="6" spans="1:5" x14ac:dyDescent="0.25">
      <c r="A6">
        <v>2027</v>
      </c>
      <c r="B6">
        <v>100</v>
      </c>
      <c r="C6">
        <v>100</v>
      </c>
      <c r="D6" s="25">
        <v>100</v>
      </c>
      <c r="E6" s="25">
        <v>100</v>
      </c>
    </row>
    <row r="7" spans="1:5" x14ac:dyDescent="0.25">
      <c r="A7">
        <v>2028</v>
      </c>
      <c r="B7">
        <v>100</v>
      </c>
      <c r="C7">
        <v>100</v>
      </c>
      <c r="D7" s="25">
        <v>100</v>
      </c>
      <c r="E7" s="25">
        <v>100</v>
      </c>
    </row>
    <row r="8" spans="1:5" x14ac:dyDescent="0.25">
      <c r="A8">
        <v>2029</v>
      </c>
      <c r="B8">
        <v>100</v>
      </c>
      <c r="C8">
        <v>100</v>
      </c>
      <c r="D8" s="25">
        <v>100</v>
      </c>
      <c r="E8" s="25">
        <v>100</v>
      </c>
    </row>
    <row r="9" spans="1:5" x14ac:dyDescent="0.25">
      <c r="A9">
        <v>2030</v>
      </c>
      <c r="B9">
        <v>100</v>
      </c>
      <c r="C9">
        <v>100</v>
      </c>
      <c r="D9" s="25">
        <v>100</v>
      </c>
      <c r="E9" s="25">
        <v>100</v>
      </c>
    </row>
    <row r="10" spans="1:5" x14ac:dyDescent="0.25">
      <c r="A10">
        <v>2031</v>
      </c>
      <c r="B10">
        <v>12.5</v>
      </c>
      <c r="C10">
        <v>12.5</v>
      </c>
      <c r="D10" s="25">
        <v>12.5</v>
      </c>
      <c r="E10" s="25">
        <v>12.5</v>
      </c>
    </row>
    <row r="11" spans="1:5" x14ac:dyDescent="0.25">
      <c r="A11">
        <v>2032</v>
      </c>
      <c r="B11">
        <v>12.5</v>
      </c>
      <c r="C11">
        <v>12.5</v>
      </c>
      <c r="D11" s="25">
        <v>12.5</v>
      </c>
      <c r="E11" s="25">
        <v>12.5</v>
      </c>
    </row>
    <row r="12" spans="1:5" x14ac:dyDescent="0.25">
      <c r="A12">
        <v>2033</v>
      </c>
      <c r="B12">
        <v>12.5</v>
      </c>
      <c r="C12">
        <v>12.5</v>
      </c>
      <c r="D12" s="25">
        <v>12.5</v>
      </c>
      <c r="E12" s="25">
        <v>12.5</v>
      </c>
    </row>
    <row r="13" spans="1:5" x14ac:dyDescent="0.25">
      <c r="A13">
        <v>2034</v>
      </c>
      <c r="B13">
        <v>12.5</v>
      </c>
      <c r="C13">
        <v>12.5</v>
      </c>
      <c r="D13" s="25">
        <v>12.5</v>
      </c>
      <c r="E13" s="25">
        <v>12.5</v>
      </c>
    </row>
    <row r="14" spans="1:5" x14ac:dyDescent="0.25">
      <c r="A14">
        <v>2035</v>
      </c>
      <c r="B14">
        <v>12.5</v>
      </c>
      <c r="C14">
        <v>12.5</v>
      </c>
      <c r="D14" s="25">
        <v>12.5</v>
      </c>
      <c r="E14" s="25">
        <v>12.5</v>
      </c>
    </row>
    <row r="15" spans="1:5" x14ac:dyDescent="0.25">
      <c r="D15" s="25"/>
      <c r="E15" s="25"/>
    </row>
    <row r="16" spans="1:5" x14ac:dyDescent="0.25">
      <c r="D16" s="25"/>
      <c r="E16" s="25"/>
    </row>
    <row r="17" spans="4:5" x14ac:dyDescent="0.25">
      <c r="D17" s="25"/>
      <c r="E17" s="25"/>
    </row>
    <row r="18" spans="4:5" x14ac:dyDescent="0.25">
      <c r="D18" s="25"/>
      <c r="E18" s="25"/>
    </row>
    <row r="19" spans="4:5" x14ac:dyDescent="0.25">
      <c r="D19" s="25"/>
      <c r="E19" s="25"/>
    </row>
    <row r="20" spans="4:5" x14ac:dyDescent="0.25">
      <c r="D20" s="25"/>
      <c r="E20" s="25"/>
    </row>
    <row r="21" spans="4:5" x14ac:dyDescent="0.25">
      <c r="D21" s="25"/>
      <c r="E21" s="25"/>
    </row>
    <row r="22" spans="4:5" x14ac:dyDescent="0.25">
      <c r="D22" s="25"/>
      <c r="E22" s="25"/>
    </row>
    <row r="23" spans="4:5" x14ac:dyDescent="0.25">
      <c r="D23" s="25"/>
      <c r="E23" s="25"/>
    </row>
    <row r="24" spans="4:5" x14ac:dyDescent="0.25">
      <c r="D24" s="25"/>
      <c r="E24" s="25"/>
    </row>
    <row r="25" spans="4:5" x14ac:dyDescent="0.25">
      <c r="D25" s="25"/>
      <c r="E25" s="25"/>
    </row>
    <row r="26" spans="4:5" x14ac:dyDescent="0.25">
      <c r="D26" s="25"/>
      <c r="E26" s="25"/>
    </row>
    <row r="27" spans="4:5" x14ac:dyDescent="0.25">
      <c r="D27" s="25"/>
      <c r="E27" s="25"/>
    </row>
    <row r="28" spans="4:5" x14ac:dyDescent="0.25">
      <c r="D28" s="25"/>
      <c r="E28" s="25"/>
    </row>
    <row r="29" spans="4:5" x14ac:dyDescent="0.25">
      <c r="D29" s="25"/>
      <c r="E29" s="25"/>
    </row>
    <row r="30" spans="4:5" x14ac:dyDescent="0.25">
      <c r="D30" s="25"/>
      <c r="E30" s="25"/>
    </row>
    <row r="31" spans="4:5" x14ac:dyDescent="0.25">
      <c r="D31" s="25"/>
      <c r="E31" s="25"/>
    </row>
    <row r="32" spans="4:5" x14ac:dyDescent="0.25">
      <c r="D32" s="25"/>
      <c r="E32" s="25"/>
    </row>
    <row r="33" spans="1:5" x14ac:dyDescent="0.25">
      <c r="D33" s="25"/>
      <c r="E33" s="25"/>
    </row>
    <row r="34" spans="1:5" x14ac:dyDescent="0.25">
      <c r="D34" s="25"/>
      <c r="E34" s="25"/>
    </row>
    <row r="35" spans="1:5" x14ac:dyDescent="0.25">
      <c r="D35" s="25"/>
      <c r="E35" s="25"/>
    </row>
    <row r="36" spans="1:5" x14ac:dyDescent="0.25">
      <c r="D36" s="25"/>
      <c r="E36" s="25"/>
    </row>
    <row r="37" spans="1:5" x14ac:dyDescent="0.25">
      <c r="D37" s="25"/>
      <c r="E37" s="25"/>
    </row>
    <row r="38" spans="1:5" x14ac:dyDescent="0.25">
      <c r="A38" s="25"/>
      <c r="B38" s="25"/>
      <c r="C38" s="25"/>
      <c r="D38" s="25"/>
      <c r="E38" s="25"/>
    </row>
    <row r="39" spans="1:5" x14ac:dyDescent="0.25">
      <c r="A39" s="25"/>
      <c r="B39" s="25"/>
      <c r="C39" s="25"/>
      <c r="D39" s="25"/>
      <c r="E39" s="25"/>
    </row>
    <row r="40" spans="1:5" x14ac:dyDescent="0.25">
      <c r="A40" s="25"/>
      <c r="B40" s="25"/>
      <c r="C40" s="25"/>
      <c r="D40" s="25"/>
      <c r="E40" s="25"/>
    </row>
    <row r="41" spans="1:5" x14ac:dyDescent="0.25">
      <c r="A41" s="25"/>
      <c r="B41" s="25"/>
      <c r="C41" s="25"/>
      <c r="D41" s="25"/>
      <c r="E41" s="25"/>
    </row>
    <row r="42" spans="1:5" x14ac:dyDescent="0.25">
      <c r="A42" s="25"/>
      <c r="B42" s="25"/>
      <c r="C42" s="25"/>
      <c r="D42" s="25"/>
      <c r="E42" s="25"/>
    </row>
    <row r="43" spans="1:5" x14ac:dyDescent="0.25">
      <c r="A43" s="25"/>
      <c r="B43" s="25"/>
      <c r="C43" s="25"/>
      <c r="D43" s="25"/>
      <c r="E43" s="25"/>
    </row>
    <row r="44" spans="1:5" x14ac:dyDescent="0.25">
      <c r="A44" s="25"/>
      <c r="B44" s="25"/>
      <c r="C44" s="25"/>
      <c r="D44" s="25"/>
      <c r="E44" s="25"/>
    </row>
    <row r="45" spans="1:5" x14ac:dyDescent="0.25">
      <c r="A45" s="25"/>
      <c r="B45" s="25"/>
      <c r="C45" s="25"/>
      <c r="D45" s="25"/>
      <c r="E45" s="25"/>
    </row>
    <row r="46" spans="1:5" x14ac:dyDescent="0.25">
      <c r="A46" s="25"/>
      <c r="B46" s="25"/>
      <c r="C46" s="25"/>
      <c r="D46" s="25"/>
      <c r="E46" s="25"/>
    </row>
    <row r="47" spans="1:5" x14ac:dyDescent="0.25">
      <c r="A47" s="25"/>
      <c r="B47" s="25"/>
      <c r="C47" s="25"/>
      <c r="D47" s="25"/>
      <c r="E47" s="25"/>
    </row>
    <row r="48" spans="1:5" x14ac:dyDescent="0.25">
      <c r="A48" s="25"/>
      <c r="B48" s="25"/>
      <c r="C48" s="25"/>
      <c r="D48" s="25"/>
      <c r="E48" s="25"/>
    </row>
    <row r="49" spans="1:5" x14ac:dyDescent="0.25">
      <c r="A49" s="25"/>
      <c r="B49" s="25"/>
      <c r="C49" s="25"/>
      <c r="D49" s="25"/>
      <c r="E49" s="25"/>
    </row>
    <row r="50" spans="1:5" x14ac:dyDescent="0.25">
      <c r="A50" s="25"/>
      <c r="B50" s="25"/>
      <c r="C50" s="25"/>
      <c r="D50" s="25"/>
      <c r="E50" s="25"/>
    </row>
  </sheetData>
  <dataValidations count="4">
    <dataValidation type="decimal" operator="greaterThanOrEqual" allowBlank="1" showInputMessage="1" showErrorMessage="1" errorTitle="Data Type Error" error="Should be greater than equal to 0" sqref="C2:C50" xr:uid="{51D4E0D8-C155-4320-97F6-F2F38CD97F97}">
      <formula1>0</formula1>
    </dataValidation>
    <dataValidation type="decimal" operator="greaterThanOrEqual" allowBlank="1" showInputMessage="1" showErrorMessage="1" errorTitle="Data Type Error" error="Should be greater than or equal to 0" sqref="B2:B50 D2:E50" xr:uid="{C6557EC5-D624-46B3-99D0-9399AE97D77D}">
      <formula1>0</formula1>
    </dataValidation>
    <dataValidation type="whole" operator="greaterThan" allowBlank="1" showInputMessage="1" showErrorMessage="1" errorTitle="Data Type Error" error="Should be Number not Text." sqref="A2:A1048576" xr:uid="{B4B50FA9-1330-4424-932B-B899249DDE09}">
      <formula1>0</formula1>
    </dataValidation>
    <dataValidation type="decimal" operator="greaterThan" allowBlank="1" showInputMessage="1" showErrorMessage="1" errorTitle="Data Type Error" error="Should be Number not Text." sqref="B51:E1048576" xr:uid="{DA7B6EDB-DE82-48AD-B4DB-465A46BFA6FA}">
      <formula1>0</formula1>
    </dataValidation>
  </dataValidation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AE8BA-8F3C-4B42-B812-D5D20BE4B93D}">
  <sheetPr codeName="Sheet22">
    <tabColor rgb="FFA3B8BA"/>
  </sheetPr>
  <dimension ref="A1:C50"/>
  <sheetViews>
    <sheetView workbookViewId="0">
      <selection activeCell="C9" sqref="C9"/>
    </sheetView>
  </sheetViews>
  <sheetFormatPr defaultColWidth="0" defaultRowHeight="15" zeroHeight="1" x14ac:dyDescent="0.25"/>
  <cols>
    <col min="1" max="1" width="8.85546875" customWidth="1"/>
    <col min="2" max="2" width="18" bestFit="1" customWidth="1"/>
    <col min="3" max="3" width="20.28515625" customWidth="1"/>
    <col min="4" max="16384" width="8.85546875" hidden="1"/>
  </cols>
  <sheetData>
    <row r="1" spans="1:3" x14ac:dyDescent="0.25">
      <c r="A1" s="11" t="s">
        <v>0</v>
      </c>
      <c r="B1" s="11" t="s">
        <v>324</v>
      </c>
      <c r="C1" s="11" t="s">
        <v>14</v>
      </c>
    </row>
    <row r="2" spans="1:3" x14ac:dyDescent="0.25">
      <c r="A2" s="25">
        <v>2023</v>
      </c>
      <c r="B2" s="25">
        <v>100</v>
      </c>
      <c r="C2" s="25">
        <v>100</v>
      </c>
    </row>
    <row r="3" spans="1:3" x14ac:dyDescent="0.25">
      <c r="A3" s="25">
        <v>2024</v>
      </c>
      <c r="B3" s="25">
        <v>100</v>
      </c>
      <c r="C3" s="25">
        <v>100</v>
      </c>
    </row>
    <row r="4" spans="1:3" x14ac:dyDescent="0.25">
      <c r="A4" s="25">
        <v>2025</v>
      </c>
      <c r="B4" s="25">
        <v>100</v>
      </c>
      <c r="C4" s="25">
        <v>100</v>
      </c>
    </row>
    <row r="5" spans="1:3" x14ac:dyDescent="0.25">
      <c r="A5" s="25">
        <v>2026</v>
      </c>
      <c r="B5" s="25">
        <v>100</v>
      </c>
      <c r="C5" s="25">
        <v>100</v>
      </c>
    </row>
    <row r="6" spans="1:3" x14ac:dyDescent="0.25">
      <c r="A6" s="25">
        <v>2027</v>
      </c>
      <c r="B6" s="25">
        <v>100</v>
      </c>
      <c r="C6" s="25">
        <v>100</v>
      </c>
    </row>
    <row r="7" spans="1:3" x14ac:dyDescent="0.25">
      <c r="A7" s="25">
        <v>2028</v>
      </c>
      <c r="B7" s="25">
        <v>100</v>
      </c>
      <c r="C7" s="25">
        <v>100</v>
      </c>
    </row>
    <row r="8" spans="1:3" x14ac:dyDescent="0.25">
      <c r="A8" s="25">
        <v>2029</v>
      </c>
      <c r="B8" s="25">
        <v>100</v>
      </c>
      <c r="C8" s="25">
        <v>100</v>
      </c>
    </row>
    <row r="9" spans="1:3" x14ac:dyDescent="0.25">
      <c r="A9" s="25">
        <v>2030</v>
      </c>
      <c r="B9" s="25">
        <v>100</v>
      </c>
      <c r="C9" s="25">
        <v>100</v>
      </c>
    </row>
    <row r="10" spans="1:3" x14ac:dyDescent="0.25">
      <c r="A10" s="25">
        <v>2031</v>
      </c>
      <c r="B10" s="25">
        <v>12.5</v>
      </c>
      <c r="C10" s="25">
        <v>12.5</v>
      </c>
    </row>
    <row r="11" spans="1:3" x14ac:dyDescent="0.25">
      <c r="A11" s="25">
        <v>2032</v>
      </c>
      <c r="B11" s="25">
        <v>12.5</v>
      </c>
      <c r="C11" s="25">
        <v>12.5</v>
      </c>
    </row>
    <row r="12" spans="1:3" x14ac:dyDescent="0.25">
      <c r="A12" s="25">
        <v>2033</v>
      </c>
      <c r="B12" s="25">
        <v>12.5</v>
      </c>
      <c r="C12" s="25">
        <v>12.5</v>
      </c>
    </row>
    <row r="13" spans="1:3" x14ac:dyDescent="0.25">
      <c r="A13" s="25">
        <v>2034</v>
      </c>
      <c r="B13" s="25">
        <v>12.5</v>
      </c>
      <c r="C13" s="25">
        <v>12.5</v>
      </c>
    </row>
    <row r="14" spans="1:3" x14ac:dyDescent="0.25">
      <c r="A14" s="25">
        <v>2035</v>
      </c>
      <c r="B14" s="25">
        <v>12.5</v>
      </c>
      <c r="C14" s="25">
        <v>12.5</v>
      </c>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type="decimal" operator="greaterThan" allowBlank="1" showInputMessage="1" showErrorMessage="1" errorTitle="Data Type Error" error="Should be Number not Text" sqref="B51:C1048576" xr:uid="{A86B30E9-0A63-4375-A363-3F813E76D9E0}">
      <formula1>0</formula1>
    </dataValidation>
    <dataValidation type="whole" operator="greaterThan" allowBlank="1" showInputMessage="1" showErrorMessage="1" errorTitle="Data Type Error" error="Should be Number not Text" sqref="A2:A1048576" xr:uid="{1D9DAE10-DE09-438C-B8DF-447CBBAFDA98}">
      <formula1>0</formula1>
    </dataValidation>
    <dataValidation operator="greaterThan" allowBlank="1" showInputMessage="1" showErrorMessage="1" errorTitle="Data Type Error" error="Should be Number not Text." sqref="D1:XFD1" xr:uid="{DCCD21D1-EADC-4BDA-B197-D9AEAE4F9D6E}"/>
    <dataValidation type="decimal" operator="greaterThanOrEqual" allowBlank="1" showInputMessage="1" showErrorMessage="1" errorTitle="Data Type Error" error="Should be greater than or equal to 0" sqref="B2:C50" xr:uid="{26CD0336-4862-4E90-9676-4BE4931F43E6}">
      <formula1>0</formula1>
    </dataValidation>
  </dataValidations>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79679A-195C-4A4D-8028-BA82B9E78DDF}">
  <sheetPr codeName="Sheet35">
    <tabColor rgb="FFA3B8BA"/>
  </sheetPr>
  <dimension ref="A1:C50"/>
  <sheetViews>
    <sheetView workbookViewId="0">
      <selection activeCell="C21" sqref="C21"/>
    </sheetView>
  </sheetViews>
  <sheetFormatPr defaultColWidth="0" defaultRowHeight="15" zeroHeight="1" x14ac:dyDescent="0.25"/>
  <cols>
    <col min="1" max="1" width="8.85546875" customWidth="1"/>
    <col min="2" max="2" width="18" bestFit="1" customWidth="1"/>
    <col min="3" max="3" width="20.28515625" customWidth="1"/>
    <col min="4" max="16384" width="8.85546875" hidden="1"/>
  </cols>
  <sheetData>
    <row r="1" spans="1:3" x14ac:dyDescent="0.25">
      <c r="A1" s="11" t="s">
        <v>0</v>
      </c>
      <c r="B1" s="11" t="s">
        <v>324</v>
      </c>
      <c r="C1" s="11" t="s">
        <v>14</v>
      </c>
    </row>
    <row r="2" spans="1:3" x14ac:dyDescent="0.25">
      <c r="A2" s="25">
        <v>2023</v>
      </c>
      <c r="B2" s="25">
        <v>100</v>
      </c>
      <c r="C2" s="25">
        <v>100</v>
      </c>
    </row>
    <row r="3" spans="1:3" x14ac:dyDescent="0.25">
      <c r="A3" s="25">
        <v>2024</v>
      </c>
      <c r="B3" s="25">
        <v>100</v>
      </c>
      <c r="C3" s="25">
        <v>100</v>
      </c>
    </row>
    <row r="4" spans="1:3" x14ac:dyDescent="0.25">
      <c r="A4" s="25">
        <v>2025</v>
      </c>
      <c r="B4" s="25">
        <v>100</v>
      </c>
      <c r="C4" s="25">
        <v>100</v>
      </c>
    </row>
    <row r="5" spans="1:3" x14ac:dyDescent="0.25">
      <c r="A5" s="25">
        <v>2026</v>
      </c>
      <c r="B5" s="25">
        <v>100</v>
      </c>
      <c r="C5" s="25">
        <v>100</v>
      </c>
    </row>
    <row r="6" spans="1:3" x14ac:dyDescent="0.25">
      <c r="A6" s="25">
        <v>2027</v>
      </c>
      <c r="B6" s="25">
        <v>100</v>
      </c>
      <c r="C6" s="25">
        <v>100</v>
      </c>
    </row>
    <row r="7" spans="1:3" x14ac:dyDescent="0.25">
      <c r="A7" s="25">
        <v>2028</v>
      </c>
      <c r="B7" s="25">
        <v>100</v>
      </c>
      <c r="C7" s="25">
        <v>100</v>
      </c>
    </row>
    <row r="8" spans="1:3" x14ac:dyDescent="0.25">
      <c r="A8" s="25">
        <v>2029</v>
      </c>
      <c r="B8" s="25">
        <v>100</v>
      </c>
      <c r="C8" s="25">
        <v>100</v>
      </c>
    </row>
    <row r="9" spans="1:3" x14ac:dyDescent="0.25">
      <c r="A9" s="25">
        <v>2030</v>
      </c>
      <c r="B9" s="25">
        <v>100</v>
      </c>
      <c r="C9" s="25">
        <v>100</v>
      </c>
    </row>
    <row r="10" spans="1:3" x14ac:dyDescent="0.25">
      <c r="A10" s="25">
        <v>2031</v>
      </c>
      <c r="B10" s="25">
        <v>12.5</v>
      </c>
      <c r="C10" s="25">
        <v>12.5</v>
      </c>
    </row>
    <row r="11" spans="1:3" x14ac:dyDescent="0.25">
      <c r="A11" s="25">
        <v>2032</v>
      </c>
      <c r="B11" s="25">
        <v>12.5</v>
      </c>
      <c r="C11" s="25">
        <v>12.5</v>
      </c>
    </row>
    <row r="12" spans="1:3" x14ac:dyDescent="0.25">
      <c r="A12" s="25">
        <v>2033</v>
      </c>
      <c r="B12" s="25">
        <v>12.5</v>
      </c>
      <c r="C12" s="25">
        <v>12.5</v>
      </c>
    </row>
    <row r="13" spans="1:3" x14ac:dyDescent="0.25">
      <c r="A13" s="25">
        <v>2034</v>
      </c>
      <c r="B13" s="25">
        <v>12.5</v>
      </c>
      <c r="C13" s="25">
        <v>12.5</v>
      </c>
    </row>
    <row r="14" spans="1:3" x14ac:dyDescent="0.25">
      <c r="A14" s="25">
        <v>2035</v>
      </c>
      <c r="B14" s="25">
        <v>12.5</v>
      </c>
      <c r="C14" s="25">
        <v>12.5</v>
      </c>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type="decimal" operator="greaterThanOrEqual" allowBlank="1" showInputMessage="1" showErrorMessage="1" errorTitle="Data Type Error" error="Should be greater than or equal to 0" sqref="B2:C50" xr:uid="{E76FE041-C76F-4080-B396-14014F36C04B}">
      <formula1>0</formula1>
    </dataValidation>
    <dataValidation operator="greaterThan" allowBlank="1" showInputMessage="1" showErrorMessage="1" errorTitle="Data Type Error" error="Should be Number not Text." sqref="D1:XFD1" xr:uid="{093AB5A8-7F59-49D4-9CCA-48E53937C69B}"/>
    <dataValidation type="whole" operator="greaterThan" allowBlank="1" showInputMessage="1" showErrorMessage="1" errorTitle="Data Type Error" error="Should be Number not Text" sqref="A2:A1048576" xr:uid="{48E2DCDA-5723-43B5-92E6-18FFC46D09B6}">
      <formula1>0</formula1>
    </dataValidation>
    <dataValidation type="decimal" operator="greaterThan" allowBlank="1" showInputMessage="1" showErrorMessage="1" errorTitle="Data Type Error" error="Should be Number not Text" sqref="B51:C1048576" xr:uid="{EE24BB6A-3E8E-4DD4-9D4E-BF270385AEB2}">
      <formula1>0</formula1>
    </dataValidation>
  </dataValidations>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1FE4BF-8316-4226-8495-40A0F202573F}">
  <sheetPr codeName="Sheet6">
    <tabColor rgb="FFA3B8BA"/>
  </sheetPr>
  <dimension ref="A1:BW50"/>
  <sheetViews>
    <sheetView zoomScale="98" zoomScaleNormal="98" workbookViewId="0">
      <pane xSplit="1" topLeftCell="B1" activePane="topRight" state="frozen"/>
      <selection pane="topRight" activeCell="C20" sqref="C20"/>
    </sheetView>
  </sheetViews>
  <sheetFormatPr defaultColWidth="0" defaultRowHeight="15" zeroHeight="1" x14ac:dyDescent="0.25"/>
  <cols>
    <col min="1" max="1" width="7" bestFit="1" customWidth="1"/>
    <col min="2" max="2" width="22.5703125" bestFit="1" customWidth="1"/>
    <col min="3" max="3" width="21.7109375" customWidth="1"/>
    <col min="4" max="4" width="22" customWidth="1"/>
    <col min="5" max="5" width="26.7109375" customWidth="1"/>
    <col min="6" max="6" width="21.7109375" customWidth="1"/>
    <col min="7" max="7" width="22" customWidth="1"/>
    <col min="8" max="8" width="26.7109375" customWidth="1"/>
    <col min="9" max="9" width="21.7109375" hidden="1" customWidth="1"/>
    <col min="10" max="10" width="22" hidden="1" customWidth="1"/>
    <col min="11" max="11" width="26.7109375" hidden="1" customWidth="1"/>
    <col min="12" max="12" width="21.7109375" hidden="1" customWidth="1"/>
    <col min="13" max="13" width="22" hidden="1" customWidth="1"/>
    <col min="14" max="14" width="26.7109375" hidden="1" customWidth="1"/>
    <col min="15" max="15" width="21.7109375" hidden="1" customWidth="1"/>
    <col min="16" max="16" width="22" hidden="1" customWidth="1"/>
    <col min="17" max="17" width="26.7109375" hidden="1" customWidth="1"/>
    <col min="18" max="18" width="22.7109375" hidden="1" customWidth="1"/>
    <col min="19" max="19" width="22" hidden="1" customWidth="1"/>
    <col min="20" max="20" width="26.7109375" hidden="1" customWidth="1"/>
    <col min="21" max="21" width="21.7109375" hidden="1"/>
    <col min="22" max="22" width="22" hidden="1"/>
    <col min="23" max="23" width="26.7109375" hidden="1"/>
    <col min="24" max="24" width="21.7109375" hidden="1"/>
    <col min="25" max="25" width="22" hidden="1"/>
    <col min="26" max="26" width="26.7109375" hidden="1"/>
    <col min="27" max="27" width="21.7109375" hidden="1"/>
    <col min="28" max="28" width="22" hidden="1"/>
    <col min="29" max="29" width="26.7109375" hidden="1"/>
    <col min="30" max="30" width="22.7109375" hidden="1"/>
    <col min="31" max="31" width="23" hidden="1"/>
    <col min="32" max="32" width="27.7109375" hidden="1"/>
    <col min="33" max="33" width="22.7109375" hidden="1"/>
    <col min="34" max="34" width="23" hidden="1"/>
    <col min="35" max="35" width="27.7109375" hidden="1"/>
    <col min="36" max="36" width="22.7109375" hidden="1"/>
    <col min="37" max="37" width="23" hidden="1"/>
    <col min="38" max="38" width="27.7109375" hidden="1"/>
    <col min="39" max="39" width="23.7109375" hidden="1"/>
    <col min="40" max="40" width="23" hidden="1"/>
    <col min="41" max="41" width="27.7109375" hidden="1"/>
    <col min="42" max="42" width="22.7109375" hidden="1"/>
    <col min="43" max="43" width="23" hidden="1"/>
    <col min="44" max="44" width="27.7109375" hidden="1"/>
    <col min="45" max="45" width="22.7109375" hidden="1"/>
    <col min="46" max="46" width="23" hidden="1"/>
    <col min="47" max="47" width="27.7109375" hidden="1"/>
    <col min="48" max="48" width="22.7109375" hidden="1"/>
    <col min="49" max="49" width="23" hidden="1"/>
    <col min="50" max="50" width="27.7109375" hidden="1"/>
    <col min="51" max="51" width="22.7109375" hidden="1"/>
    <col min="52" max="52" width="23" hidden="1"/>
    <col min="53" max="53" width="27.7109375" hidden="1"/>
    <col min="54" max="54" width="22.7109375" hidden="1"/>
    <col min="55" max="55" width="23" hidden="1"/>
    <col min="56" max="56" width="27.7109375" hidden="1"/>
    <col min="57" max="57" width="22.7109375" hidden="1"/>
    <col min="58" max="58" width="23" hidden="1"/>
    <col min="59" max="59" width="27.7109375" hidden="1"/>
    <col min="60" max="60" width="23.7109375" hidden="1"/>
    <col min="61" max="61" width="23" hidden="1"/>
    <col min="62" max="62" width="27.7109375" hidden="1"/>
    <col min="63" max="75" width="8.85546875" hidden="1"/>
  </cols>
  <sheetData>
    <row r="1" spans="1:62" x14ac:dyDescent="0.25">
      <c r="A1" s="66" t="s">
        <v>0</v>
      </c>
      <c r="B1" s="66" t="s">
        <v>5</v>
      </c>
      <c r="C1" s="66" t="s">
        <v>7</v>
      </c>
      <c r="D1" s="66" t="s">
        <v>6</v>
      </c>
      <c r="E1" s="66" t="s">
        <v>121</v>
      </c>
      <c r="F1" s="66" t="s">
        <v>122</v>
      </c>
      <c r="G1" s="66" t="s">
        <v>123</v>
      </c>
      <c r="H1" s="66" t="s">
        <v>124</v>
      </c>
      <c r="I1" s="1" t="s">
        <v>125</v>
      </c>
      <c r="J1" s="1" t="s">
        <v>126</v>
      </c>
      <c r="K1" s="1" t="s">
        <v>127</v>
      </c>
      <c r="L1" s="1" t="s">
        <v>128</v>
      </c>
      <c r="M1" s="1" t="s">
        <v>129</v>
      </c>
      <c r="N1" s="1" t="s">
        <v>130</v>
      </c>
      <c r="O1" s="1" t="s">
        <v>131</v>
      </c>
      <c r="P1" s="1" t="s">
        <v>132</v>
      </c>
      <c r="Q1" s="1" t="s">
        <v>133</v>
      </c>
      <c r="R1" s="1" t="s">
        <v>134</v>
      </c>
      <c r="S1" s="1" t="s">
        <v>135</v>
      </c>
      <c r="T1" s="1" t="s">
        <v>136</v>
      </c>
      <c r="U1" s="1" t="s">
        <v>137</v>
      </c>
      <c r="V1" s="1" t="s">
        <v>138</v>
      </c>
      <c r="W1" s="1" t="s">
        <v>139</v>
      </c>
      <c r="X1" s="27" t="s">
        <v>140</v>
      </c>
      <c r="Y1" s="27" t="s">
        <v>141</v>
      </c>
      <c r="Z1" s="27" t="s">
        <v>142</v>
      </c>
      <c r="AA1" s="27" t="s">
        <v>143</v>
      </c>
      <c r="AB1" s="27" t="s">
        <v>144</v>
      </c>
      <c r="AC1" s="27" t="s">
        <v>145</v>
      </c>
      <c r="AD1" s="27" t="s">
        <v>146</v>
      </c>
      <c r="AE1" s="27" t="s">
        <v>147</v>
      </c>
      <c r="AF1" s="27" t="s">
        <v>148</v>
      </c>
      <c r="AG1" s="27" t="s">
        <v>149</v>
      </c>
      <c r="AH1" s="27" t="s">
        <v>150</v>
      </c>
      <c r="AI1" s="27" t="s">
        <v>151</v>
      </c>
      <c r="AJ1" s="27" t="s">
        <v>152</v>
      </c>
      <c r="AK1" s="27" t="s">
        <v>153</v>
      </c>
      <c r="AL1" s="27" t="s">
        <v>154</v>
      </c>
      <c r="AM1" s="27" t="s">
        <v>155</v>
      </c>
      <c r="AN1" s="27" t="s">
        <v>156</v>
      </c>
      <c r="AO1" s="27" t="s">
        <v>157</v>
      </c>
      <c r="AP1" s="27" t="s">
        <v>158</v>
      </c>
      <c r="AQ1" s="27" t="s">
        <v>159</v>
      </c>
      <c r="AR1" s="28" t="s">
        <v>160</v>
      </c>
      <c r="AS1" s="27" t="s">
        <v>161</v>
      </c>
      <c r="AT1" s="27" t="s">
        <v>162</v>
      </c>
      <c r="AU1" s="27" t="s">
        <v>163</v>
      </c>
      <c r="AV1" s="27" t="s">
        <v>164</v>
      </c>
      <c r="AW1" s="27" t="s">
        <v>165</v>
      </c>
      <c r="AX1" s="27" t="s">
        <v>166</v>
      </c>
      <c r="AY1" s="27" t="s">
        <v>167</v>
      </c>
      <c r="AZ1" s="27" t="s">
        <v>168</v>
      </c>
      <c r="BA1" s="27" t="s">
        <v>176</v>
      </c>
      <c r="BB1" s="27" t="s">
        <v>177</v>
      </c>
      <c r="BC1" s="27" t="s">
        <v>178</v>
      </c>
      <c r="BD1" s="27" t="s">
        <v>169</v>
      </c>
      <c r="BE1" s="27" t="s">
        <v>170</v>
      </c>
      <c r="BF1" s="27" t="s">
        <v>171</v>
      </c>
      <c r="BG1" s="27" t="s">
        <v>172</v>
      </c>
      <c r="BH1" s="27" t="s">
        <v>173</v>
      </c>
      <c r="BI1" s="27" t="s">
        <v>174</v>
      </c>
      <c r="BJ1" s="27" t="s">
        <v>175</v>
      </c>
    </row>
    <row r="2" spans="1:62" x14ac:dyDescent="0.25">
      <c r="A2">
        <v>2023</v>
      </c>
      <c r="B2" s="25">
        <v>100</v>
      </c>
      <c r="C2">
        <v>100</v>
      </c>
      <c r="D2">
        <v>100</v>
      </c>
      <c r="E2">
        <v>100</v>
      </c>
      <c r="F2">
        <v>100</v>
      </c>
      <c r="G2">
        <v>100</v>
      </c>
      <c r="H2">
        <v>100</v>
      </c>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25"/>
      <c r="AT2" s="25"/>
      <c r="AU2" s="25"/>
      <c r="AV2" s="25"/>
      <c r="AW2" s="25"/>
      <c r="AX2" s="25"/>
      <c r="AY2" s="25"/>
      <c r="AZ2" s="25"/>
      <c r="BA2" s="25"/>
      <c r="BB2" s="25"/>
      <c r="BC2" s="25"/>
      <c r="BD2" s="25"/>
      <c r="BE2" s="25"/>
      <c r="BF2" s="25"/>
      <c r="BG2" s="25"/>
      <c r="BH2" s="25"/>
      <c r="BI2" s="25"/>
      <c r="BJ2" s="25"/>
    </row>
    <row r="3" spans="1:62" x14ac:dyDescent="0.25">
      <c r="A3">
        <v>2024</v>
      </c>
      <c r="B3" s="25">
        <v>100</v>
      </c>
      <c r="C3">
        <v>100</v>
      </c>
      <c r="D3">
        <v>100</v>
      </c>
      <c r="E3">
        <v>100</v>
      </c>
      <c r="F3">
        <v>100</v>
      </c>
      <c r="G3">
        <v>100</v>
      </c>
      <c r="H3">
        <v>100</v>
      </c>
      <c r="I3" s="25"/>
      <c r="J3" s="25"/>
      <c r="K3" s="25"/>
      <c r="L3" s="25"/>
      <c r="M3" s="25"/>
      <c r="N3" s="25"/>
      <c r="O3" s="25"/>
      <c r="P3" s="25"/>
      <c r="Q3" s="25"/>
      <c r="R3" s="25"/>
      <c r="S3" s="25"/>
      <c r="T3" s="25"/>
      <c r="U3" s="25"/>
      <c r="V3" s="25"/>
      <c r="W3" s="25"/>
      <c r="X3" s="25"/>
      <c r="Y3" s="25"/>
      <c r="Z3" s="25"/>
      <c r="AA3" s="25"/>
      <c r="AB3" s="25"/>
      <c r="AC3" s="25"/>
      <c r="AD3" s="25"/>
      <c r="AE3" s="25"/>
      <c r="AF3" s="25"/>
      <c r="AG3" s="25"/>
      <c r="AH3" s="25"/>
      <c r="AI3" s="25"/>
      <c r="AJ3" s="25"/>
      <c r="AK3" s="25"/>
      <c r="AL3" s="25"/>
      <c r="AM3" s="25"/>
      <c r="AN3" s="25"/>
      <c r="AO3" s="25"/>
      <c r="AP3" s="25"/>
      <c r="AQ3" s="25"/>
      <c r="AR3" s="25"/>
      <c r="AS3" s="25"/>
      <c r="AT3" s="25"/>
      <c r="AU3" s="25"/>
      <c r="AV3" s="25"/>
      <c r="AW3" s="25"/>
      <c r="AX3" s="25"/>
      <c r="AY3" s="25"/>
      <c r="AZ3" s="25"/>
      <c r="BA3" s="25"/>
      <c r="BB3" s="25"/>
      <c r="BC3" s="25"/>
      <c r="BD3" s="25"/>
      <c r="BE3" s="25"/>
      <c r="BF3" s="25"/>
      <c r="BG3" s="25"/>
      <c r="BH3" s="25"/>
      <c r="BI3" s="25"/>
      <c r="BJ3" s="25"/>
    </row>
    <row r="4" spans="1:62" x14ac:dyDescent="0.25">
      <c r="A4">
        <v>2025</v>
      </c>
      <c r="B4" s="25">
        <v>100</v>
      </c>
      <c r="C4">
        <v>100</v>
      </c>
      <c r="D4">
        <v>100</v>
      </c>
      <c r="E4">
        <v>100</v>
      </c>
      <c r="F4">
        <v>100</v>
      </c>
      <c r="G4">
        <v>100</v>
      </c>
      <c r="H4">
        <v>100</v>
      </c>
      <c r="I4" s="25"/>
      <c r="J4" s="25"/>
      <c r="K4" s="25"/>
      <c r="L4" s="25"/>
      <c r="M4" s="25"/>
      <c r="N4" s="25"/>
      <c r="O4" s="25"/>
      <c r="P4" s="25"/>
      <c r="Q4" s="25"/>
      <c r="R4" s="25"/>
      <c r="S4" s="25"/>
      <c r="T4" s="25"/>
      <c r="U4" s="25"/>
      <c r="V4" s="25"/>
      <c r="W4" s="25"/>
      <c r="X4" s="25"/>
      <c r="Y4" s="25"/>
      <c r="Z4" s="25"/>
      <c r="AA4" s="25"/>
      <c r="AB4" s="25"/>
      <c r="AC4" s="25"/>
      <c r="AD4" s="25"/>
      <c r="AE4" s="25"/>
      <c r="AF4" s="25"/>
      <c r="AG4" s="25"/>
      <c r="AH4" s="25"/>
      <c r="AI4" s="25"/>
      <c r="AJ4" s="25"/>
      <c r="AK4" s="25"/>
      <c r="AL4" s="25"/>
      <c r="AM4" s="25"/>
      <c r="AN4" s="25"/>
      <c r="AO4" s="25"/>
      <c r="AP4" s="25"/>
      <c r="AQ4" s="25"/>
      <c r="AR4" s="25"/>
      <c r="AS4" s="25"/>
      <c r="AT4" s="25"/>
      <c r="AU4" s="25"/>
      <c r="AV4" s="25"/>
      <c r="AW4" s="25"/>
      <c r="AX4" s="25"/>
      <c r="AY4" s="25"/>
      <c r="AZ4" s="25"/>
      <c r="BA4" s="25"/>
      <c r="BB4" s="25"/>
      <c r="BC4" s="25"/>
      <c r="BD4" s="25"/>
      <c r="BE4" s="25"/>
      <c r="BF4" s="25"/>
      <c r="BG4" s="25"/>
      <c r="BH4" s="25"/>
      <c r="BI4" s="25"/>
      <c r="BJ4" s="25"/>
    </row>
    <row r="5" spans="1:62" x14ac:dyDescent="0.25">
      <c r="A5">
        <v>2026</v>
      </c>
      <c r="B5" s="25">
        <v>100</v>
      </c>
      <c r="C5">
        <v>100</v>
      </c>
      <c r="D5">
        <v>100</v>
      </c>
      <c r="E5">
        <v>100</v>
      </c>
      <c r="F5">
        <v>100</v>
      </c>
      <c r="G5">
        <v>100</v>
      </c>
      <c r="H5">
        <v>100</v>
      </c>
      <c r="I5" s="25"/>
      <c r="J5" s="25"/>
      <c r="K5" s="25"/>
      <c r="L5" s="25"/>
      <c r="M5" s="25"/>
      <c r="N5" s="25"/>
      <c r="O5" s="25"/>
      <c r="P5" s="25"/>
      <c r="Q5" s="25"/>
      <c r="R5" s="25"/>
      <c r="S5" s="25"/>
      <c r="T5" s="25"/>
      <c r="U5" s="25"/>
      <c r="V5" s="25"/>
      <c r="W5" s="25"/>
      <c r="X5" s="25"/>
      <c r="Y5" s="25"/>
      <c r="Z5" s="25"/>
      <c r="AA5" s="25"/>
      <c r="AB5" s="25"/>
      <c r="AC5" s="25"/>
      <c r="AD5" s="25"/>
      <c r="AE5" s="25"/>
      <c r="AF5" s="25"/>
      <c r="AG5" s="25"/>
      <c r="AH5" s="25"/>
      <c r="AI5" s="25"/>
      <c r="AJ5" s="25"/>
      <c r="AK5" s="25"/>
      <c r="AL5" s="25"/>
      <c r="AM5" s="25"/>
      <c r="AN5" s="25"/>
      <c r="AO5" s="25"/>
      <c r="AP5" s="25"/>
      <c r="AQ5" s="25"/>
      <c r="AR5" s="25"/>
      <c r="AS5" s="25"/>
      <c r="AT5" s="25"/>
      <c r="AU5" s="25"/>
      <c r="AV5" s="25"/>
      <c r="AW5" s="25"/>
      <c r="AX5" s="25"/>
      <c r="AY5" s="25"/>
      <c r="AZ5" s="25"/>
      <c r="BA5" s="25"/>
      <c r="BB5" s="25"/>
      <c r="BC5" s="25"/>
      <c r="BD5" s="25"/>
      <c r="BE5" s="25"/>
      <c r="BF5" s="25"/>
      <c r="BG5" s="25"/>
      <c r="BH5" s="25"/>
      <c r="BI5" s="25"/>
      <c r="BJ5" s="25"/>
    </row>
    <row r="6" spans="1:62" x14ac:dyDescent="0.25">
      <c r="A6">
        <v>2027</v>
      </c>
      <c r="B6" s="25">
        <v>100</v>
      </c>
      <c r="C6">
        <v>100</v>
      </c>
      <c r="D6">
        <v>100</v>
      </c>
      <c r="E6">
        <v>100</v>
      </c>
      <c r="F6">
        <v>100</v>
      </c>
      <c r="G6">
        <v>100</v>
      </c>
      <c r="H6">
        <v>100</v>
      </c>
      <c r="I6" s="25"/>
      <c r="J6" s="25"/>
      <c r="K6" s="25"/>
      <c r="L6" s="25"/>
      <c r="M6" s="25"/>
      <c r="N6" s="25"/>
      <c r="O6" s="25"/>
      <c r="P6" s="25"/>
      <c r="Q6" s="25"/>
      <c r="R6" s="25"/>
      <c r="S6" s="25"/>
      <c r="T6" s="25"/>
      <c r="U6" s="25"/>
      <c r="V6" s="25"/>
      <c r="W6" s="25"/>
      <c r="X6" s="25"/>
      <c r="Y6" s="25"/>
      <c r="Z6" s="25"/>
      <c r="AA6" s="25"/>
      <c r="AB6" s="25"/>
      <c r="AC6" s="25"/>
      <c r="AD6" s="25"/>
      <c r="AE6" s="25"/>
      <c r="AF6" s="25"/>
      <c r="AG6" s="25"/>
      <c r="AH6" s="25"/>
      <c r="AI6" s="25"/>
      <c r="AJ6" s="25"/>
      <c r="AK6" s="25"/>
      <c r="AL6" s="25"/>
      <c r="AM6" s="25"/>
      <c r="AN6" s="25"/>
      <c r="AO6" s="25"/>
      <c r="AP6" s="25"/>
      <c r="AQ6" s="25"/>
      <c r="AR6" s="25"/>
      <c r="AS6" s="25"/>
      <c r="AT6" s="25"/>
      <c r="AU6" s="25"/>
      <c r="AV6" s="25"/>
      <c r="AW6" s="25"/>
      <c r="AX6" s="25"/>
      <c r="AY6" s="25"/>
      <c r="AZ6" s="25"/>
      <c r="BA6" s="25"/>
      <c r="BB6" s="25"/>
      <c r="BC6" s="25"/>
      <c r="BD6" s="25"/>
      <c r="BE6" s="25"/>
      <c r="BF6" s="25"/>
      <c r="BG6" s="25"/>
      <c r="BH6" s="25"/>
      <c r="BI6" s="25"/>
      <c r="BJ6" s="25"/>
    </row>
    <row r="7" spans="1:62" x14ac:dyDescent="0.25">
      <c r="A7">
        <v>2028</v>
      </c>
      <c r="B7" s="25">
        <v>100</v>
      </c>
      <c r="C7">
        <v>100</v>
      </c>
      <c r="D7">
        <v>100</v>
      </c>
      <c r="E7">
        <v>100</v>
      </c>
      <c r="F7">
        <v>100</v>
      </c>
      <c r="G7">
        <v>100</v>
      </c>
      <c r="H7">
        <v>100</v>
      </c>
      <c r="I7" s="25"/>
      <c r="J7" s="25"/>
      <c r="K7" s="25"/>
      <c r="L7" s="25"/>
      <c r="M7" s="25"/>
      <c r="N7" s="25"/>
      <c r="O7" s="25"/>
      <c r="P7" s="25"/>
      <c r="Q7" s="25"/>
      <c r="R7" s="25"/>
      <c r="S7" s="25"/>
      <c r="T7" s="25"/>
      <c r="U7" s="25"/>
      <c r="V7" s="25"/>
      <c r="W7" s="25"/>
      <c r="X7" s="25"/>
      <c r="Y7" s="25"/>
      <c r="Z7" s="25"/>
      <c r="AA7" s="25"/>
      <c r="AB7" s="25"/>
      <c r="AC7" s="25"/>
      <c r="AD7" s="25"/>
      <c r="AE7" s="25"/>
      <c r="AF7" s="25"/>
      <c r="AG7" s="25"/>
      <c r="AH7" s="25"/>
      <c r="AI7" s="25"/>
      <c r="AJ7" s="25"/>
      <c r="AK7" s="25"/>
      <c r="AL7" s="25"/>
      <c r="AM7" s="25"/>
      <c r="AN7" s="25"/>
      <c r="AO7" s="25"/>
      <c r="AP7" s="25"/>
      <c r="AQ7" s="25"/>
      <c r="AR7" s="25"/>
      <c r="AS7" s="25"/>
      <c r="AT7" s="25"/>
      <c r="AU7" s="25"/>
      <c r="AV7" s="25"/>
      <c r="AW7" s="25"/>
      <c r="AX7" s="25"/>
      <c r="AY7" s="25"/>
      <c r="AZ7" s="25"/>
      <c r="BA7" s="25"/>
      <c r="BB7" s="25"/>
      <c r="BC7" s="25"/>
      <c r="BD7" s="25"/>
      <c r="BE7" s="25"/>
      <c r="BF7" s="25"/>
      <c r="BG7" s="25"/>
      <c r="BH7" s="25"/>
      <c r="BI7" s="25"/>
      <c r="BJ7" s="25"/>
    </row>
    <row r="8" spans="1:62" x14ac:dyDescent="0.25">
      <c r="A8">
        <v>2029</v>
      </c>
      <c r="B8" s="25">
        <v>100</v>
      </c>
      <c r="C8">
        <v>100</v>
      </c>
      <c r="D8">
        <v>100</v>
      </c>
      <c r="E8">
        <v>100</v>
      </c>
      <c r="F8">
        <v>100</v>
      </c>
      <c r="G8">
        <v>100</v>
      </c>
      <c r="H8">
        <v>100</v>
      </c>
      <c r="I8" s="25"/>
      <c r="J8" s="25"/>
      <c r="K8" s="25"/>
      <c r="L8" s="25"/>
      <c r="M8" s="25"/>
      <c r="N8" s="25"/>
      <c r="O8" s="25"/>
      <c r="P8" s="25"/>
      <c r="Q8" s="25"/>
      <c r="R8" s="25"/>
      <c r="S8" s="25"/>
      <c r="T8" s="25"/>
      <c r="U8" s="25"/>
      <c r="V8" s="25"/>
      <c r="W8" s="25"/>
      <c r="X8" s="25"/>
      <c r="Y8" s="25"/>
      <c r="Z8" s="25"/>
      <c r="AA8" s="25"/>
      <c r="AB8" s="25"/>
      <c r="AC8" s="25"/>
      <c r="AD8" s="25"/>
      <c r="AE8" s="25"/>
      <c r="AF8" s="25"/>
      <c r="AG8" s="25"/>
      <c r="AH8" s="25"/>
      <c r="AI8" s="25"/>
      <c r="AJ8" s="25"/>
      <c r="AK8" s="25"/>
      <c r="AL8" s="25"/>
      <c r="AM8" s="25"/>
      <c r="AN8" s="25"/>
      <c r="AO8" s="25"/>
      <c r="AP8" s="25"/>
      <c r="AQ8" s="25"/>
      <c r="AR8" s="25"/>
      <c r="AS8" s="25"/>
      <c r="AT8" s="25"/>
      <c r="AU8" s="25"/>
      <c r="AV8" s="25"/>
      <c r="AW8" s="25"/>
      <c r="AX8" s="25"/>
      <c r="AY8" s="25"/>
      <c r="AZ8" s="25"/>
      <c r="BA8" s="25"/>
      <c r="BB8" s="25"/>
      <c r="BC8" s="25"/>
      <c r="BD8" s="25"/>
      <c r="BE8" s="25"/>
      <c r="BF8" s="25"/>
      <c r="BG8" s="25"/>
      <c r="BH8" s="25"/>
      <c r="BI8" s="25"/>
      <c r="BJ8" s="25"/>
    </row>
    <row r="9" spans="1:62" x14ac:dyDescent="0.25">
      <c r="A9">
        <v>2030</v>
      </c>
      <c r="B9" s="25">
        <v>100</v>
      </c>
      <c r="C9">
        <v>100</v>
      </c>
      <c r="D9">
        <v>100</v>
      </c>
      <c r="E9">
        <v>100</v>
      </c>
      <c r="F9">
        <v>100</v>
      </c>
      <c r="G9">
        <v>100</v>
      </c>
      <c r="H9">
        <v>100</v>
      </c>
      <c r="I9" s="25"/>
      <c r="J9" s="25"/>
      <c r="K9" s="25"/>
      <c r="L9" s="25"/>
      <c r="M9" s="25"/>
      <c r="N9" s="25"/>
      <c r="O9" s="25"/>
      <c r="P9" s="25"/>
      <c r="Q9" s="25"/>
      <c r="R9" s="25"/>
      <c r="S9" s="25"/>
      <c r="T9" s="25"/>
      <c r="U9" s="25"/>
      <c r="V9" s="25"/>
      <c r="W9" s="25"/>
      <c r="X9" s="25"/>
      <c r="Y9" s="25"/>
      <c r="Z9" s="25"/>
      <c r="AA9" s="25"/>
      <c r="AB9" s="25"/>
      <c r="AC9" s="25"/>
      <c r="AD9" s="25"/>
      <c r="AE9" s="25"/>
      <c r="AF9" s="25"/>
      <c r="AG9" s="25"/>
      <c r="AH9" s="25"/>
      <c r="AI9" s="25"/>
      <c r="AJ9" s="25"/>
      <c r="AK9" s="25"/>
      <c r="AL9" s="25"/>
      <c r="AM9" s="25"/>
      <c r="AN9" s="25"/>
      <c r="AO9" s="25"/>
      <c r="AP9" s="25"/>
      <c r="AQ9" s="25"/>
      <c r="AR9" s="25"/>
      <c r="AS9" s="25"/>
      <c r="AT9" s="25"/>
      <c r="AU9" s="25"/>
      <c r="AV9" s="25"/>
      <c r="AW9" s="25"/>
      <c r="AX9" s="25"/>
      <c r="AY9" s="25"/>
      <c r="AZ9" s="25"/>
      <c r="BA9" s="25"/>
      <c r="BB9" s="25"/>
      <c r="BC9" s="25"/>
      <c r="BD9" s="25"/>
      <c r="BE9" s="25"/>
      <c r="BF9" s="25"/>
      <c r="BG9" s="25"/>
      <c r="BH9" s="25"/>
      <c r="BI9" s="25"/>
      <c r="BJ9" s="25"/>
    </row>
    <row r="10" spans="1:62" x14ac:dyDescent="0.25">
      <c r="A10">
        <v>2031</v>
      </c>
      <c r="B10" s="25">
        <v>25</v>
      </c>
      <c r="C10">
        <v>25</v>
      </c>
      <c r="D10">
        <v>25</v>
      </c>
      <c r="E10">
        <v>25</v>
      </c>
      <c r="F10">
        <v>25</v>
      </c>
      <c r="G10">
        <v>25</v>
      </c>
      <c r="H10">
        <v>25</v>
      </c>
      <c r="I10" s="25"/>
      <c r="J10" s="25"/>
      <c r="K10" s="25"/>
      <c r="L10" s="25"/>
      <c r="M10" s="25"/>
      <c r="N10" s="25"/>
      <c r="O10" s="25"/>
      <c r="P10" s="25"/>
      <c r="Q10" s="25"/>
      <c r="R10" s="25"/>
      <c r="S10" s="25"/>
      <c r="T10" s="25"/>
      <c r="U10" s="25"/>
      <c r="V10" s="25"/>
      <c r="W10" s="25"/>
      <c r="X10" s="25"/>
      <c r="Y10" s="25"/>
      <c r="Z10" s="25"/>
      <c r="AA10" s="25"/>
      <c r="AB10" s="25"/>
      <c r="AC10" s="25"/>
      <c r="AD10" s="25"/>
      <c r="AE10" s="25"/>
      <c r="AF10" s="25"/>
      <c r="AG10" s="25"/>
      <c r="AH10" s="25"/>
      <c r="AI10" s="25"/>
      <c r="AJ10" s="25"/>
      <c r="AK10" s="25"/>
      <c r="AL10" s="25"/>
      <c r="AM10" s="25"/>
      <c r="AN10" s="25"/>
      <c r="AO10" s="25"/>
      <c r="AP10" s="25"/>
      <c r="AQ10" s="25"/>
      <c r="AR10" s="25"/>
      <c r="AS10" s="25"/>
      <c r="AT10" s="25"/>
      <c r="AU10" s="25"/>
      <c r="AV10" s="25"/>
      <c r="AW10" s="25"/>
      <c r="AX10" s="25"/>
      <c r="AY10" s="25"/>
      <c r="AZ10" s="25"/>
      <c r="BA10" s="25"/>
      <c r="BB10" s="25"/>
      <c r="BC10" s="25"/>
      <c r="BD10" s="25"/>
      <c r="BE10" s="25"/>
      <c r="BF10" s="25"/>
      <c r="BG10" s="25"/>
      <c r="BH10" s="25"/>
      <c r="BI10" s="25"/>
      <c r="BJ10" s="25"/>
    </row>
    <row r="11" spans="1:62" x14ac:dyDescent="0.25">
      <c r="A11">
        <v>2032</v>
      </c>
      <c r="B11" s="25">
        <v>25</v>
      </c>
      <c r="C11">
        <v>25</v>
      </c>
      <c r="D11">
        <v>25</v>
      </c>
      <c r="E11">
        <v>25</v>
      </c>
      <c r="F11">
        <v>25</v>
      </c>
      <c r="G11">
        <v>25</v>
      </c>
      <c r="H11">
        <v>25</v>
      </c>
      <c r="I11" s="25"/>
      <c r="J11" s="25"/>
      <c r="K11" s="25"/>
      <c r="L11" s="25"/>
      <c r="M11" s="25"/>
      <c r="N11" s="25"/>
      <c r="O11" s="25"/>
      <c r="P11" s="25"/>
      <c r="Q11" s="25"/>
      <c r="R11" s="25"/>
      <c r="S11" s="25"/>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5"/>
      <c r="AU11" s="25"/>
      <c r="AV11" s="25"/>
      <c r="AW11" s="25"/>
      <c r="AX11" s="25"/>
      <c r="AY11" s="25"/>
      <c r="AZ11" s="25"/>
      <c r="BA11" s="25"/>
      <c r="BB11" s="25"/>
      <c r="BC11" s="25"/>
      <c r="BD11" s="25"/>
      <c r="BE11" s="25"/>
      <c r="BF11" s="25"/>
      <c r="BG11" s="25"/>
      <c r="BH11" s="25"/>
      <c r="BI11" s="25"/>
      <c r="BJ11" s="25"/>
    </row>
    <row r="12" spans="1:62" x14ac:dyDescent="0.25">
      <c r="A12">
        <v>2033</v>
      </c>
      <c r="B12" s="25">
        <v>25</v>
      </c>
      <c r="C12">
        <v>25</v>
      </c>
      <c r="D12">
        <v>25</v>
      </c>
      <c r="E12">
        <v>25</v>
      </c>
      <c r="F12">
        <v>25</v>
      </c>
      <c r="G12">
        <v>25</v>
      </c>
      <c r="H12">
        <v>25</v>
      </c>
      <c r="I12" s="25"/>
      <c r="J12" s="25"/>
      <c r="K12" s="25"/>
      <c r="L12" s="25"/>
      <c r="M12" s="25"/>
      <c r="N12" s="25"/>
      <c r="O12" s="25"/>
      <c r="P12" s="25"/>
      <c r="Q12" s="25"/>
      <c r="R12" s="25"/>
      <c r="S12" s="25"/>
      <c r="T12" s="25"/>
      <c r="U12" s="25"/>
      <c r="V12" s="25"/>
      <c r="W12" s="25"/>
      <c r="X12" s="25"/>
      <c r="Y12" s="25"/>
      <c r="Z12" s="25"/>
      <c r="AA12" s="25"/>
      <c r="AB12" s="25"/>
      <c r="AC12" s="25"/>
      <c r="AD12" s="25"/>
      <c r="AE12" s="25"/>
      <c r="AF12" s="25"/>
      <c r="AG12" s="25"/>
      <c r="AH12" s="25"/>
      <c r="AI12" s="25"/>
      <c r="AJ12" s="25"/>
      <c r="AK12" s="25"/>
      <c r="AL12" s="25"/>
      <c r="AM12" s="25"/>
      <c r="AN12" s="25"/>
      <c r="AO12" s="25"/>
      <c r="AP12" s="25"/>
      <c r="AQ12" s="25"/>
      <c r="AR12" s="25"/>
      <c r="AS12" s="25"/>
      <c r="AT12" s="25"/>
      <c r="AU12" s="25"/>
      <c r="AV12" s="25"/>
      <c r="AW12" s="25"/>
      <c r="AX12" s="25"/>
      <c r="AY12" s="25"/>
      <c r="AZ12" s="25"/>
      <c r="BA12" s="25"/>
      <c r="BB12" s="25"/>
      <c r="BC12" s="25"/>
      <c r="BD12" s="25"/>
      <c r="BE12" s="25"/>
      <c r="BF12" s="25"/>
      <c r="BG12" s="25"/>
      <c r="BH12" s="25"/>
      <c r="BI12" s="25"/>
      <c r="BJ12" s="25"/>
    </row>
    <row r="13" spans="1:62" x14ac:dyDescent="0.25">
      <c r="A13">
        <v>2034</v>
      </c>
      <c r="B13" s="25">
        <v>25</v>
      </c>
      <c r="C13">
        <v>25</v>
      </c>
      <c r="D13">
        <v>25</v>
      </c>
      <c r="E13">
        <v>25</v>
      </c>
      <c r="F13">
        <v>25</v>
      </c>
      <c r="G13">
        <v>25</v>
      </c>
      <c r="H13">
        <v>25</v>
      </c>
      <c r="I13" s="25"/>
      <c r="J13" s="25"/>
      <c r="K13" s="25"/>
      <c r="L13" s="25"/>
      <c r="M13" s="25"/>
      <c r="N13" s="25"/>
      <c r="O13" s="25"/>
      <c r="P13" s="25"/>
      <c r="Q13" s="25"/>
      <c r="R13" s="25"/>
      <c r="S13" s="25"/>
      <c r="T13" s="25"/>
      <c r="U13" s="25"/>
      <c r="V13" s="25"/>
      <c r="W13" s="25"/>
      <c r="X13" s="25"/>
      <c r="Y13" s="25"/>
      <c r="Z13" s="25"/>
      <c r="AA13" s="25"/>
      <c r="AB13" s="25"/>
      <c r="AC13" s="25"/>
      <c r="AD13" s="25"/>
      <c r="AE13" s="25"/>
      <c r="AF13" s="25"/>
      <c r="AG13" s="25"/>
      <c r="AH13" s="25"/>
      <c r="AI13" s="25"/>
      <c r="AJ13" s="25"/>
      <c r="AK13" s="25"/>
      <c r="AL13" s="25"/>
      <c r="AM13" s="25"/>
      <c r="AN13" s="25"/>
      <c r="AO13" s="25"/>
      <c r="AP13" s="25"/>
      <c r="AQ13" s="25"/>
      <c r="AR13" s="25"/>
      <c r="AS13" s="25"/>
      <c r="AT13" s="25"/>
      <c r="AU13" s="25"/>
      <c r="AV13" s="25"/>
      <c r="AW13" s="25"/>
      <c r="AX13" s="25"/>
      <c r="AY13" s="25"/>
      <c r="AZ13" s="25"/>
      <c r="BA13" s="25"/>
      <c r="BB13" s="25"/>
      <c r="BC13" s="25"/>
      <c r="BD13" s="25"/>
      <c r="BE13" s="25"/>
      <c r="BF13" s="25"/>
      <c r="BG13" s="25"/>
      <c r="BH13" s="25"/>
      <c r="BI13" s="25"/>
      <c r="BJ13" s="25"/>
    </row>
    <row r="14" spans="1:62" x14ac:dyDescent="0.25">
      <c r="A14">
        <v>2035</v>
      </c>
      <c r="B14" s="25">
        <v>25</v>
      </c>
      <c r="C14">
        <v>25</v>
      </c>
      <c r="D14">
        <v>25</v>
      </c>
      <c r="E14">
        <v>25</v>
      </c>
      <c r="F14">
        <v>25</v>
      </c>
      <c r="G14">
        <v>25</v>
      </c>
      <c r="H14">
        <v>25</v>
      </c>
      <c r="I14" s="25"/>
      <c r="J14" s="25"/>
      <c r="K14" s="25"/>
      <c r="L14" s="25"/>
      <c r="M14" s="25"/>
      <c r="N14" s="25"/>
      <c r="O14" s="25"/>
      <c r="P14" s="25"/>
      <c r="Q14" s="25"/>
      <c r="R14" s="25"/>
      <c r="S14" s="25"/>
      <c r="T14" s="25"/>
      <c r="U14" s="25"/>
      <c r="V14" s="25"/>
      <c r="W14" s="25"/>
      <c r="X14" s="25"/>
      <c r="Y14" s="25"/>
      <c r="Z14" s="25"/>
      <c r="AA14" s="25"/>
      <c r="AB14" s="25"/>
      <c r="AC14" s="25"/>
      <c r="AD14" s="25"/>
      <c r="AE14" s="25"/>
      <c r="AF14" s="25"/>
      <c r="AG14" s="25"/>
      <c r="AH14" s="25"/>
      <c r="AI14" s="25"/>
      <c r="AJ14" s="25"/>
      <c r="AK14" s="25"/>
      <c r="AL14" s="25"/>
      <c r="AM14" s="25"/>
      <c r="AN14" s="25"/>
      <c r="AO14" s="25"/>
      <c r="AP14" s="25"/>
      <c r="AQ14" s="25"/>
      <c r="AR14" s="25"/>
      <c r="AS14" s="25"/>
      <c r="AT14" s="25"/>
      <c r="AU14" s="25"/>
      <c r="AV14" s="25"/>
      <c r="AW14" s="25"/>
      <c r="AX14" s="25"/>
      <c r="AY14" s="25"/>
      <c r="AZ14" s="25"/>
      <c r="BA14" s="25"/>
      <c r="BB14" s="25"/>
      <c r="BC14" s="25"/>
      <c r="BD14" s="25"/>
      <c r="BE14" s="25"/>
      <c r="BF14" s="25"/>
      <c r="BG14" s="25"/>
      <c r="BH14" s="25"/>
      <c r="BI14" s="25"/>
      <c r="BJ14" s="25"/>
    </row>
    <row r="15" spans="1:62" x14ac:dyDescent="0.25">
      <c r="B15" s="25"/>
      <c r="I15" s="25"/>
      <c r="J15" s="25"/>
      <c r="K15" s="25"/>
      <c r="L15" s="25"/>
      <c r="M15" s="25"/>
      <c r="N15" s="25"/>
      <c r="O15" s="25"/>
      <c r="P15" s="25"/>
      <c r="Q15" s="25"/>
      <c r="R15" s="25"/>
      <c r="S15" s="25"/>
      <c r="T15" s="25"/>
      <c r="U15" s="25"/>
      <c r="V15" s="25"/>
      <c r="W15" s="25"/>
      <c r="X15" s="25"/>
      <c r="Y15" s="25"/>
      <c r="Z15" s="25"/>
      <c r="AA15" s="25"/>
      <c r="AB15" s="25"/>
      <c r="AC15" s="25"/>
      <c r="AD15" s="25"/>
      <c r="AE15" s="25"/>
      <c r="AF15" s="25"/>
      <c r="AG15" s="25"/>
      <c r="AH15" s="25"/>
      <c r="AI15" s="25"/>
      <c r="AJ15" s="25"/>
      <c r="AK15" s="25"/>
      <c r="AL15" s="25"/>
      <c r="AM15" s="25"/>
      <c r="AN15" s="25"/>
      <c r="AO15" s="25"/>
      <c r="AP15" s="25"/>
      <c r="AQ15" s="25"/>
      <c r="AR15" s="25"/>
      <c r="AS15" s="25"/>
      <c r="AT15" s="25"/>
      <c r="AU15" s="25"/>
      <c r="AV15" s="25"/>
      <c r="AW15" s="25"/>
      <c r="AX15" s="25"/>
      <c r="AY15" s="25"/>
      <c r="AZ15" s="25"/>
      <c r="BA15" s="25"/>
      <c r="BB15" s="25"/>
      <c r="BC15" s="25"/>
      <c r="BD15" s="25"/>
      <c r="BE15" s="25"/>
      <c r="BF15" s="25"/>
      <c r="BG15" s="25"/>
      <c r="BH15" s="25"/>
      <c r="BI15" s="25"/>
      <c r="BJ15" s="25"/>
    </row>
    <row r="16" spans="1:62" x14ac:dyDescent="0.25">
      <c r="B16" s="25"/>
      <c r="I16" s="25"/>
      <c r="J16" s="25"/>
      <c r="K16" s="25"/>
      <c r="L16" s="25"/>
      <c r="M16" s="25"/>
      <c r="N16" s="25"/>
      <c r="O16" s="25"/>
      <c r="P16" s="25"/>
      <c r="Q16" s="25"/>
      <c r="R16" s="25"/>
      <c r="S16" s="25"/>
      <c r="T16" s="25"/>
      <c r="U16" s="25"/>
      <c r="V16" s="25"/>
      <c r="W16" s="25"/>
      <c r="X16" s="25"/>
      <c r="Y16" s="25"/>
      <c r="Z16" s="25"/>
      <c r="AA16" s="25"/>
      <c r="AB16" s="25"/>
      <c r="AC16" s="25"/>
      <c r="AD16" s="25"/>
      <c r="AE16" s="25"/>
      <c r="AF16" s="25"/>
      <c r="AG16" s="25"/>
      <c r="AH16" s="25"/>
      <c r="AI16" s="25"/>
      <c r="AJ16" s="25"/>
      <c r="AK16" s="25"/>
      <c r="AL16" s="25"/>
      <c r="AM16" s="25"/>
      <c r="AN16" s="25"/>
      <c r="AO16" s="25"/>
      <c r="AP16" s="25"/>
      <c r="AQ16" s="25"/>
      <c r="AR16" s="25"/>
      <c r="AS16" s="25"/>
      <c r="AT16" s="25"/>
      <c r="AU16" s="25"/>
      <c r="AV16" s="25"/>
      <c r="AW16" s="25"/>
      <c r="AX16" s="25"/>
      <c r="AY16" s="25"/>
      <c r="AZ16" s="25"/>
      <c r="BA16" s="25"/>
      <c r="BB16" s="25"/>
      <c r="BC16" s="25"/>
      <c r="BD16" s="25"/>
      <c r="BE16" s="25"/>
      <c r="BF16" s="25"/>
      <c r="BG16" s="25"/>
      <c r="BH16" s="25"/>
      <c r="BI16" s="25"/>
      <c r="BJ16" s="25"/>
    </row>
    <row r="17" spans="2:62" x14ac:dyDescent="0.25">
      <c r="B17" s="25"/>
      <c r="I17" s="25"/>
      <c r="J17" s="25"/>
      <c r="K17" s="25"/>
      <c r="L17" s="25"/>
      <c r="M17" s="25"/>
      <c r="N17" s="25"/>
      <c r="O17" s="25"/>
      <c r="P17" s="25"/>
      <c r="Q17" s="25"/>
      <c r="R17" s="25"/>
      <c r="S17" s="25"/>
      <c r="T17" s="25"/>
      <c r="U17" s="25"/>
      <c r="V17" s="25"/>
      <c r="W17" s="25"/>
      <c r="X17" s="25"/>
      <c r="Y17" s="25"/>
      <c r="Z17" s="25"/>
      <c r="AA17" s="25"/>
      <c r="AB17" s="25"/>
      <c r="AC17" s="25"/>
      <c r="AD17" s="25"/>
      <c r="AE17" s="25"/>
      <c r="AF17" s="25"/>
      <c r="AG17" s="25"/>
      <c r="AH17" s="25"/>
      <c r="AI17" s="25"/>
      <c r="AJ17" s="25"/>
      <c r="AK17" s="25"/>
      <c r="AL17" s="25"/>
      <c r="AM17" s="25"/>
      <c r="AN17" s="25"/>
      <c r="AO17" s="25"/>
      <c r="AP17" s="25"/>
      <c r="AQ17" s="25"/>
      <c r="AR17" s="25"/>
      <c r="AS17" s="25"/>
      <c r="AT17" s="25"/>
      <c r="AU17" s="25"/>
      <c r="AV17" s="25"/>
      <c r="AW17" s="25"/>
      <c r="AX17" s="25"/>
      <c r="AY17" s="25"/>
      <c r="AZ17" s="25"/>
      <c r="BA17" s="25"/>
      <c r="BB17" s="25"/>
      <c r="BC17" s="25"/>
      <c r="BD17" s="25"/>
      <c r="BE17" s="25"/>
      <c r="BF17" s="25"/>
      <c r="BG17" s="25"/>
      <c r="BH17" s="25"/>
      <c r="BI17" s="25"/>
      <c r="BJ17" s="25"/>
    </row>
    <row r="18" spans="2:62" x14ac:dyDescent="0.25">
      <c r="B18" s="25"/>
      <c r="I18" s="25"/>
      <c r="J18" s="25"/>
      <c r="K18" s="25"/>
      <c r="L18" s="25"/>
      <c r="M18" s="25"/>
      <c r="N18" s="25"/>
      <c r="O18" s="25"/>
      <c r="P18" s="25"/>
      <c r="Q18" s="25"/>
      <c r="R18" s="25"/>
      <c r="S18" s="25"/>
      <c r="T18" s="25"/>
      <c r="U18" s="25"/>
      <c r="V18" s="25"/>
      <c r="W18" s="25"/>
      <c r="X18" s="25"/>
      <c r="Y18" s="25"/>
      <c r="Z18" s="25"/>
      <c r="AA18" s="25"/>
      <c r="AB18" s="25"/>
      <c r="AC18" s="25"/>
      <c r="AD18" s="25"/>
      <c r="AE18" s="25"/>
      <c r="AF18" s="25"/>
      <c r="AG18" s="25"/>
      <c r="AH18" s="25"/>
      <c r="AI18" s="25"/>
      <c r="AJ18" s="25"/>
      <c r="AK18" s="25"/>
      <c r="AL18" s="25"/>
      <c r="AM18" s="25"/>
      <c r="AN18" s="25"/>
      <c r="AO18" s="25"/>
      <c r="AP18" s="25"/>
      <c r="AQ18" s="25"/>
      <c r="AR18" s="25"/>
      <c r="AS18" s="25"/>
      <c r="AT18" s="25"/>
      <c r="AU18" s="25"/>
      <c r="AV18" s="25"/>
      <c r="AW18" s="25"/>
      <c r="AX18" s="25"/>
      <c r="AY18" s="25"/>
      <c r="AZ18" s="25"/>
      <c r="BA18" s="25"/>
      <c r="BB18" s="25"/>
      <c r="BC18" s="25"/>
      <c r="BD18" s="25"/>
      <c r="BE18" s="25"/>
      <c r="BF18" s="25"/>
      <c r="BG18" s="25"/>
      <c r="BH18" s="25"/>
      <c r="BI18" s="25"/>
      <c r="BJ18" s="25"/>
    </row>
    <row r="19" spans="2:62" x14ac:dyDescent="0.25">
      <c r="B19" s="25"/>
      <c r="I19" s="25"/>
      <c r="J19" s="25"/>
      <c r="K19" s="25"/>
      <c r="L19" s="25"/>
      <c r="M19" s="25"/>
      <c r="N19" s="25"/>
      <c r="O19" s="25"/>
      <c r="P19" s="25"/>
      <c r="Q19" s="25"/>
      <c r="R19" s="25"/>
      <c r="S19" s="25"/>
      <c r="T19" s="25"/>
      <c r="U19" s="25"/>
      <c r="V19" s="25"/>
      <c r="W19" s="25"/>
      <c r="X19" s="25"/>
      <c r="Y19" s="25"/>
      <c r="Z19" s="25"/>
      <c r="AA19" s="25"/>
      <c r="AB19" s="25"/>
      <c r="AC19" s="25"/>
      <c r="AD19" s="25"/>
      <c r="AE19" s="25"/>
      <c r="AF19" s="25"/>
      <c r="AG19" s="25"/>
      <c r="AH19" s="25"/>
      <c r="AI19" s="25"/>
      <c r="AJ19" s="25"/>
      <c r="AK19" s="25"/>
      <c r="AL19" s="25"/>
      <c r="AM19" s="25"/>
      <c r="AN19" s="25"/>
      <c r="AO19" s="25"/>
      <c r="AP19" s="25"/>
      <c r="AQ19" s="25"/>
      <c r="AR19" s="25"/>
      <c r="AS19" s="25"/>
      <c r="AT19" s="25"/>
      <c r="AU19" s="25"/>
      <c r="AV19" s="25"/>
      <c r="AW19" s="25"/>
      <c r="AX19" s="25"/>
      <c r="AY19" s="25"/>
      <c r="AZ19" s="25"/>
      <c r="BA19" s="25"/>
      <c r="BB19" s="25"/>
      <c r="BC19" s="25"/>
      <c r="BD19" s="25"/>
      <c r="BE19" s="25"/>
      <c r="BF19" s="25"/>
      <c r="BG19" s="25"/>
      <c r="BH19" s="25"/>
      <c r="BI19" s="25"/>
      <c r="BJ19" s="25"/>
    </row>
    <row r="20" spans="2:62" x14ac:dyDescent="0.25">
      <c r="B20" s="25"/>
      <c r="I20" s="25"/>
      <c r="J20" s="25"/>
      <c r="K20" s="25"/>
      <c r="L20" s="25"/>
      <c r="M20" s="25"/>
      <c r="N20" s="25"/>
      <c r="O20" s="25"/>
      <c r="P20" s="25"/>
      <c r="Q20" s="25"/>
      <c r="R20" s="25"/>
      <c r="S20" s="25"/>
      <c r="T20" s="25"/>
      <c r="U20" s="25"/>
      <c r="V20" s="25"/>
      <c r="W20" s="25"/>
      <c r="X20" s="25"/>
      <c r="Y20" s="25"/>
      <c r="Z20" s="25"/>
      <c r="AA20" s="25"/>
      <c r="AB20" s="25"/>
      <c r="AC20" s="25"/>
      <c r="AD20" s="25"/>
      <c r="AE20" s="25"/>
      <c r="AF20" s="25"/>
      <c r="AG20" s="25"/>
      <c r="AH20" s="25"/>
      <c r="AI20" s="25"/>
      <c r="AJ20" s="25"/>
      <c r="AK20" s="25"/>
      <c r="AL20" s="25"/>
      <c r="AM20" s="25"/>
      <c r="AN20" s="25"/>
      <c r="AO20" s="25"/>
      <c r="AP20" s="25"/>
      <c r="AQ20" s="25"/>
      <c r="AR20" s="25"/>
      <c r="AS20" s="25"/>
      <c r="AT20" s="25"/>
      <c r="AU20" s="25"/>
      <c r="AV20" s="25"/>
      <c r="AW20" s="25"/>
      <c r="AX20" s="25"/>
      <c r="AY20" s="25"/>
      <c r="AZ20" s="25"/>
      <c r="BA20" s="25"/>
      <c r="BB20" s="25"/>
      <c r="BC20" s="25"/>
      <c r="BD20" s="25"/>
      <c r="BE20" s="25"/>
      <c r="BF20" s="25"/>
      <c r="BG20" s="25"/>
      <c r="BH20" s="25"/>
      <c r="BI20" s="25"/>
      <c r="BJ20" s="25"/>
    </row>
    <row r="21" spans="2:62" x14ac:dyDescent="0.25">
      <c r="B21" s="25"/>
      <c r="I21" s="25"/>
      <c r="J21" s="25"/>
      <c r="K21" s="25"/>
      <c r="L21" s="25"/>
      <c r="M21" s="25"/>
      <c r="N21" s="25"/>
      <c r="O21" s="25"/>
      <c r="P21" s="25"/>
      <c r="Q21" s="25"/>
      <c r="R21" s="25"/>
      <c r="S21" s="25"/>
      <c r="T21" s="25"/>
      <c r="U21" s="25"/>
      <c r="V21" s="25"/>
      <c r="W21" s="25"/>
      <c r="X21" s="25"/>
      <c r="Y21" s="25"/>
      <c r="Z21" s="25"/>
      <c r="AA21" s="25"/>
      <c r="AB21" s="25"/>
      <c r="AC21" s="25"/>
      <c r="AD21" s="25"/>
      <c r="AE21" s="25"/>
      <c r="AF21" s="25"/>
      <c r="AG21" s="25"/>
      <c r="AH21" s="25"/>
      <c r="AI21" s="25"/>
      <c r="AJ21" s="25"/>
      <c r="AK21" s="25"/>
      <c r="AL21" s="25"/>
      <c r="AM21" s="25"/>
      <c r="AN21" s="25"/>
      <c r="AO21" s="25"/>
      <c r="AP21" s="25"/>
      <c r="AQ21" s="25"/>
      <c r="AR21" s="25"/>
      <c r="AS21" s="25"/>
      <c r="AT21" s="25"/>
      <c r="AU21" s="25"/>
      <c r="AV21" s="25"/>
      <c r="AW21" s="25"/>
      <c r="AX21" s="25"/>
      <c r="AY21" s="25"/>
      <c r="AZ21" s="25"/>
      <c r="BA21" s="25"/>
      <c r="BB21" s="25"/>
      <c r="BC21" s="25"/>
      <c r="BD21" s="25"/>
      <c r="BE21" s="25"/>
      <c r="BF21" s="25"/>
      <c r="BG21" s="25"/>
      <c r="BH21" s="25"/>
      <c r="BI21" s="25"/>
      <c r="BJ21" s="25"/>
    </row>
    <row r="22" spans="2:62" x14ac:dyDescent="0.25">
      <c r="B22" s="25"/>
      <c r="I22" s="25"/>
      <c r="J22" s="25"/>
      <c r="K22" s="25"/>
      <c r="L22" s="25"/>
      <c r="M22" s="25"/>
      <c r="N22" s="25"/>
      <c r="O22" s="25"/>
      <c r="P22" s="25"/>
      <c r="Q22" s="25"/>
      <c r="R22" s="25"/>
      <c r="S22" s="25"/>
      <c r="T22" s="25"/>
      <c r="U22" s="25"/>
      <c r="V22" s="25"/>
      <c r="W22" s="25"/>
      <c r="X22" s="25"/>
      <c r="Y22" s="25"/>
      <c r="Z22" s="25"/>
      <c r="AA22" s="25"/>
      <c r="AB22" s="25"/>
      <c r="AC22" s="25"/>
      <c r="AD22" s="25"/>
      <c r="AE22" s="25"/>
      <c r="AF22" s="25"/>
      <c r="AG22" s="25"/>
      <c r="AH22" s="25"/>
      <c r="AI22" s="25"/>
      <c r="AJ22" s="25"/>
      <c r="AK22" s="25"/>
      <c r="AL22" s="25"/>
      <c r="AM22" s="25"/>
      <c r="AN22" s="25"/>
      <c r="AO22" s="25"/>
      <c r="AP22" s="25"/>
      <c r="AQ22" s="25"/>
      <c r="AR22" s="25"/>
      <c r="AS22" s="25"/>
      <c r="AT22" s="25"/>
      <c r="AU22" s="25"/>
      <c r="AV22" s="25"/>
      <c r="AW22" s="25"/>
      <c r="AX22" s="25"/>
      <c r="AY22" s="25"/>
      <c r="AZ22" s="25"/>
      <c r="BA22" s="25"/>
      <c r="BB22" s="25"/>
      <c r="BC22" s="25"/>
      <c r="BD22" s="25"/>
      <c r="BE22" s="25"/>
      <c r="BF22" s="25"/>
      <c r="BG22" s="25"/>
      <c r="BH22" s="25"/>
      <c r="BI22" s="25"/>
      <c r="BJ22" s="25"/>
    </row>
    <row r="23" spans="2:62" x14ac:dyDescent="0.25">
      <c r="B23" s="25"/>
      <c r="I23" s="25"/>
      <c r="J23" s="25"/>
      <c r="K23" s="25"/>
      <c r="L23" s="25"/>
      <c r="M23" s="25"/>
      <c r="N23" s="25"/>
      <c r="O23" s="25"/>
      <c r="P23" s="25"/>
      <c r="Q23" s="25"/>
      <c r="R23" s="25"/>
      <c r="S23" s="25"/>
      <c r="T23" s="25"/>
      <c r="U23" s="25"/>
      <c r="V23" s="25"/>
      <c r="W23" s="25"/>
      <c r="X23" s="25"/>
      <c r="Y23" s="25"/>
      <c r="Z23" s="25"/>
      <c r="AA23" s="25"/>
      <c r="AB23" s="25"/>
      <c r="AC23" s="25"/>
      <c r="AD23" s="25"/>
      <c r="AE23" s="25"/>
      <c r="AF23" s="25"/>
      <c r="AG23" s="25"/>
      <c r="AH23" s="25"/>
      <c r="AI23" s="25"/>
      <c r="AJ23" s="25"/>
      <c r="AK23" s="25"/>
      <c r="AL23" s="25"/>
      <c r="AM23" s="25"/>
      <c r="AN23" s="25"/>
      <c r="AO23" s="25"/>
      <c r="AP23" s="25"/>
      <c r="AQ23" s="25"/>
      <c r="AR23" s="25"/>
      <c r="AS23" s="25"/>
      <c r="AT23" s="25"/>
      <c r="AU23" s="25"/>
      <c r="AV23" s="25"/>
      <c r="AW23" s="25"/>
      <c r="AX23" s="25"/>
      <c r="AY23" s="25"/>
      <c r="AZ23" s="25"/>
      <c r="BA23" s="25"/>
      <c r="BB23" s="25"/>
      <c r="BC23" s="25"/>
      <c r="BD23" s="25"/>
      <c r="BE23" s="25"/>
      <c r="BF23" s="25"/>
      <c r="BG23" s="25"/>
      <c r="BH23" s="25"/>
      <c r="BI23" s="25"/>
      <c r="BJ23" s="25"/>
    </row>
    <row r="24" spans="2:62" x14ac:dyDescent="0.25">
      <c r="B24" s="25"/>
      <c r="I24" s="25"/>
      <c r="J24" s="25"/>
      <c r="K24" s="25"/>
      <c r="L24" s="25"/>
      <c r="M24" s="25"/>
      <c r="N24" s="25"/>
      <c r="O24" s="25"/>
      <c r="P24" s="25"/>
      <c r="Q24" s="25"/>
      <c r="R24" s="25"/>
      <c r="S24" s="25"/>
      <c r="T24" s="25"/>
      <c r="U24" s="25"/>
      <c r="V24" s="25"/>
      <c r="W24" s="25"/>
      <c r="X24" s="25"/>
      <c r="Y24" s="25"/>
      <c r="Z24" s="25"/>
      <c r="AA24" s="25"/>
      <c r="AB24" s="25"/>
      <c r="AC24" s="25"/>
      <c r="AD24" s="25"/>
      <c r="AE24" s="25"/>
      <c r="AF24" s="25"/>
      <c r="AG24" s="25"/>
      <c r="AH24" s="25"/>
      <c r="AI24" s="25"/>
      <c r="AJ24" s="25"/>
      <c r="AK24" s="25"/>
      <c r="AL24" s="25"/>
      <c r="AM24" s="25"/>
      <c r="AN24" s="25"/>
      <c r="AO24" s="25"/>
      <c r="AP24" s="25"/>
      <c r="AQ24" s="25"/>
      <c r="AR24" s="25"/>
      <c r="AS24" s="25"/>
      <c r="AT24" s="25"/>
      <c r="AU24" s="25"/>
      <c r="AV24" s="25"/>
      <c r="AW24" s="25"/>
      <c r="AX24" s="25"/>
      <c r="AY24" s="25"/>
      <c r="AZ24" s="25"/>
      <c r="BA24" s="25"/>
      <c r="BB24" s="25"/>
      <c r="BC24" s="25"/>
      <c r="BD24" s="25"/>
      <c r="BE24" s="25"/>
      <c r="BF24" s="25"/>
      <c r="BG24" s="25"/>
      <c r="BH24" s="25"/>
      <c r="BI24" s="25"/>
      <c r="BJ24" s="25"/>
    </row>
    <row r="25" spans="2:62" x14ac:dyDescent="0.25">
      <c r="B25" s="25"/>
      <c r="I25" s="25"/>
      <c r="J25" s="25"/>
      <c r="K25" s="25"/>
      <c r="L25" s="25"/>
      <c r="M25" s="25"/>
      <c r="N25" s="25"/>
      <c r="O25" s="25"/>
      <c r="P25" s="25"/>
      <c r="Q25" s="25"/>
      <c r="R25" s="25"/>
      <c r="S25" s="25"/>
      <c r="T25" s="25"/>
      <c r="U25" s="25"/>
      <c r="V25" s="25"/>
      <c r="W25" s="25"/>
      <c r="X25" s="25"/>
      <c r="Y25" s="25"/>
      <c r="Z25" s="25"/>
      <c r="AA25" s="25"/>
      <c r="AB25" s="25"/>
      <c r="AC25" s="25"/>
      <c r="AD25" s="25"/>
      <c r="AE25" s="25"/>
      <c r="AF25" s="25"/>
      <c r="AG25" s="25"/>
      <c r="AH25" s="25"/>
      <c r="AI25" s="25"/>
      <c r="AJ25" s="25"/>
      <c r="AK25" s="25"/>
      <c r="AL25" s="25"/>
      <c r="AM25" s="25"/>
      <c r="AN25" s="25"/>
      <c r="AO25" s="25"/>
      <c r="AP25" s="25"/>
      <c r="AQ25" s="25"/>
      <c r="AR25" s="25"/>
      <c r="AS25" s="25"/>
      <c r="AT25" s="25"/>
      <c r="AU25" s="25"/>
      <c r="AV25" s="25"/>
      <c r="AW25" s="25"/>
      <c r="AX25" s="25"/>
      <c r="AY25" s="25"/>
      <c r="AZ25" s="25"/>
      <c r="BA25" s="25"/>
      <c r="BB25" s="25"/>
      <c r="BC25" s="25"/>
      <c r="BD25" s="25"/>
      <c r="BE25" s="25"/>
      <c r="BF25" s="25"/>
      <c r="BG25" s="25"/>
      <c r="BH25" s="25"/>
      <c r="BI25" s="25"/>
      <c r="BJ25" s="25"/>
    </row>
    <row r="26" spans="2:62" x14ac:dyDescent="0.25">
      <c r="B26" s="25"/>
      <c r="I26" s="25"/>
      <c r="J26" s="25"/>
      <c r="K26" s="25"/>
      <c r="L26" s="25"/>
      <c r="M26" s="25"/>
      <c r="N26" s="25"/>
      <c r="O26" s="25"/>
      <c r="P26" s="25"/>
      <c r="Q26" s="25"/>
      <c r="R26" s="25"/>
      <c r="S26" s="25"/>
      <c r="T26" s="25"/>
      <c r="U26" s="25"/>
      <c r="V26" s="25"/>
      <c r="W26" s="25"/>
      <c r="X26" s="25"/>
      <c r="Y26" s="25"/>
      <c r="Z26" s="25"/>
      <c r="AA26" s="25"/>
      <c r="AB26" s="25"/>
      <c r="AC26" s="25"/>
      <c r="AD26" s="25"/>
      <c r="AE26" s="25"/>
      <c r="AF26" s="25"/>
      <c r="AG26" s="25"/>
      <c r="AH26" s="25"/>
      <c r="AI26" s="25"/>
      <c r="AJ26" s="25"/>
      <c r="AK26" s="25"/>
      <c r="AL26" s="25"/>
      <c r="AM26" s="25"/>
      <c r="AN26" s="25"/>
      <c r="AO26" s="25"/>
      <c r="AP26" s="25"/>
      <c r="AQ26" s="25"/>
      <c r="AR26" s="25"/>
      <c r="AS26" s="25"/>
      <c r="AT26" s="25"/>
      <c r="AU26" s="25"/>
      <c r="AV26" s="25"/>
      <c r="AW26" s="25"/>
      <c r="AX26" s="25"/>
      <c r="AY26" s="25"/>
      <c r="AZ26" s="25"/>
      <c r="BA26" s="25"/>
      <c r="BB26" s="25"/>
      <c r="BC26" s="25"/>
      <c r="BD26" s="25"/>
      <c r="BE26" s="25"/>
      <c r="BF26" s="25"/>
      <c r="BG26" s="25"/>
      <c r="BH26" s="25"/>
      <c r="BI26" s="25"/>
      <c r="BJ26" s="25"/>
    </row>
    <row r="27" spans="2:62" x14ac:dyDescent="0.25">
      <c r="B27" s="25"/>
      <c r="I27" s="25"/>
      <c r="J27" s="25"/>
      <c r="K27" s="25"/>
      <c r="L27" s="25"/>
      <c r="M27" s="25"/>
      <c r="N27" s="25"/>
      <c r="O27" s="25"/>
      <c r="P27" s="25"/>
      <c r="Q27" s="25"/>
      <c r="R27" s="25"/>
      <c r="S27" s="25"/>
      <c r="T27" s="25"/>
      <c r="U27" s="25"/>
      <c r="V27" s="25"/>
      <c r="W27" s="25"/>
      <c r="X27" s="25"/>
      <c r="Y27" s="25"/>
      <c r="Z27" s="25"/>
      <c r="AA27" s="25"/>
      <c r="AB27" s="25"/>
      <c r="AC27" s="25"/>
      <c r="AD27" s="25"/>
      <c r="AE27" s="25"/>
      <c r="AF27" s="25"/>
      <c r="AG27" s="25"/>
      <c r="AH27" s="25"/>
      <c r="AI27" s="25"/>
      <c r="AJ27" s="25"/>
      <c r="AK27" s="25"/>
      <c r="AL27" s="25"/>
      <c r="AM27" s="25"/>
      <c r="AN27" s="25"/>
      <c r="AO27" s="25"/>
      <c r="AP27" s="25"/>
      <c r="AQ27" s="25"/>
      <c r="AR27" s="25"/>
      <c r="AS27" s="25"/>
      <c r="AT27" s="25"/>
      <c r="AU27" s="25"/>
      <c r="AV27" s="25"/>
      <c r="AW27" s="25"/>
      <c r="AX27" s="25"/>
      <c r="AY27" s="25"/>
      <c r="AZ27" s="25"/>
      <c r="BA27" s="25"/>
      <c r="BB27" s="25"/>
      <c r="BC27" s="25"/>
      <c r="BD27" s="25"/>
      <c r="BE27" s="25"/>
      <c r="BF27" s="25"/>
      <c r="BG27" s="25"/>
      <c r="BH27" s="25"/>
      <c r="BI27" s="25"/>
      <c r="BJ27" s="25"/>
    </row>
    <row r="28" spans="2:62" x14ac:dyDescent="0.25">
      <c r="B28" s="25"/>
      <c r="I28" s="25"/>
      <c r="J28" s="25"/>
      <c r="K28" s="25"/>
      <c r="L28" s="25"/>
      <c r="M28" s="25"/>
      <c r="N28" s="25"/>
      <c r="O28" s="25"/>
      <c r="P28" s="25"/>
      <c r="Q28" s="25"/>
      <c r="R28" s="25"/>
      <c r="S28" s="25"/>
      <c r="T28" s="25"/>
      <c r="U28" s="25"/>
      <c r="V28" s="25"/>
      <c r="W28" s="25"/>
      <c r="X28" s="25"/>
      <c r="Y28" s="25"/>
      <c r="Z28" s="25"/>
      <c r="AA28" s="25"/>
      <c r="AB28" s="25"/>
      <c r="AC28" s="25"/>
      <c r="AD28" s="25"/>
      <c r="AE28" s="25"/>
      <c r="AF28" s="25"/>
      <c r="AG28" s="25"/>
      <c r="AH28" s="25"/>
      <c r="AI28" s="25"/>
      <c r="AJ28" s="25"/>
      <c r="AK28" s="25"/>
      <c r="AL28" s="25"/>
      <c r="AM28" s="25"/>
      <c r="AN28" s="25"/>
      <c r="AO28" s="25"/>
      <c r="AP28" s="25"/>
      <c r="AQ28" s="25"/>
      <c r="AR28" s="25"/>
      <c r="AS28" s="25"/>
      <c r="AT28" s="25"/>
      <c r="AU28" s="25"/>
      <c r="AV28" s="25"/>
      <c r="AW28" s="25"/>
      <c r="AX28" s="25"/>
      <c r="AY28" s="25"/>
      <c r="AZ28" s="25"/>
      <c r="BA28" s="25"/>
      <c r="BB28" s="25"/>
      <c r="BC28" s="25"/>
      <c r="BD28" s="25"/>
      <c r="BE28" s="25"/>
      <c r="BF28" s="25"/>
      <c r="BG28" s="25"/>
      <c r="BH28" s="25"/>
      <c r="BI28" s="25"/>
      <c r="BJ28" s="25"/>
    </row>
    <row r="29" spans="2:62" x14ac:dyDescent="0.25">
      <c r="B29" s="25"/>
      <c r="I29" s="25"/>
      <c r="J29" s="25"/>
      <c r="K29" s="25"/>
      <c r="L29" s="25"/>
      <c r="M29" s="25"/>
      <c r="N29" s="25"/>
      <c r="O29" s="25"/>
      <c r="P29" s="25"/>
      <c r="Q29" s="25"/>
      <c r="R29" s="25"/>
      <c r="S29" s="25"/>
      <c r="T29" s="25"/>
      <c r="U29" s="25"/>
      <c r="V29" s="25"/>
      <c r="W29" s="25"/>
      <c r="X29" s="25"/>
      <c r="Y29" s="25"/>
      <c r="Z29" s="25"/>
      <c r="AA29" s="25"/>
      <c r="AB29" s="25"/>
      <c r="AC29" s="25"/>
      <c r="AD29" s="25"/>
      <c r="AE29" s="25"/>
      <c r="AF29" s="25"/>
      <c r="AG29" s="25"/>
      <c r="AH29" s="25"/>
      <c r="AI29" s="25"/>
      <c r="AJ29" s="25"/>
      <c r="AK29" s="25"/>
      <c r="AL29" s="25"/>
      <c r="AM29" s="25"/>
      <c r="AN29" s="25"/>
      <c r="AO29" s="25"/>
      <c r="AP29" s="25"/>
      <c r="AQ29" s="25"/>
      <c r="AR29" s="25"/>
      <c r="AS29" s="25"/>
      <c r="AT29" s="25"/>
      <c r="AU29" s="25"/>
      <c r="AV29" s="25"/>
      <c r="AW29" s="25"/>
      <c r="AX29" s="25"/>
      <c r="AY29" s="25"/>
      <c r="AZ29" s="25"/>
      <c r="BA29" s="25"/>
      <c r="BB29" s="25"/>
      <c r="BC29" s="25"/>
      <c r="BD29" s="25"/>
      <c r="BE29" s="25"/>
      <c r="BF29" s="25"/>
      <c r="BG29" s="25"/>
      <c r="BH29" s="25"/>
      <c r="BI29" s="25"/>
      <c r="BJ29" s="25"/>
    </row>
    <row r="30" spans="2:62" x14ac:dyDescent="0.25">
      <c r="B30" s="25"/>
      <c r="I30" s="25"/>
      <c r="J30" s="25"/>
      <c r="K30" s="25"/>
      <c r="L30" s="25"/>
      <c r="M30" s="25"/>
      <c r="N30" s="25"/>
      <c r="O30" s="25"/>
      <c r="P30" s="25"/>
      <c r="Q30" s="25"/>
      <c r="R30" s="25"/>
      <c r="S30" s="25"/>
      <c r="T30" s="25"/>
      <c r="U30" s="25"/>
      <c r="V30" s="25"/>
      <c r="W30" s="25"/>
      <c r="X30" s="25"/>
      <c r="Y30" s="25"/>
      <c r="Z30" s="25"/>
      <c r="AA30" s="25"/>
      <c r="AB30" s="25"/>
      <c r="AC30" s="25"/>
      <c r="AD30" s="25"/>
      <c r="AE30" s="25"/>
      <c r="AF30" s="25"/>
      <c r="AG30" s="25"/>
      <c r="AH30" s="25"/>
      <c r="AI30" s="25"/>
      <c r="AJ30" s="25"/>
      <c r="AK30" s="25"/>
      <c r="AL30" s="25"/>
      <c r="AM30" s="25"/>
      <c r="AN30" s="25"/>
      <c r="AO30" s="25"/>
      <c r="AP30" s="25"/>
      <c r="AQ30" s="25"/>
      <c r="AR30" s="25"/>
      <c r="AS30" s="25"/>
      <c r="AT30" s="25"/>
      <c r="AU30" s="25"/>
      <c r="AV30" s="25"/>
      <c r="AW30" s="25"/>
      <c r="AX30" s="25"/>
      <c r="AY30" s="25"/>
      <c r="AZ30" s="25"/>
      <c r="BA30" s="25"/>
      <c r="BB30" s="25"/>
      <c r="BC30" s="25"/>
      <c r="BD30" s="25"/>
      <c r="BE30" s="25"/>
      <c r="BF30" s="25"/>
      <c r="BG30" s="25"/>
      <c r="BH30" s="25"/>
      <c r="BI30" s="25"/>
      <c r="BJ30" s="25"/>
    </row>
    <row r="31" spans="2:62" x14ac:dyDescent="0.25">
      <c r="B31" s="25"/>
      <c r="I31" s="25"/>
      <c r="J31" s="25"/>
      <c r="K31" s="25"/>
      <c r="L31" s="25"/>
      <c r="M31" s="25"/>
      <c r="N31" s="25"/>
      <c r="O31" s="25"/>
      <c r="P31" s="25"/>
      <c r="Q31" s="25"/>
      <c r="R31" s="25"/>
      <c r="S31" s="25"/>
      <c r="T31" s="25"/>
      <c r="U31" s="25"/>
      <c r="V31" s="25"/>
      <c r="W31" s="25"/>
      <c r="X31" s="25"/>
      <c r="Y31" s="25"/>
      <c r="Z31" s="25"/>
      <c r="AA31" s="25"/>
      <c r="AB31" s="25"/>
      <c r="AC31" s="25"/>
      <c r="AD31" s="25"/>
      <c r="AE31" s="25"/>
      <c r="AF31" s="25"/>
      <c r="AG31" s="25"/>
      <c r="AH31" s="25"/>
      <c r="AI31" s="25"/>
      <c r="AJ31" s="25"/>
      <c r="AK31" s="25"/>
      <c r="AL31" s="25"/>
      <c r="AM31" s="25"/>
      <c r="AN31" s="25"/>
      <c r="AO31" s="25"/>
      <c r="AP31" s="25"/>
      <c r="AQ31" s="25"/>
      <c r="AR31" s="25"/>
      <c r="AS31" s="25"/>
      <c r="AT31" s="25"/>
      <c r="AU31" s="25"/>
      <c r="AV31" s="25"/>
      <c r="AW31" s="25"/>
      <c r="AX31" s="25"/>
      <c r="AY31" s="25"/>
      <c r="AZ31" s="25"/>
      <c r="BA31" s="25"/>
      <c r="BB31" s="25"/>
      <c r="BC31" s="25"/>
      <c r="BD31" s="25"/>
      <c r="BE31" s="25"/>
      <c r="BF31" s="25"/>
      <c r="BG31" s="25"/>
      <c r="BH31" s="25"/>
      <c r="BI31" s="25"/>
      <c r="BJ31" s="25"/>
    </row>
    <row r="32" spans="2:62" x14ac:dyDescent="0.25">
      <c r="B32" s="25"/>
      <c r="I32" s="25"/>
      <c r="J32" s="25"/>
      <c r="K32" s="25"/>
      <c r="L32" s="25"/>
      <c r="M32" s="25"/>
      <c r="N32" s="25"/>
      <c r="O32" s="25"/>
      <c r="P32" s="25"/>
      <c r="Q32" s="25"/>
      <c r="R32" s="25"/>
      <c r="S32" s="25"/>
      <c r="T32" s="25"/>
      <c r="U32" s="25"/>
      <c r="V32" s="25"/>
      <c r="W32" s="25"/>
      <c r="X32" s="25"/>
      <c r="Y32" s="25"/>
      <c r="Z32" s="25"/>
      <c r="AA32" s="25"/>
      <c r="AB32" s="25"/>
      <c r="AC32" s="25"/>
      <c r="AD32" s="25"/>
      <c r="AE32" s="25"/>
      <c r="AF32" s="25"/>
      <c r="AG32" s="25"/>
      <c r="AH32" s="25"/>
      <c r="AI32" s="25"/>
      <c r="AJ32" s="25"/>
      <c r="AK32" s="25"/>
      <c r="AL32" s="25"/>
      <c r="AM32" s="25"/>
      <c r="AN32" s="25"/>
      <c r="AO32" s="25"/>
      <c r="AP32" s="25"/>
      <c r="AQ32" s="25"/>
      <c r="AR32" s="25"/>
      <c r="AS32" s="25"/>
      <c r="AT32" s="25"/>
      <c r="AU32" s="25"/>
      <c r="AV32" s="25"/>
      <c r="AW32" s="25"/>
      <c r="AX32" s="25"/>
      <c r="AY32" s="25"/>
      <c r="AZ32" s="25"/>
      <c r="BA32" s="25"/>
      <c r="BB32" s="25"/>
      <c r="BC32" s="25"/>
      <c r="BD32" s="25"/>
      <c r="BE32" s="25"/>
      <c r="BF32" s="25"/>
      <c r="BG32" s="25"/>
      <c r="BH32" s="25"/>
      <c r="BI32" s="25"/>
      <c r="BJ32" s="25"/>
    </row>
    <row r="33" spans="1:62" x14ac:dyDescent="0.25">
      <c r="B33" s="25"/>
      <c r="I33" s="25"/>
      <c r="J33" s="25"/>
      <c r="K33" s="25"/>
      <c r="L33" s="25"/>
      <c r="M33" s="25"/>
      <c r="N33" s="25"/>
      <c r="O33" s="25"/>
      <c r="P33" s="25"/>
      <c r="Q33" s="25"/>
      <c r="R33" s="25"/>
      <c r="S33" s="25"/>
      <c r="T33" s="25"/>
      <c r="U33" s="25"/>
      <c r="V33" s="25"/>
      <c r="W33" s="25"/>
      <c r="X33" s="25"/>
      <c r="Y33" s="25"/>
      <c r="Z33" s="25"/>
      <c r="AA33" s="25"/>
      <c r="AB33" s="25"/>
      <c r="AC33" s="25"/>
      <c r="AD33" s="25"/>
      <c r="AE33" s="25"/>
      <c r="AF33" s="25"/>
      <c r="AG33" s="25"/>
      <c r="AH33" s="25"/>
      <c r="AI33" s="25"/>
      <c r="AJ33" s="25"/>
      <c r="AK33" s="25"/>
      <c r="AL33" s="25"/>
      <c r="AM33" s="25"/>
      <c r="AN33" s="25"/>
      <c r="AO33" s="25"/>
      <c r="AP33" s="25"/>
      <c r="AQ33" s="25"/>
      <c r="AR33" s="25"/>
      <c r="AS33" s="25"/>
      <c r="AT33" s="25"/>
      <c r="AU33" s="25"/>
      <c r="AV33" s="25"/>
      <c r="AW33" s="25"/>
      <c r="AX33" s="25"/>
      <c r="AY33" s="25"/>
      <c r="AZ33" s="25"/>
      <c r="BA33" s="25"/>
      <c r="BB33" s="25"/>
      <c r="BC33" s="25"/>
      <c r="BD33" s="25"/>
      <c r="BE33" s="25"/>
      <c r="BF33" s="25"/>
      <c r="BG33" s="25"/>
      <c r="BH33" s="25"/>
      <c r="BI33" s="25"/>
      <c r="BJ33" s="25"/>
    </row>
    <row r="34" spans="1:62" x14ac:dyDescent="0.25">
      <c r="B34" s="25"/>
      <c r="I34" s="25"/>
      <c r="J34" s="25"/>
      <c r="K34" s="25"/>
      <c r="L34" s="25"/>
      <c r="M34" s="25"/>
      <c r="N34" s="25"/>
      <c r="O34" s="25"/>
      <c r="P34" s="25"/>
      <c r="Q34" s="25"/>
      <c r="R34" s="25"/>
      <c r="S34" s="25"/>
      <c r="T34" s="25"/>
      <c r="U34" s="25"/>
      <c r="V34" s="25"/>
      <c r="W34" s="25"/>
      <c r="X34" s="25"/>
      <c r="Y34" s="25"/>
      <c r="Z34" s="25"/>
      <c r="AA34" s="25"/>
      <c r="AB34" s="25"/>
      <c r="AC34" s="25"/>
      <c r="AD34" s="25"/>
      <c r="AE34" s="25"/>
      <c r="AF34" s="25"/>
      <c r="AG34" s="25"/>
      <c r="AH34" s="25"/>
      <c r="AI34" s="25"/>
      <c r="AJ34" s="25"/>
      <c r="AK34" s="25"/>
      <c r="AL34" s="25"/>
      <c r="AM34" s="25"/>
      <c r="AN34" s="25"/>
      <c r="AO34" s="25"/>
      <c r="AP34" s="25"/>
      <c r="AQ34" s="25"/>
      <c r="AR34" s="25"/>
      <c r="AS34" s="25"/>
      <c r="AT34" s="25"/>
      <c r="AU34" s="25"/>
      <c r="AV34" s="25"/>
      <c r="AW34" s="25"/>
      <c r="AX34" s="25"/>
      <c r="AY34" s="25"/>
      <c r="AZ34" s="25"/>
      <c r="BA34" s="25"/>
      <c r="BB34" s="25"/>
      <c r="BC34" s="25"/>
      <c r="BD34" s="25"/>
      <c r="BE34" s="25"/>
      <c r="BF34" s="25"/>
      <c r="BG34" s="25"/>
      <c r="BH34" s="25"/>
      <c r="BI34" s="25"/>
      <c r="BJ34" s="25"/>
    </row>
    <row r="35" spans="1:62" x14ac:dyDescent="0.25">
      <c r="B35" s="25"/>
      <c r="I35" s="25"/>
      <c r="J35" s="25"/>
      <c r="K35" s="25"/>
      <c r="L35" s="25"/>
      <c r="M35" s="25"/>
      <c r="N35" s="25"/>
      <c r="O35" s="25"/>
      <c r="P35" s="25"/>
      <c r="Q35" s="25"/>
      <c r="R35" s="25"/>
      <c r="S35" s="25"/>
      <c r="T35" s="25"/>
      <c r="U35" s="25"/>
      <c r="V35" s="25"/>
      <c r="W35" s="25"/>
      <c r="X35" s="25"/>
      <c r="Y35" s="25"/>
      <c r="Z35" s="25"/>
      <c r="AA35" s="25"/>
      <c r="AB35" s="25"/>
      <c r="AC35" s="25"/>
      <c r="AD35" s="25"/>
      <c r="AE35" s="25"/>
      <c r="AF35" s="25"/>
      <c r="AG35" s="25"/>
      <c r="AH35" s="25"/>
      <c r="AI35" s="25"/>
      <c r="AJ35" s="25"/>
      <c r="AK35" s="25"/>
      <c r="AL35" s="25"/>
      <c r="AM35" s="25"/>
      <c r="AN35" s="25"/>
      <c r="AO35" s="25"/>
      <c r="AP35" s="25"/>
      <c r="AQ35" s="25"/>
      <c r="AR35" s="25"/>
      <c r="AS35" s="25"/>
      <c r="AT35" s="25"/>
      <c r="AU35" s="25"/>
      <c r="AV35" s="25"/>
      <c r="AW35" s="25"/>
      <c r="AX35" s="25"/>
      <c r="AY35" s="25"/>
      <c r="AZ35" s="25"/>
      <c r="BA35" s="25"/>
      <c r="BB35" s="25"/>
      <c r="BC35" s="25"/>
      <c r="BD35" s="25"/>
      <c r="BE35" s="25"/>
      <c r="BF35" s="25"/>
      <c r="BG35" s="25"/>
      <c r="BH35" s="25"/>
      <c r="BI35" s="25"/>
      <c r="BJ35" s="25"/>
    </row>
    <row r="36" spans="1:62" x14ac:dyDescent="0.25">
      <c r="B36" s="25"/>
      <c r="I36" s="25"/>
      <c r="J36" s="25"/>
      <c r="K36" s="25"/>
      <c r="L36" s="25"/>
      <c r="M36" s="25"/>
      <c r="N36" s="25"/>
      <c r="O36" s="25"/>
      <c r="P36" s="25"/>
      <c r="Q36" s="25"/>
      <c r="R36" s="25"/>
      <c r="S36" s="25"/>
      <c r="T36" s="25"/>
      <c r="U36" s="25"/>
      <c r="V36" s="25"/>
      <c r="W36" s="25"/>
      <c r="X36" s="25"/>
      <c r="Y36" s="25"/>
      <c r="Z36" s="25"/>
      <c r="AA36" s="25"/>
      <c r="AB36" s="25"/>
      <c r="AC36" s="25"/>
      <c r="AD36" s="25"/>
      <c r="AE36" s="25"/>
      <c r="AF36" s="25"/>
      <c r="AG36" s="25"/>
      <c r="AH36" s="25"/>
      <c r="AI36" s="25"/>
      <c r="AJ36" s="25"/>
      <c r="AK36" s="25"/>
      <c r="AL36" s="25"/>
      <c r="AM36" s="25"/>
      <c r="AN36" s="25"/>
      <c r="AO36" s="25"/>
      <c r="AP36" s="25"/>
      <c r="AQ36" s="25"/>
      <c r="AR36" s="25"/>
      <c r="AS36" s="25"/>
      <c r="AT36" s="25"/>
      <c r="AU36" s="25"/>
      <c r="AV36" s="25"/>
      <c r="AW36" s="25"/>
      <c r="AX36" s="25"/>
      <c r="AY36" s="25"/>
      <c r="AZ36" s="25"/>
      <c r="BA36" s="25"/>
      <c r="BB36" s="25"/>
      <c r="BC36" s="25"/>
      <c r="BD36" s="25"/>
      <c r="BE36" s="25"/>
      <c r="BF36" s="25"/>
      <c r="BG36" s="25"/>
      <c r="BH36" s="25"/>
      <c r="BI36" s="25"/>
      <c r="BJ36" s="25"/>
    </row>
    <row r="37" spans="1:62" x14ac:dyDescent="0.25">
      <c r="B37" s="25"/>
      <c r="I37" s="25"/>
      <c r="J37" s="25"/>
      <c r="K37" s="25"/>
      <c r="L37" s="25"/>
      <c r="M37" s="25"/>
      <c r="N37" s="25"/>
      <c r="O37" s="25"/>
      <c r="P37" s="25"/>
      <c r="Q37" s="25"/>
      <c r="R37" s="25"/>
      <c r="S37" s="25"/>
      <c r="T37" s="25"/>
      <c r="U37" s="25"/>
      <c r="V37" s="25"/>
      <c r="W37" s="25"/>
      <c r="X37" s="25"/>
      <c r="Y37" s="25"/>
      <c r="Z37" s="25"/>
      <c r="AA37" s="25"/>
      <c r="AB37" s="25"/>
      <c r="AC37" s="25"/>
      <c r="AD37" s="25"/>
      <c r="AE37" s="25"/>
      <c r="AF37" s="25"/>
      <c r="AG37" s="25"/>
      <c r="AH37" s="25"/>
      <c r="AI37" s="25"/>
      <c r="AJ37" s="25"/>
      <c r="AK37" s="25"/>
      <c r="AL37" s="25"/>
      <c r="AM37" s="25"/>
      <c r="AN37" s="25"/>
      <c r="AO37" s="25"/>
      <c r="AP37" s="25"/>
      <c r="AQ37" s="25"/>
      <c r="AR37" s="25"/>
      <c r="AS37" s="25"/>
      <c r="AT37" s="25"/>
      <c r="AU37" s="25"/>
      <c r="AV37" s="25"/>
      <c r="AW37" s="25"/>
      <c r="AX37" s="25"/>
      <c r="AY37" s="25"/>
      <c r="AZ37" s="25"/>
      <c r="BA37" s="25"/>
      <c r="BB37" s="25"/>
      <c r="BC37" s="25"/>
      <c r="BD37" s="25"/>
      <c r="BE37" s="25"/>
      <c r="BF37" s="25"/>
      <c r="BG37" s="25"/>
      <c r="BH37" s="25"/>
      <c r="BI37" s="25"/>
      <c r="BJ37" s="25"/>
    </row>
    <row r="38" spans="1:62" x14ac:dyDescent="0.25">
      <c r="A38" s="25"/>
      <c r="B38" s="25"/>
      <c r="C38" s="25"/>
      <c r="D38" s="25"/>
      <c r="E38" s="25"/>
      <c r="F38" s="25"/>
      <c r="G38" s="25"/>
      <c r="H38" s="25"/>
      <c r="I38" s="25"/>
      <c r="J38" s="25"/>
      <c r="K38" s="25"/>
      <c r="L38" s="25"/>
      <c r="M38" s="25"/>
      <c r="N38" s="25"/>
      <c r="O38" s="25"/>
      <c r="P38" s="25"/>
      <c r="Q38" s="25"/>
      <c r="R38" s="25"/>
      <c r="S38" s="25"/>
      <c r="T38" s="25"/>
      <c r="U38" s="25"/>
      <c r="V38" s="25"/>
      <c r="W38" s="25"/>
      <c r="X38" s="25"/>
      <c r="Y38" s="25"/>
      <c r="Z38" s="25"/>
      <c r="AA38" s="25"/>
      <c r="AB38" s="25"/>
      <c r="AC38" s="25"/>
      <c r="AD38" s="25"/>
      <c r="AE38" s="25"/>
      <c r="AF38" s="25"/>
      <c r="AG38" s="25"/>
      <c r="AH38" s="25"/>
      <c r="AI38" s="25"/>
      <c r="AJ38" s="25"/>
      <c r="AK38" s="25"/>
      <c r="AL38" s="25"/>
      <c r="AM38" s="25"/>
      <c r="AN38" s="25"/>
      <c r="AO38" s="25"/>
      <c r="AP38" s="25"/>
      <c r="AQ38" s="25"/>
      <c r="AR38" s="25"/>
      <c r="AS38" s="25"/>
      <c r="AT38" s="25"/>
      <c r="AU38" s="25"/>
      <c r="AV38" s="25"/>
      <c r="AW38" s="25"/>
      <c r="AX38" s="25"/>
      <c r="AY38" s="25"/>
      <c r="AZ38" s="25"/>
      <c r="BA38" s="25"/>
      <c r="BB38" s="25"/>
      <c r="BC38" s="25"/>
      <c r="BD38" s="25"/>
      <c r="BE38" s="25"/>
      <c r="BF38" s="25"/>
      <c r="BG38" s="25"/>
      <c r="BH38" s="25"/>
      <c r="BI38" s="25"/>
      <c r="BJ38" s="25"/>
    </row>
    <row r="39" spans="1:62" x14ac:dyDescent="0.25">
      <c r="A39" s="25"/>
      <c r="B39" s="25"/>
      <c r="C39" s="25"/>
      <c r="D39" s="25"/>
      <c r="E39" s="25"/>
      <c r="F39" s="25"/>
      <c r="G39" s="25"/>
      <c r="H39" s="25"/>
      <c r="I39" s="25"/>
      <c r="J39" s="25"/>
      <c r="K39" s="25"/>
      <c r="L39" s="25"/>
      <c r="M39" s="25"/>
      <c r="N39" s="25"/>
      <c r="O39" s="25"/>
      <c r="P39" s="25"/>
      <c r="Q39" s="25"/>
      <c r="R39" s="25"/>
      <c r="S39" s="25"/>
      <c r="T39" s="25"/>
      <c r="U39" s="25"/>
      <c r="V39" s="25"/>
      <c r="W39" s="25"/>
      <c r="X39" s="25"/>
      <c r="Y39" s="25"/>
      <c r="Z39" s="25"/>
      <c r="AA39" s="25"/>
      <c r="AB39" s="25"/>
      <c r="AC39" s="25"/>
      <c r="AD39" s="25"/>
      <c r="AE39" s="25"/>
      <c r="AF39" s="25"/>
      <c r="AG39" s="25"/>
      <c r="AH39" s="25"/>
      <c r="AI39" s="25"/>
      <c r="AJ39" s="25"/>
      <c r="AK39" s="25"/>
      <c r="AL39" s="25"/>
      <c r="AM39" s="25"/>
      <c r="AN39" s="25"/>
      <c r="AO39" s="25"/>
      <c r="AP39" s="25"/>
      <c r="AQ39" s="25"/>
      <c r="AR39" s="25"/>
      <c r="AS39" s="25"/>
      <c r="AT39" s="25"/>
      <c r="AU39" s="25"/>
      <c r="AV39" s="25"/>
      <c r="AW39" s="25"/>
      <c r="AX39" s="25"/>
      <c r="AY39" s="25"/>
      <c r="AZ39" s="25"/>
      <c r="BA39" s="25"/>
      <c r="BB39" s="25"/>
      <c r="BC39" s="25"/>
      <c r="BD39" s="25"/>
      <c r="BE39" s="25"/>
      <c r="BF39" s="25"/>
      <c r="BG39" s="25"/>
      <c r="BH39" s="25"/>
      <c r="BI39" s="25"/>
      <c r="BJ39" s="25"/>
    </row>
    <row r="40" spans="1:62" x14ac:dyDescent="0.25">
      <c r="A40" s="25"/>
      <c r="B40" s="25"/>
      <c r="C40" s="25"/>
      <c r="D40" s="25"/>
      <c r="E40" s="25"/>
      <c r="F40" s="25"/>
      <c r="G40" s="25"/>
      <c r="H40" s="25"/>
      <c r="I40" s="25"/>
      <c r="J40" s="25"/>
      <c r="K40" s="25"/>
      <c r="L40" s="25"/>
      <c r="M40" s="25"/>
      <c r="N40" s="25"/>
      <c r="O40" s="25"/>
      <c r="P40" s="25"/>
      <c r="Q40" s="25"/>
      <c r="R40" s="25"/>
      <c r="S40" s="25"/>
      <c r="T40" s="25"/>
      <c r="U40" s="25"/>
      <c r="V40" s="25"/>
      <c r="W40" s="25"/>
      <c r="X40" s="25"/>
      <c r="Y40" s="25"/>
      <c r="Z40" s="25"/>
      <c r="AA40" s="25"/>
      <c r="AB40" s="25"/>
      <c r="AC40" s="25"/>
      <c r="AD40" s="25"/>
      <c r="AE40" s="25"/>
      <c r="AF40" s="25"/>
      <c r="AG40" s="25"/>
      <c r="AH40" s="25"/>
      <c r="AI40" s="25"/>
      <c r="AJ40" s="25"/>
      <c r="AK40" s="25"/>
      <c r="AL40" s="25"/>
      <c r="AM40" s="25"/>
      <c r="AN40" s="25"/>
      <c r="AO40" s="25"/>
      <c r="AP40" s="25"/>
      <c r="AQ40" s="25"/>
      <c r="AR40" s="25"/>
      <c r="AS40" s="25"/>
      <c r="AT40" s="25"/>
      <c r="AU40" s="25"/>
      <c r="AV40" s="25"/>
      <c r="AW40" s="25"/>
      <c r="AX40" s="25"/>
      <c r="AY40" s="25"/>
      <c r="AZ40" s="25"/>
      <c r="BA40" s="25"/>
      <c r="BB40" s="25"/>
      <c r="BC40" s="25"/>
      <c r="BD40" s="25"/>
      <c r="BE40" s="25"/>
      <c r="BF40" s="25"/>
      <c r="BG40" s="25"/>
      <c r="BH40" s="25"/>
      <c r="BI40" s="25"/>
      <c r="BJ40" s="25"/>
    </row>
    <row r="41" spans="1:62" x14ac:dyDescent="0.25">
      <c r="A41" s="25"/>
      <c r="B41" s="25"/>
      <c r="C41" s="25"/>
      <c r="D41" s="25"/>
      <c r="E41" s="25"/>
      <c r="F41" s="25"/>
      <c r="G41" s="25"/>
      <c r="H41" s="25"/>
      <c r="I41" s="25"/>
      <c r="J41" s="25"/>
      <c r="K41" s="25"/>
      <c r="L41" s="25"/>
      <c r="M41" s="25"/>
      <c r="N41" s="25"/>
      <c r="O41" s="25"/>
      <c r="P41" s="25"/>
      <c r="Q41" s="25"/>
      <c r="R41" s="25"/>
      <c r="S41" s="25"/>
      <c r="T41" s="25"/>
      <c r="U41" s="25"/>
      <c r="V41" s="25"/>
      <c r="W41" s="25"/>
      <c r="X41" s="25"/>
      <c r="Y41" s="25"/>
      <c r="Z41" s="25"/>
      <c r="AA41" s="25"/>
      <c r="AB41" s="25"/>
      <c r="AC41" s="25"/>
      <c r="AD41" s="25"/>
      <c r="AE41" s="25"/>
      <c r="AF41" s="25"/>
      <c r="AG41" s="25"/>
      <c r="AH41" s="25"/>
      <c r="AI41" s="25"/>
      <c r="AJ41" s="25"/>
      <c r="AK41" s="25"/>
      <c r="AL41" s="25"/>
      <c r="AM41" s="25"/>
      <c r="AN41" s="25"/>
      <c r="AO41" s="25"/>
      <c r="AP41" s="25"/>
      <c r="AQ41" s="25"/>
      <c r="AR41" s="25"/>
      <c r="AS41" s="25"/>
      <c r="AT41" s="25"/>
      <c r="AU41" s="25"/>
      <c r="AV41" s="25"/>
      <c r="AW41" s="25"/>
      <c r="AX41" s="25"/>
      <c r="AY41" s="25"/>
      <c r="AZ41" s="25"/>
      <c r="BA41" s="25"/>
      <c r="BB41" s="25"/>
      <c r="BC41" s="25"/>
      <c r="BD41" s="25"/>
      <c r="BE41" s="25"/>
      <c r="BF41" s="25"/>
      <c r="BG41" s="25"/>
      <c r="BH41" s="25"/>
      <c r="BI41" s="25"/>
      <c r="BJ41" s="25"/>
    </row>
    <row r="42" spans="1:62" x14ac:dyDescent="0.25">
      <c r="A42" s="25"/>
      <c r="B42" s="25"/>
      <c r="C42" s="25"/>
      <c r="D42" s="25"/>
      <c r="E42" s="25"/>
      <c r="F42" s="25"/>
      <c r="G42" s="25"/>
      <c r="H42" s="25"/>
      <c r="I42" s="25"/>
      <c r="J42" s="25"/>
      <c r="K42" s="25"/>
      <c r="L42" s="25"/>
      <c r="M42" s="25"/>
      <c r="N42" s="25"/>
      <c r="O42" s="25"/>
      <c r="P42" s="25"/>
      <c r="Q42" s="25"/>
      <c r="R42" s="25"/>
      <c r="S42" s="25"/>
      <c r="T42" s="25"/>
      <c r="U42" s="25"/>
      <c r="V42" s="25"/>
      <c r="W42" s="25"/>
      <c r="X42" s="25"/>
      <c r="Y42" s="25"/>
      <c r="Z42" s="25"/>
      <c r="AA42" s="25"/>
      <c r="AB42" s="25"/>
      <c r="AC42" s="25"/>
      <c r="AD42" s="25"/>
      <c r="AE42" s="25"/>
      <c r="AF42" s="25"/>
      <c r="AG42" s="25"/>
      <c r="AH42" s="25"/>
      <c r="AI42" s="25"/>
      <c r="AJ42" s="25"/>
      <c r="AK42" s="25"/>
      <c r="AL42" s="25"/>
      <c r="AM42" s="25"/>
      <c r="AN42" s="25"/>
      <c r="AO42" s="25"/>
      <c r="AP42" s="25"/>
      <c r="AQ42" s="25"/>
      <c r="AR42" s="25"/>
      <c r="AS42" s="25"/>
      <c r="AT42" s="25"/>
      <c r="AU42" s="25"/>
      <c r="AV42" s="25"/>
      <c r="AW42" s="25"/>
      <c r="AX42" s="25"/>
      <c r="AY42" s="25"/>
      <c r="AZ42" s="25"/>
      <c r="BA42" s="25"/>
      <c r="BB42" s="25"/>
      <c r="BC42" s="25"/>
      <c r="BD42" s="25"/>
      <c r="BE42" s="25"/>
      <c r="BF42" s="25"/>
      <c r="BG42" s="25"/>
      <c r="BH42" s="25"/>
      <c r="BI42" s="25"/>
      <c r="BJ42" s="25"/>
    </row>
    <row r="43" spans="1:62" x14ac:dyDescent="0.25">
      <c r="A43" s="25"/>
      <c r="B43" s="25"/>
      <c r="C43" s="25"/>
      <c r="D43" s="25"/>
      <c r="E43" s="25"/>
      <c r="F43" s="25"/>
      <c r="G43" s="25"/>
      <c r="H43" s="25"/>
      <c r="I43" s="25"/>
      <c r="J43" s="25"/>
      <c r="K43" s="25"/>
      <c r="L43" s="25"/>
      <c r="M43" s="25"/>
      <c r="N43" s="25"/>
      <c r="O43" s="25"/>
      <c r="P43" s="25"/>
      <c r="Q43" s="25"/>
      <c r="R43" s="25"/>
      <c r="S43" s="25"/>
      <c r="T43" s="25"/>
      <c r="U43" s="25"/>
      <c r="V43" s="25"/>
      <c r="W43" s="25"/>
      <c r="X43" s="25"/>
      <c r="Y43" s="25"/>
      <c r="Z43" s="25"/>
      <c r="AA43" s="25"/>
      <c r="AB43" s="25"/>
      <c r="AC43" s="25"/>
      <c r="AD43" s="25"/>
      <c r="AE43" s="25"/>
      <c r="AF43" s="25"/>
      <c r="AG43" s="25"/>
      <c r="AH43" s="25"/>
      <c r="AI43" s="25"/>
      <c r="AJ43" s="25"/>
      <c r="AK43" s="25"/>
      <c r="AL43" s="25"/>
      <c r="AM43" s="25"/>
      <c r="AN43" s="25"/>
      <c r="AO43" s="25"/>
      <c r="AP43" s="25"/>
      <c r="AQ43" s="25"/>
      <c r="AR43" s="25"/>
      <c r="AS43" s="25"/>
      <c r="AT43" s="25"/>
      <c r="AU43" s="25"/>
      <c r="AV43" s="25"/>
      <c r="AW43" s="25"/>
      <c r="AX43" s="25"/>
      <c r="AY43" s="25"/>
      <c r="AZ43" s="25"/>
      <c r="BA43" s="25"/>
      <c r="BB43" s="25"/>
      <c r="BC43" s="25"/>
      <c r="BD43" s="25"/>
      <c r="BE43" s="25"/>
      <c r="BF43" s="25"/>
      <c r="BG43" s="25"/>
      <c r="BH43" s="25"/>
      <c r="BI43" s="25"/>
      <c r="BJ43" s="25"/>
    </row>
    <row r="44" spans="1:62" x14ac:dyDescent="0.25">
      <c r="A44" s="25"/>
      <c r="B44" s="25"/>
      <c r="C44" s="25"/>
      <c r="D44" s="25"/>
      <c r="E44" s="25"/>
      <c r="F44" s="25"/>
      <c r="G44" s="25"/>
      <c r="H44" s="25"/>
      <c r="I44" s="25"/>
      <c r="J44" s="25"/>
      <c r="K44" s="25"/>
      <c r="L44" s="25"/>
      <c r="M44" s="25"/>
      <c r="N44" s="25"/>
      <c r="O44" s="25"/>
      <c r="P44" s="25"/>
      <c r="Q44" s="25"/>
      <c r="R44" s="25"/>
      <c r="S44" s="25"/>
      <c r="T44" s="25"/>
      <c r="U44" s="25"/>
      <c r="V44" s="25"/>
      <c r="W44" s="25"/>
      <c r="X44" s="25"/>
      <c r="Y44" s="25"/>
      <c r="Z44" s="25"/>
      <c r="AA44" s="25"/>
      <c r="AB44" s="25"/>
      <c r="AC44" s="25"/>
      <c r="AD44" s="25"/>
      <c r="AE44" s="25"/>
      <c r="AF44" s="25"/>
      <c r="AG44" s="25"/>
      <c r="AH44" s="25"/>
      <c r="AI44" s="25"/>
      <c r="AJ44" s="25"/>
      <c r="AK44" s="25"/>
      <c r="AL44" s="25"/>
      <c r="AM44" s="25"/>
      <c r="AN44" s="25"/>
      <c r="AO44" s="25"/>
      <c r="AP44" s="25"/>
      <c r="AQ44" s="25"/>
      <c r="AR44" s="25"/>
      <c r="AS44" s="25"/>
      <c r="AT44" s="25"/>
      <c r="AU44" s="25"/>
      <c r="AV44" s="25"/>
      <c r="AW44" s="25"/>
      <c r="AX44" s="25"/>
      <c r="AY44" s="25"/>
      <c r="AZ44" s="25"/>
      <c r="BA44" s="25"/>
      <c r="BB44" s="25"/>
      <c r="BC44" s="25"/>
      <c r="BD44" s="25"/>
      <c r="BE44" s="25"/>
      <c r="BF44" s="25"/>
      <c r="BG44" s="25"/>
      <c r="BH44" s="25"/>
      <c r="BI44" s="25"/>
      <c r="BJ44" s="25"/>
    </row>
    <row r="45" spans="1:62" x14ac:dyDescent="0.25">
      <c r="A45" s="25"/>
      <c r="B45" s="25"/>
      <c r="C45" s="25"/>
      <c r="D45" s="25"/>
      <c r="E45" s="25"/>
      <c r="F45" s="25"/>
      <c r="G45" s="25"/>
      <c r="H45" s="25"/>
      <c r="I45" s="25"/>
      <c r="J45" s="25"/>
      <c r="K45" s="25"/>
      <c r="L45" s="25"/>
      <c r="M45" s="25"/>
      <c r="N45" s="25"/>
      <c r="O45" s="25"/>
      <c r="P45" s="25"/>
      <c r="Q45" s="25"/>
      <c r="R45" s="25"/>
      <c r="S45" s="25"/>
      <c r="T45" s="25"/>
      <c r="U45" s="25"/>
      <c r="V45" s="25"/>
      <c r="W45" s="25"/>
      <c r="X45" s="25"/>
      <c r="Y45" s="25"/>
      <c r="Z45" s="25"/>
      <c r="AA45" s="25"/>
      <c r="AB45" s="25"/>
      <c r="AC45" s="25"/>
      <c r="AD45" s="25"/>
      <c r="AE45" s="25"/>
      <c r="AF45" s="25"/>
      <c r="AG45" s="25"/>
      <c r="AH45" s="25"/>
      <c r="AI45" s="25"/>
      <c r="AJ45" s="25"/>
      <c r="AK45" s="25"/>
      <c r="AL45" s="25"/>
      <c r="AM45" s="25"/>
      <c r="AN45" s="25"/>
      <c r="AO45" s="25"/>
      <c r="AP45" s="25"/>
      <c r="AQ45" s="25"/>
      <c r="AR45" s="25"/>
      <c r="AS45" s="25"/>
      <c r="AT45" s="25"/>
      <c r="AU45" s="25"/>
      <c r="AV45" s="25"/>
      <c r="AW45" s="25"/>
      <c r="AX45" s="25"/>
      <c r="AY45" s="25"/>
      <c r="AZ45" s="25"/>
      <c r="BA45" s="25"/>
      <c r="BB45" s="25"/>
      <c r="BC45" s="25"/>
      <c r="BD45" s="25"/>
      <c r="BE45" s="25"/>
      <c r="BF45" s="25"/>
      <c r="BG45" s="25"/>
      <c r="BH45" s="25"/>
      <c r="BI45" s="25"/>
      <c r="BJ45" s="25"/>
    </row>
    <row r="46" spans="1:62" x14ac:dyDescent="0.25">
      <c r="A46" s="25"/>
      <c r="B46" s="25"/>
      <c r="C46" s="25"/>
      <c r="D46" s="25"/>
      <c r="E46" s="25"/>
      <c r="F46" s="25"/>
      <c r="G46" s="25"/>
      <c r="H46" s="25"/>
      <c r="I46" s="25"/>
      <c r="J46" s="25"/>
      <c r="K46" s="25"/>
      <c r="L46" s="25"/>
      <c r="M46" s="25"/>
      <c r="N46" s="25"/>
      <c r="O46" s="25"/>
      <c r="P46" s="25"/>
      <c r="Q46" s="25"/>
      <c r="R46" s="25"/>
      <c r="S46" s="25"/>
      <c r="T46" s="25"/>
      <c r="U46" s="25"/>
      <c r="V46" s="25"/>
      <c r="W46" s="25"/>
      <c r="X46" s="25"/>
      <c r="Y46" s="25"/>
      <c r="Z46" s="25"/>
      <c r="AA46" s="25"/>
      <c r="AB46" s="25"/>
      <c r="AC46" s="25"/>
      <c r="AD46" s="25"/>
      <c r="AE46" s="25"/>
      <c r="AF46" s="25"/>
      <c r="AG46" s="25"/>
      <c r="AH46" s="25"/>
      <c r="AI46" s="25"/>
      <c r="AJ46" s="25"/>
      <c r="AK46" s="25"/>
      <c r="AL46" s="25"/>
      <c r="AM46" s="25"/>
      <c r="AN46" s="25"/>
      <c r="AO46" s="25"/>
      <c r="AP46" s="25"/>
      <c r="AQ46" s="25"/>
      <c r="AR46" s="25"/>
      <c r="AS46" s="25"/>
      <c r="AT46" s="25"/>
      <c r="AU46" s="25"/>
      <c r="AV46" s="25"/>
      <c r="AW46" s="25"/>
      <c r="AX46" s="25"/>
      <c r="AY46" s="25"/>
      <c r="AZ46" s="25"/>
      <c r="BA46" s="25"/>
      <c r="BB46" s="25"/>
      <c r="BC46" s="25"/>
      <c r="BD46" s="25"/>
      <c r="BE46" s="25"/>
      <c r="BF46" s="25"/>
      <c r="BG46" s="25"/>
      <c r="BH46" s="25"/>
      <c r="BI46" s="25"/>
      <c r="BJ46" s="25"/>
    </row>
    <row r="47" spans="1:62" x14ac:dyDescent="0.25">
      <c r="A47" s="25"/>
      <c r="B47" s="25"/>
      <c r="C47" s="25"/>
      <c r="D47" s="25"/>
      <c r="E47" s="25"/>
      <c r="F47" s="25"/>
      <c r="G47" s="25"/>
      <c r="H47" s="25"/>
      <c r="I47" s="25"/>
      <c r="J47" s="25"/>
      <c r="K47" s="25"/>
      <c r="L47" s="25"/>
      <c r="M47" s="25"/>
      <c r="N47" s="25"/>
      <c r="O47" s="25"/>
      <c r="P47" s="25"/>
      <c r="Q47" s="25"/>
      <c r="R47" s="25"/>
      <c r="S47" s="25"/>
      <c r="T47" s="25"/>
      <c r="U47" s="25"/>
      <c r="V47" s="25"/>
      <c r="W47" s="25"/>
      <c r="X47" s="25"/>
      <c r="Y47" s="25"/>
      <c r="Z47" s="25"/>
      <c r="AA47" s="25"/>
      <c r="AB47" s="25"/>
      <c r="AC47" s="25"/>
      <c r="AD47" s="25"/>
      <c r="AE47" s="25"/>
      <c r="AF47" s="25"/>
      <c r="AG47" s="25"/>
      <c r="AH47" s="25"/>
      <c r="AI47" s="25"/>
      <c r="AJ47" s="25"/>
      <c r="AK47" s="25"/>
      <c r="AL47" s="25"/>
      <c r="AM47" s="25"/>
      <c r="AN47" s="25"/>
      <c r="AO47" s="25"/>
      <c r="AP47" s="25"/>
      <c r="AQ47" s="25"/>
      <c r="AR47" s="25"/>
      <c r="AS47" s="25"/>
      <c r="AT47" s="25"/>
      <c r="AU47" s="25"/>
      <c r="AV47" s="25"/>
      <c r="AW47" s="25"/>
      <c r="AX47" s="25"/>
      <c r="AY47" s="25"/>
      <c r="AZ47" s="25"/>
      <c r="BA47" s="25"/>
      <c r="BB47" s="25"/>
      <c r="BC47" s="25"/>
      <c r="BD47" s="25"/>
      <c r="BE47" s="25"/>
      <c r="BF47" s="25"/>
      <c r="BG47" s="25"/>
      <c r="BH47" s="25"/>
      <c r="BI47" s="25"/>
      <c r="BJ47" s="25"/>
    </row>
    <row r="48" spans="1:62" x14ac:dyDescent="0.25">
      <c r="A48" s="25"/>
      <c r="B48" s="25"/>
      <c r="C48" s="25"/>
      <c r="D48" s="25"/>
      <c r="E48" s="25"/>
      <c r="F48" s="25"/>
      <c r="G48" s="25"/>
      <c r="H48" s="25"/>
      <c r="I48" s="25"/>
      <c r="J48" s="25"/>
      <c r="K48" s="25"/>
      <c r="L48" s="25"/>
      <c r="M48" s="25"/>
      <c r="N48" s="25"/>
      <c r="O48" s="25"/>
      <c r="P48" s="25"/>
      <c r="Q48" s="25"/>
      <c r="R48" s="25"/>
      <c r="S48" s="25"/>
      <c r="T48" s="25"/>
      <c r="U48" s="25"/>
      <c r="V48" s="25"/>
      <c r="W48" s="25"/>
      <c r="X48" s="25"/>
      <c r="Y48" s="25"/>
      <c r="Z48" s="25"/>
      <c r="AA48" s="25"/>
      <c r="AB48" s="25"/>
      <c r="AC48" s="25"/>
      <c r="AD48" s="25"/>
      <c r="AE48" s="25"/>
      <c r="AF48" s="25"/>
      <c r="AG48" s="25"/>
      <c r="AH48" s="25"/>
      <c r="AI48" s="25"/>
      <c r="AJ48" s="25"/>
      <c r="AK48" s="25"/>
      <c r="AL48" s="25"/>
      <c r="AM48" s="25"/>
      <c r="AN48" s="25"/>
      <c r="AO48" s="25"/>
      <c r="AP48" s="25"/>
      <c r="AQ48" s="25"/>
      <c r="AR48" s="25"/>
      <c r="AS48" s="25"/>
      <c r="AT48" s="25"/>
      <c r="AU48" s="25"/>
      <c r="AV48" s="25"/>
      <c r="AW48" s="25"/>
      <c r="AX48" s="25"/>
      <c r="AY48" s="25"/>
      <c r="AZ48" s="25"/>
      <c r="BA48" s="25"/>
      <c r="BB48" s="25"/>
      <c r="BC48" s="25"/>
      <c r="BD48" s="25"/>
      <c r="BE48" s="25"/>
      <c r="BF48" s="25"/>
      <c r="BG48" s="25"/>
      <c r="BH48" s="25"/>
      <c r="BI48" s="25"/>
      <c r="BJ48" s="25"/>
    </row>
    <row r="49" spans="1:62" x14ac:dyDescent="0.25">
      <c r="A49" s="25"/>
      <c r="B49" s="25"/>
      <c r="C49" s="25"/>
      <c r="D49" s="25"/>
      <c r="E49" s="25"/>
      <c r="F49" s="25"/>
      <c r="G49" s="25"/>
      <c r="H49" s="25"/>
      <c r="I49" s="25"/>
      <c r="J49" s="25"/>
      <c r="K49" s="25"/>
      <c r="L49" s="25"/>
      <c r="M49" s="25"/>
      <c r="N49" s="25"/>
      <c r="O49" s="25"/>
      <c r="P49" s="25"/>
      <c r="Q49" s="25"/>
      <c r="R49" s="25"/>
      <c r="S49" s="25"/>
      <c r="T49" s="25"/>
      <c r="U49" s="25"/>
      <c r="V49" s="25"/>
      <c r="W49" s="25"/>
      <c r="X49" s="25"/>
      <c r="Y49" s="25"/>
      <c r="Z49" s="25"/>
      <c r="AA49" s="25"/>
      <c r="AB49" s="25"/>
      <c r="AC49" s="25"/>
      <c r="AD49" s="25"/>
      <c r="AE49" s="25"/>
      <c r="AF49" s="25"/>
      <c r="AG49" s="25"/>
      <c r="AH49" s="25"/>
      <c r="AI49" s="25"/>
      <c r="AJ49" s="25"/>
      <c r="AK49" s="25"/>
      <c r="AL49" s="25"/>
      <c r="AM49" s="25"/>
      <c r="AN49" s="25"/>
      <c r="AO49" s="25"/>
      <c r="AP49" s="25"/>
      <c r="AQ49" s="25"/>
      <c r="AR49" s="25"/>
      <c r="AS49" s="25"/>
      <c r="AT49" s="25"/>
      <c r="AU49" s="25"/>
      <c r="AV49" s="25"/>
      <c r="AW49" s="25"/>
      <c r="AX49" s="25"/>
      <c r="AY49" s="25"/>
      <c r="AZ49" s="25"/>
      <c r="BA49" s="25"/>
      <c r="BB49" s="25"/>
      <c r="BC49" s="25"/>
      <c r="BD49" s="25"/>
      <c r="BE49" s="25"/>
      <c r="BF49" s="25"/>
      <c r="BG49" s="25"/>
      <c r="BH49" s="25"/>
      <c r="BI49" s="25"/>
      <c r="BJ49" s="25"/>
    </row>
    <row r="50" spans="1:62" x14ac:dyDescent="0.25">
      <c r="A50" s="25"/>
      <c r="B50" s="25"/>
      <c r="C50" s="25"/>
      <c r="D50" s="25"/>
      <c r="E50" s="25"/>
      <c r="F50" s="25"/>
      <c r="G50" s="25"/>
      <c r="H50" s="25"/>
      <c r="I50" s="25"/>
      <c r="J50" s="25"/>
      <c r="K50" s="25"/>
      <c r="L50" s="25"/>
      <c r="M50" s="25"/>
      <c r="N50" s="25"/>
      <c r="O50" s="25"/>
      <c r="P50" s="25"/>
      <c r="Q50" s="25"/>
      <c r="R50" s="25"/>
      <c r="S50" s="25"/>
      <c r="T50" s="25"/>
      <c r="U50" s="25"/>
      <c r="V50" s="25"/>
      <c r="W50" s="25"/>
      <c r="X50" s="25"/>
      <c r="Y50" s="25"/>
      <c r="Z50" s="25"/>
      <c r="AA50" s="25"/>
      <c r="AB50" s="25"/>
      <c r="AC50" s="25"/>
      <c r="AD50" s="25"/>
      <c r="AE50" s="25"/>
      <c r="AF50" s="25"/>
      <c r="AG50" s="25"/>
      <c r="AH50" s="25"/>
      <c r="AI50" s="25"/>
      <c r="AJ50" s="25"/>
      <c r="AK50" s="25"/>
      <c r="AL50" s="25"/>
      <c r="AM50" s="25"/>
      <c r="AN50" s="25"/>
      <c r="AO50" s="25"/>
      <c r="AP50" s="25"/>
      <c r="AQ50" s="25"/>
      <c r="AR50" s="25"/>
      <c r="AS50" s="25"/>
      <c r="AT50" s="25"/>
      <c r="AU50" s="25"/>
      <c r="AV50" s="25"/>
      <c r="AW50" s="25"/>
      <c r="AX50" s="25"/>
      <c r="AY50" s="25"/>
      <c r="AZ50" s="25"/>
      <c r="BA50" s="25"/>
      <c r="BB50" s="25"/>
      <c r="BC50" s="25"/>
      <c r="BD50" s="25"/>
      <c r="BE50" s="25"/>
      <c r="BF50" s="25"/>
      <c r="BG50" s="25"/>
      <c r="BH50" s="25"/>
      <c r="BI50" s="25"/>
      <c r="BJ50" s="25"/>
    </row>
  </sheetData>
  <dataValidations count="3">
    <dataValidation type="whole" operator="greaterThan" allowBlank="1" showInputMessage="1" showErrorMessage="1" errorTitle="Data Type Error" error="Should be Number not Text." sqref="A2:A1048576" xr:uid="{A6ADF0DC-7AAD-47FC-8638-93A27269DF01}">
      <formula1>0</formula1>
    </dataValidation>
    <dataValidation type="decimal" operator="greaterThan" allowBlank="1" showInputMessage="1" showErrorMessage="1" errorTitle="Data Type Error" error="Should be Number not Text" sqref="B51:E1048576" xr:uid="{197AD6D9-E8BD-46AF-800E-8986E0AF45CE}">
      <formula1>0</formula1>
    </dataValidation>
    <dataValidation type="decimal" operator="greaterThanOrEqual" allowBlank="1" showInputMessage="1" showErrorMessage="1" errorTitle="Data Type Error" error="Should be greater than or equal to 0" sqref="B2:BJ50" xr:uid="{EDAA6294-95CB-491E-82BB-59402825FA8A}">
      <formula1>0</formula1>
    </dataValidation>
  </dataValidations>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D2092F-E70E-4886-B534-0BA860A7A0A7}">
  <sheetPr codeName="Sheet30">
    <tabColor rgb="FFA3B8BA"/>
  </sheetPr>
  <dimension ref="A1:BW50"/>
  <sheetViews>
    <sheetView zoomScale="98" zoomScaleNormal="98" workbookViewId="0">
      <pane xSplit="1" topLeftCell="B1" activePane="topRight" state="frozen"/>
      <selection pane="topRight" activeCell="C18" sqref="C18"/>
    </sheetView>
  </sheetViews>
  <sheetFormatPr defaultColWidth="0" defaultRowHeight="15" zeroHeight="1" x14ac:dyDescent="0.25"/>
  <cols>
    <col min="1" max="1" width="7" bestFit="1" customWidth="1"/>
    <col min="2" max="2" width="22.5703125" bestFit="1" customWidth="1"/>
    <col min="3" max="3" width="21.7109375" customWidth="1"/>
    <col min="4" max="4" width="22" customWidth="1"/>
    <col min="5" max="5" width="26.7109375" customWidth="1"/>
    <col min="6" max="6" width="21.7109375" customWidth="1"/>
    <col min="7" max="7" width="22" customWidth="1"/>
    <col min="8" max="8" width="26.7109375" customWidth="1"/>
    <col min="9" max="9" width="21.7109375" hidden="1" customWidth="1"/>
    <col min="10" max="10" width="22" hidden="1" customWidth="1"/>
    <col min="11" max="11" width="26.7109375" hidden="1" customWidth="1"/>
    <col min="12" max="12" width="21.7109375" hidden="1" customWidth="1"/>
    <col min="13" max="13" width="22" hidden="1" customWidth="1"/>
    <col min="14" max="14" width="26.7109375" hidden="1" customWidth="1"/>
    <col min="15" max="15" width="21.7109375" hidden="1" customWidth="1"/>
    <col min="16" max="16" width="22" hidden="1" customWidth="1"/>
    <col min="17" max="17" width="26.7109375" hidden="1" customWidth="1"/>
    <col min="18" max="18" width="22.7109375" hidden="1" customWidth="1"/>
    <col min="19" max="19" width="22" hidden="1" customWidth="1"/>
    <col min="20" max="20" width="26.7109375" hidden="1" customWidth="1"/>
    <col min="21" max="21" width="21.7109375" hidden="1"/>
    <col min="22" max="22" width="22" hidden="1"/>
    <col min="23" max="23" width="26.7109375" hidden="1"/>
    <col min="24" max="24" width="21.7109375" hidden="1"/>
    <col min="25" max="25" width="22" hidden="1"/>
    <col min="26" max="26" width="26.7109375" hidden="1"/>
    <col min="27" max="27" width="21.7109375" hidden="1"/>
    <col min="28" max="28" width="22" hidden="1"/>
    <col min="29" max="29" width="26.7109375" hidden="1"/>
    <col min="30" max="30" width="22.7109375" hidden="1"/>
    <col min="31" max="31" width="23" hidden="1"/>
    <col min="32" max="32" width="27.7109375" hidden="1"/>
    <col min="33" max="33" width="22.7109375" hidden="1"/>
    <col min="34" max="34" width="23" hidden="1"/>
    <col min="35" max="35" width="27.7109375" hidden="1"/>
    <col min="36" max="36" width="22.7109375" hidden="1"/>
    <col min="37" max="37" width="23" hidden="1"/>
    <col min="38" max="38" width="27.7109375" hidden="1"/>
    <col min="39" max="39" width="23.7109375" hidden="1"/>
    <col min="40" max="40" width="23" hidden="1"/>
    <col min="41" max="41" width="27.7109375" hidden="1"/>
    <col min="42" max="42" width="22.7109375" hidden="1"/>
    <col min="43" max="43" width="23" hidden="1"/>
    <col min="44" max="44" width="27.7109375" hidden="1"/>
    <col min="45" max="45" width="22.7109375" hidden="1"/>
    <col min="46" max="46" width="23" hidden="1"/>
    <col min="47" max="47" width="27.7109375" hidden="1"/>
    <col min="48" max="48" width="22.7109375" hidden="1"/>
    <col min="49" max="49" width="23" hidden="1"/>
    <col min="50" max="50" width="27.7109375" hidden="1"/>
    <col min="51" max="51" width="22.7109375" hidden="1"/>
    <col min="52" max="52" width="23" hidden="1"/>
    <col min="53" max="53" width="27.7109375" hidden="1"/>
    <col min="54" max="54" width="22.7109375" hidden="1"/>
    <col min="55" max="55" width="23" hidden="1"/>
    <col min="56" max="56" width="27.7109375" hidden="1"/>
    <col min="57" max="57" width="22.7109375" hidden="1"/>
    <col min="58" max="58" width="23" hidden="1"/>
    <col min="59" max="59" width="27.7109375" hidden="1"/>
    <col min="60" max="60" width="23.7109375" hidden="1"/>
    <col min="61" max="61" width="23" hidden="1"/>
    <col min="62" max="62" width="27.7109375" hidden="1"/>
    <col min="63" max="75" width="8.85546875" hidden="1"/>
  </cols>
  <sheetData>
    <row r="1" spans="1:62" x14ac:dyDescent="0.25">
      <c r="A1" s="66" t="s">
        <v>0</v>
      </c>
      <c r="B1" s="66" t="s">
        <v>5</v>
      </c>
      <c r="C1" s="66" t="s">
        <v>7</v>
      </c>
      <c r="D1" s="66" t="s">
        <v>6</v>
      </c>
      <c r="E1" s="66" t="s">
        <v>121</v>
      </c>
      <c r="F1" s="66" t="s">
        <v>122</v>
      </c>
      <c r="G1" s="66" t="s">
        <v>123</v>
      </c>
      <c r="H1" s="66" t="s">
        <v>124</v>
      </c>
      <c r="I1" s="1" t="s">
        <v>125</v>
      </c>
      <c r="J1" s="1" t="s">
        <v>126</v>
      </c>
      <c r="K1" s="1" t="s">
        <v>127</v>
      </c>
      <c r="L1" s="1" t="s">
        <v>128</v>
      </c>
      <c r="M1" s="1" t="s">
        <v>129</v>
      </c>
      <c r="N1" s="1" t="s">
        <v>130</v>
      </c>
      <c r="O1" s="1" t="s">
        <v>131</v>
      </c>
      <c r="P1" s="1" t="s">
        <v>132</v>
      </c>
      <c r="Q1" s="1" t="s">
        <v>133</v>
      </c>
      <c r="R1" s="1" t="s">
        <v>134</v>
      </c>
      <c r="S1" s="1" t="s">
        <v>135</v>
      </c>
      <c r="T1" s="1" t="s">
        <v>136</v>
      </c>
      <c r="U1" s="1" t="s">
        <v>137</v>
      </c>
      <c r="V1" s="1" t="s">
        <v>138</v>
      </c>
      <c r="W1" s="1" t="s">
        <v>139</v>
      </c>
      <c r="X1" s="27" t="s">
        <v>140</v>
      </c>
      <c r="Y1" s="27" t="s">
        <v>141</v>
      </c>
      <c r="Z1" s="27" t="s">
        <v>142</v>
      </c>
      <c r="AA1" s="27" t="s">
        <v>143</v>
      </c>
      <c r="AB1" s="27" t="s">
        <v>144</v>
      </c>
      <c r="AC1" s="27" t="s">
        <v>145</v>
      </c>
      <c r="AD1" s="27" t="s">
        <v>146</v>
      </c>
      <c r="AE1" s="27" t="s">
        <v>147</v>
      </c>
      <c r="AF1" s="27" t="s">
        <v>148</v>
      </c>
      <c r="AG1" s="27" t="s">
        <v>149</v>
      </c>
      <c r="AH1" s="27" t="s">
        <v>150</v>
      </c>
      <c r="AI1" s="27" t="s">
        <v>151</v>
      </c>
      <c r="AJ1" s="27" t="s">
        <v>152</v>
      </c>
      <c r="AK1" s="27" t="s">
        <v>153</v>
      </c>
      <c r="AL1" s="27" t="s">
        <v>154</v>
      </c>
      <c r="AM1" s="27" t="s">
        <v>155</v>
      </c>
      <c r="AN1" s="27" t="s">
        <v>156</v>
      </c>
      <c r="AO1" s="27" t="s">
        <v>157</v>
      </c>
      <c r="AP1" s="27" t="s">
        <v>158</v>
      </c>
      <c r="AQ1" s="27" t="s">
        <v>159</v>
      </c>
      <c r="AR1" s="28" t="s">
        <v>160</v>
      </c>
      <c r="AS1" s="27" t="s">
        <v>161</v>
      </c>
      <c r="AT1" s="27" t="s">
        <v>162</v>
      </c>
      <c r="AU1" s="27" t="s">
        <v>163</v>
      </c>
      <c r="AV1" s="27" t="s">
        <v>164</v>
      </c>
      <c r="AW1" s="27" t="s">
        <v>165</v>
      </c>
      <c r="AX1" s="27" t="s">
        <v>166</v>
      </c>
      <c r="AY1" s="27" t="s">
        <v>167</v>
      </c>
      <c r="AZ1" s="27" t="s">
        <v>168</v>
      </c>
      <c r="BA1" s="27" t="s">
        <v>176</v>
      </c>
      <c r="BB1" s="27" t="s">
        <v>177</v>
      </c>
      <c r="BC1" s="27" t="s">
        <v>178</v>
      </c>
      <c r="BD1" s="27" t="s">
        <v>169</v>
      </c>
      <c r="BE1" s="27" t="s">
        <v>170</v>
      </c>
      <c r="BF1" s="27" t="s">
        <v>171</v>
      </c>
      <c r="BG1" s="27" t="s">
        <v>172</v>
      </c>
      <c r="BH1" s="27" t="s">
        <v>173</v>
      </c>
      <c r="BI1" s="27" t="s">
        <v>174</v>
      </c>
      <c r="BJ1" s="27" t="s">
        <v>175</v>
      </c>
    </row>
    <row r="2" spans="1:62" x14ac:dyDescent="0.25">
      <c r="A2">
        <v>2023</v>
      </c>
      <c r="B2" s="25">
        <v>100</v>
      </c>
      <c r="C2">
        <v>100</v>
      </c>
      <c r="D2">
        <v>100</v>
      </c>
      <c r="E2">
        <v>100</v>
      </c>
      <c r="F2">
        <v>100</v>
      </c>
      <c r="G2">
        <v>100</v>
      </c>
      <c r="H2">
        <v>100</v>
      </c>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25"/>
      <c r="AT2" s="25"/>
      <c r="AU2" s="25"/>
      <c r="AV2" s="25"/>
      <c r="AW2" s="25"/>
      <c r="AX2" s="25"/>
      <c r="AY2" s="25"/>
      <c r="AZ2" s="25"/>
      <c r="BA2" s="25"/>
      <c r="BB2" s="25"/>
      <c r="BC2" s="25"/>
      <c r="BD2" s="25"/>
      <c r="BE2" s="25"/>
      <c r="BF2" s="25"/>
      <c r="BG2" s="25"/>
      <c r="BH2" s="25"/>
      <c r="BI2" s="25"/>
      <c r="BJ2" s="25"/>
    </row>
    <row r="3" spans="1:62" x14ac:dyDescent="0.25">
      <c r="A3">
        <v>2024</v>
      </c>
      <c r="B3" s="25">
        <v>100</v>
      </c>
      <c r="C3">
        <v>100</v>
      </c>
      <c r="D3">
        <v>100</v>
      </c>
      <c r="E3">
        <v>100</v>
      </c>
      <c r="F3">
        <v>100</v>
      </c>
      <c r="G3">
        <v>100</v>
      </c>
      <c r="H3">
        <v>100</v>
      </c>
      <c r="I3" s="25"/>
      <c r="J3" s="25"/>
      <c r="K3" s="25"/>
      <c r="L3" s="25"/>
      <c r="M3" s="25"/>
      <c r="N3" s="25"/>
      <c r="O3" s="25"/>
      <c r="P3" s="25"/>
      <c r="Q3" s="25"/>
      <c r="R3" s="25"/>
      <c r="S3" s="25"/>
      <c r="T3" s="25"/>
      <c r="U3" s="25"/>
      <c r="V3" s="25"/>
      <c r="W3" s="25"/>
      <c r="X3" s="25"/>
      <c r="Y3" s="25"/>
      <c r="Z3" s="25"/>
      <c r="AA3" s="25"/>
      <c r="AB3" s="25"/>
      <c r="AC3" s="25"/>
      <c r="AD3" s="25"/>
      <c r="AE3" s="25"/>
      <c r="AF3" s="25"/>
      <c r="AG3" s="25"/>
      <c r="AH3" s="25"/>
      <c r="AI3" s="25"/>
      <c r="AJ3" s="25"/>
      <c r="AK3" s="25"/>
      <c r="AL3" s="25"/>
      <c r="AM3" s="25"/>
      <c r="AN3" s="25"/>
      <c r="AO3" s="25"/>
      <c r="AP3" s="25"/>
      <c r="AQ3" s="25"/>
      <c r="AR3" s="25"/>
      <c r="AS3" s="25"/>
      <c r="AT3" s="25"/>
      <c r="AU3" s="25"/>
      <c r="AV3" s="25"/>
      <c r="AW3" s="25"/>
      <c r="AX3" s="25"/>
      <c r="AY3" s="25"/>
      <c r="AZ3" s="25"/>
      <c r="BA3" s="25"/>
      <c r="BB3" s="25"/>
      <c r="BC3" s="25"/>
      <c r="BD3" s="25"/>
      <c r="BE3" s="25"/>
      <c r="BF3" s="25"/>
      <c r="BG3" s="25"/>
      <c r="BH3" s="25"/>
      <c r="BI3" s="25"/>
      <c r="BJ3" s="25"/>
    </row>
    <row r="4" spans="1:62" x14ac:dyDescent="0.25">
      <c r="A4">
        <v>2025</v>
      </c>
      <c r="B4" s="25">
        <v>100</v>
      </c>
      <c r="C4">
        <v>100</v>
      </c>
      <c r="D4">
        <v>100</v>
      </c>
      <c r="E4">
        <v>100</v>
      </c>
      <c r="F4">
        <v>100</v>
      </c>
      <c r="G4">
        <v>100</v>
      </c>
      <c r="H4">
        <v>100</v>
      </c>
      <c r="I4" s="25"/>
      <c r="J4" s="25"/>
      <c r="K4" s="25"/>
      <c r="L4" s="25"/>
      <c r="M4" s="25"/>
      <c r="N4" s="25"/>
      <c r="O4" s="25"/>
      <c r="P4" s="25"/>
      <c r="Q4" s="25"/>
      <c r="R4" s="25"/>
      <c r="S4" s="25"/>
      <c r="T4" s="25"/>
      <c r="U4" s="25"/>
      <c r="V4" s="25"/>
      <c r="W4" s="25"/>
      <c r="X4" s="25"/>
      <c r="Y4" s="25"/>
      <c r="Z4" s="25"/>
      <c r="AA4" s="25"/>
      <c r="AB4" s="25"/>
      <c r="AC4" s="25"/>
      <c r="AD4" s="25"/>
      <c r="AE4" s="25"/>
      <c r="AF4" s="25"/>
      <c r="AG4" s="25"/>
      <c r="AH4" s="25"/>
      <c r="AI4" s="25"/>
      <c r="AJ4" s="25"/>
      <c r="AK4" s="25"/>
      <c r="AL4" s="25"/>
      <c r="AM4" s="25"/>
      <c r="AN4" s="25"/>
      <c r="AO4" s="25"/>
      <c r="AP4" s="25"/>
      <c r="AQ4" s="25"/>
      <c r="AR4" s="25"/>
      <c r="AS4" s="25"/>
      <c r="AT4" s="25"/>
      <c r="AU4" s="25"/>
      <c r="AV4" s="25"/>
      <c r="AW4" s="25"/>
      <c r="AX4" s="25"/>
      <c r="AY4" s="25"/>
      <c r="AZ4" s="25"/>
      <c r="BA4" s="25"/>
      <c r="BB4" s="25"/>
      <c r="BC4" s="25"/>
      <c r="BD4" s="25"/>
      <c r="BE4" s="25"/>
      <c r="BF4" s="25"/>
      <c r="BG4" s="25"/>
      <c r="BH4" s="25"/>
      <c r="BI4" s="25"/>
      <c r="BJ4" s="25"/>
    </row>
    <row r="5" spans="1:62" x14ac:dyDescent="0.25">
      <c r="A5">
        <v>2026</v>
      </c>
      <c r="B5" s="25">
        <v>100</v>
      </c>
      <c r="C5">
        <v>100</v>
      </c>
      <c r="D5">
        <v>100</v>
      </c>
      <c r="E5">
        <v>100</v>
      </c>
      <c r="F5">
        <v>100</v>
      </c>
      <c r="G5">
        <v>100</v>
      </c>
      <c r="H5">
        <v>100</v>
      </c>
      <c r="I5" s="25"/>
      <c r="J5" s="25"/>
      <c r="K5" s="25"/>
      <c r="L5" s="25"/>
      <c r="M5" s="25"/>
      <c r="N5" s="25"/>
      <c r="O5" s="25"/>
      <c r="P5" s="25"/>
      <c r="Q5" s="25"/>
      <c r="R5" s="25"/>
      <c r="S5" s="25"/>
      <c r="T5" s="25"/>
      <c r="U5" s="25"/>
      <c r="V5" s="25"/>
      <c r="W5" s="25"/>
      <c r="X5" s="25"/>
      <c r="Y5" s="25"/>
      <c r="Z5" s="25"/>
      <c r="AA5" s="25"/>
      <c r="AB5" s="25"/>
      <c r="AC5" s="25"/>
      <c r="AD5" s="25"/>
      <c r="AE5" s="25"/>
      <c r="AF5" s="25"/>
      <c r="AG5" s="25"/>
      <c r="AH5" s="25"/>
      <c r="AI5" s="25"/>
      <c r="AJ5" s="25"/>
      <c r="AK5" s="25"/>
      <c r="AL5" s="25"/>
      <c r="AM5" s="25"/>
      <c r="AN5" s="25"/>
      <c r="AO5" s="25"/>
      <c r="AP5" s="25"/>
      <c r="AQ5" s="25"/>
      <c r="AR5" s="25"/>
      <c r="AS5" s="25"/>
      <c r="AT5" s="25"/>
      <c r="AU5" s="25"/>
      <c r="AV5" s="25"/>
      <c r="AW5" s="25"/>
      <c r="AX5" s="25"/>
      <c r="AY5" s="25"/>
      <c r="AZ5" s="25"/>
      <c r="BA5" s="25"/>
      <c r="BB5" s="25"/>
      <c r="BC5" s="25"/>
      <c r="BD5" s="25"/>
      <c r="BE5" s="25"/>
      <c r="BF5" s="25"/>
      <c r="BG5" s="25"/>
      <c r="BH5" s="25"/>
      <c r="BI5" s="25"/>
      <c r="BJ5" s="25"/>
    </row>
    <row r="6" spans="1:62" x14ac:dyDescent="0.25">
      <c r="A6">
        <v>2027</v>
      </c>
      <c r="B6" s="25">
        <v>100</v>
      </c>
      <c r="C6">
        <v>100</v>
      </c>
      <c r="D6">
        <v>100</v>
      </c>
      <c r="E6">
        <v>100</v>
      </c>
      <c r="F6">
        <v>100</v>
      </c>
      <c r="G6">
        <v>100</v>
      </c>
      <c r="H6">
        <v>100</v>
      </c>
      <c r="I6" s="25"/>
      <c r="J6" s="25"/>
      <c r="K6" s="25"/>
      <c r="L6" s="25"/>
      <c r="M6" s="25"/>
      <c r="N6" s="25"/>
      <c r="O6" s="25"/>
      <c r="P6" s="25"/>
      <c r="Q6" s="25"/>
      <c r="R6" s="25"/>
      <c r="S6" s="25"/>
      <c r="T6" s="25"/>
      <c r="U6" s="25"/>
      <c r="V6" s="25"/>
      <c r="W6" s="25"/>
      <c r="X6" s="25"/>
      <c r="Y6" s="25"/>
      <c r="Z6" s="25"/>
      <c r="AA6" s="25"/>
      <c r="AB6" s="25"/>
      <c r="AC6" s="25"/>
      <c r="AD6" s="25"/>
      <c r="AE6" s="25"/>
      <c r="AF6" s="25"/>
      <c r="AG6" s="25"/>
      <c r="AH6" s="25"/>
      <c r="AI6" s="25"/>
      <c r="AJ6" s="25"/>
      <c r="AK6" s="25"/>
      <c r="AL6" s="25"/>
      <c r="AM6" s="25"/>
      <c r="AN6" s="25"/>
      <c r="AO6" s="25"/>
      <c r="AP6" s="25"/>
      <c r="AQ6" s="25"/>
      <c r="AR6" s="25"/>
      <c r="AS6" s="25"/>
      <c r="AT6" s="25"/>
      <c r="AU6" s="25"/>
      <c r="AV6" s="25"/>
      <c r="AW6" s="25"/>
      <c r="AX6" s="25"/>
      <c r="AY6" s="25"/>
      <c r="AZ6" s="25"/>
      <c r="BA6" s="25"/>
      <c r="BB6" s="25"/>
      <c r="BC6" s="25"/>
      <c r="BD6" s="25"/>
      <c r="BE6" s="25"/>
      <c r="BF6" s="25"/>
      <c r="BG6" s="25"/>
      <c r="BH6" s="25"/>
      <c r="BI6" s="25"/>
      <c r="BJ6" s="25"/>
    </row>
    <row r="7" spans="1:62" x14ac:dyDescent="0.25">
      <c r="A7">
        <v>2028</v>
      </c>
      <c r="B7" s="25">
        <v>100</v>
      </c>
      <c r="C7">
        <v>100</v>
      </c>
      <c r="D7">
        <v>100</v>
      </c>
      <c r="E7">
        <v>100</v>
      </c>
      <c r="F7">
        <v>100</v>
      </c>
      <c r="G7">
        <v>100</v>
      </c>
      <c r="H7">
        <v>100</v>
      </c>
      <c r="I7" s="25"/>
      <c r="J7" s="25"/>
      <c r="K7" s="25"/>
      <c r="L7" s="25"/>
      <c r="M7" s="25"/>
      <c r="N7" s="25"/>
      <c r="O7" s="25"/>
      <c r="P7" s="25"/>
      <c r="Q7" s="25"/>
      <c r="R7" s="25"/>
      <c r="S7" s="25"/>
      <c r="T7" s="25"/>
      <c r="U7" s="25"/>
      <c r="V7" s="25"/>
      <c r="W7" s="25"/>
      <c r="X7" s="25"/>
      <c r="Y7" s="25"/>
      <c r="Z7" s="25"/>
      <c r="AA7" s="25"/>
      <c r="AB7" s="25"/>
      <c r="AC7" s="25"/>
      <c r="AD7" s="25"/>
      <c r="AE7" s="25"/>
      <c r="AF7" s="25"/>
      <c r="AG7" s="25"/>
      <c r="AH7" s="25"/>
      <c r="AI7" s="25"/>
      <c r="AJ7" s="25"/>
      <c r="AK7" s="25"/>
      <c r="AL7" s="25"/>
      <c r="AM7" s="25"/>
      <c r="AN7" s="25"/>
      <c r="AO7" s="25"/>
      <c r="AP7" s="25"/>
      <c r="AQ7" s="25"/>
      <c r="AR7" s="25"/>
      <c r="AS7" s="25"/>
      <c r="AT7" s="25"/>
      <c r="AU7" s="25"/>
      <c r="AV7" s="25"/>
      <c r="AW7" s="25"/>
      <c r="AX7" s="25"/>
      <c r="AY7" s="25"/>
      <c r="AZ7" s="25"/>
      <c r="BA7" s="25"/>
      <c r="BB7" s="25"/>
      <c r="BC7" s="25"/>
      <c r="BD7" s="25"/>
      <c r="BE7" s="25"/>
      <c r="BF7" s="25"/>
      <c r="BG7" s="25"/>
      <c r="BH7" s="25"/>
      <c r="BI7" s="25"/>
      <c r="BJ7" s="25"/>
    </row>
    <row r="8" spans="1:62" x14ac:dyDescent="0.25">
      <c r="A8">
        <v>2029</v>
      </c>
      <c r="B8" s="25">
        <v>100</v>
      </c>
      <c r="C8">
        <v>100</v>
      </c>
      <c r="D8">
        <v>100</v>
      </c>
      <c r="E8">
        <v>100</v>
      </c>
      <c r="F8">
        <v>100</v>
      </c>
      <c r="G8">
        <v>100</v>
      </c>
      <c r="H8">
        <v>100</v>
      </c>
      <c r="I8" s="25"/>
      <c r="J8" s="25"/>
      <c r="K8" s="25"/>
      <c r="L8" s="25"/>
      <c r="M8" s="25"/>
      <c r="N8" s="25"/>
      <c r="O8" s="25"/>
      <c r="P8" s="25"/>
      <c r="Q8" s="25"/>
      <c r="R8" s="25"/>
      <c r="S8" s="25"/>
      <c r="T8" s="25"/>
      <c r="U8" s="25"/>
      <c r="V8" s="25"/>
      <c r="W8" s="25"/>
      <c r="X8" s="25"/>
      <c r="Y8" s="25"/>
      <c r="Z8" s="25"/>
      <c r="AA8" s="25"/>
      <c r="AB8" s="25"/>
      <c r="AC8" s="25"/>
      <c r="AD8" s="25"/>
      <c r="AE8" s="25"/>
      <c r="AF8" s="25"/>
      <c r="AG8" s="25"/>
      <c r="AH8" s="25"/>
      <c r="AI8" s="25"/>
      <c r="AJ8" s="25"/>
      <c r="AK8" s="25"/>
      <c r="AL8" s="25"/>
      <c r="AM8" s="25"/>
      <c r="AN8" s="25"/>
      <c r="AO8" s="25"/>
      <c r="AP8" s="25"/>
      <c r="AQ8" s="25"/>
      <c r="AR8" s="25"/>
      <c r="AS8" s="25"/>
      <c r="AT8" s="25"/>
      <c r="AU8" s="25"/>
      <c r="AV8" s="25"/>
      <c r="AW8" s="25"/>
      <c r="AX8" s="25"/>
      <c r="AY8" s="25"/>
      <c r="AZ8" s="25"/>
      <c r="BA8" s="25"/>
      <c r="BB8" s="25"/>
      <c r="BC8" s="25"/>
      <c r="BD8" s="25"/>
      <c r="BE8" s="25"/>
      <c r="BF8" s="25"/>
      <c r="BG8" s="25"/>
      <c r="BH8" s="25"/>
      <c r="BI8" s="25"/>
      <c r="BJ8" s="25"/>
    </row>
    <row r="9" spans="1:62" x14ac:dyDescent="0.25">
      <c r="A9">
        <v>2030</v>
      </c>
      <c r="B9" s="25">
        <v>100</v>
      </c>
      <c r="C9">
        <v>100</v>
      </c>
      <c r="D9">
        <v>100</v>
      </c>
      <c r="E9">
        <v>100</v>
      </c>
      <c r="F9">
        <v>100</v>
      </c>
      <c r="G9">
        <v>100</v>
      </c>
      <c r="H9">
        <v>100</v>
      </c>
      <c r="I9" s="25"/>
      <c r="J9" s="25"/>
      <c r="K9" s="25"/>
      <c r="L9" s="25"/>
      <c r="M9" s="25"/>
      <c r="N9" s="25"/>
      <c r="O9" s="25"/>
      <c r="P9" s="25"/>
      <c r="Q9" s="25"/>
      <c r="R9" s="25"/>
      <c r="S9" s="25"/>
      <c r="T9" s="25"/>
      <c r="U9" s="25"/>
      <c r="V9" s="25"/>
      <c r="W9" s="25"/>
      <c r="X9" s="25"/>
      <c r="Y9" s="25"/>
      <c r="Z9" s="25"/>
      <c r="AA9" s="25"/>
      <c r="AB9" s="25"/>
      <c r="AC9" s="25"/>
      <c r="AD9" s="25"/>
      <c r="AE9" s="25"/>
      <c r="AF9" s="25"/>
      <c r="AG9" s="25"/>
      <c r="AH9" s="25"/>
      <c r="AI9" s="25"/>
      <c r="AJ9" s="25"/>
      <c r="AK9" s="25"/>
      <c r="AL9" s="25"/>
      <c r="AM9" s="25"/>
      <c r="AN9" s="25"/>
      <c r="AO9" s="25"/>
      <c r="AP9" s="25"/>
      <c r="AQ9" s="25"/>
      <c r="AR9" s="25"/>
      <c r="AS9" s="25"/>
      <c r="AT9" s="25"/>
      <c r="AU9" s="25"/>
      <c r="AV9" s="25"/>
      <c r="AW9" s="25"/>
      <c r="AX9" s="25"/>
      <c r="AY9" s="25"/>
      <c r="AZ9" s="25"/>
      <c r="BA9" s="25"/>
      <c r="BB9" s="25"/>
      <c r="BC9" s="25"/>
      <c r="BD9" s="25"/>
      <c r="BE9" s="25"/>
      <c r="BF9" s="25"/>
      <c r="BG9" s="25"/>
      <c r="BH9" s="25"/>
      <c r="BI9" s="25"/>
      <c r="BJ9" s="25"/>
    </row>
    <row r="10" spans="1:62" x14ac:dyDescent="0.25">
      <c r="A10">
        <v>2031</v>
      </c>
      <c r="B10" s="25">
        <v>25</v>
      </c>
      <c r="C10">
        <v>25</v>
      </c>
      <c r="D10">
        <v>25</v>
      </c>
      <c r="E10">
        <v>25</v>
      </c>
      <c r="F10">
        <v>25</v>
      </c>
      <c r="G10">
        <v>25</v>
      </c>
      <c r="H10">
        <v>25</v>
      </c>
      <c r="I10" s="25"/>
      <c r="J10" s="25"/>
      <c r="K10" s="25"/>
      <c r="L10" s="25"/>
      <c r="M10" s="25"/>
      <c r="N10" s="25"/>
      <c r="O10" s="25"/>
      <c r="P10" s="25"/>
      <c r="Q10" s="25"/>
      <c r="R10" s="25"/>
      <c r="S10" s="25"/>
      <c r="T10" s="25"/>
      <c r="U10" s="25"/>
      <c r="V10" s="25"/>
      <c r="W10" s="25"/>
      <c r="X10" s="25"/>
      <c r="Y10" s="25"/>
      <c r="Z10" s="25"/>
      <c r="AA10" s="25"/>
      <c r="AB10" s="25"/>
      <c r="AC10" s="25"/>
      <c r="AD10" s="25"/>
      <c r="AE10" s="25"/>
      <c r="AF10" s="25"/>
      <c r="AG10" s="25"/>
      <c r="AH10" s="25"/>
      <c r="AI10" s="25"/>
      <c r="AJ10" s="25"/>
      <c r="AK10" s="25"/>
      <c r="AL10" s="25"/>
      <c r="AM10" s="25"/>
      <c r="AN10" s="25"/>
      <c r="AO10" s="25"/>
      <c r="AP10" s="25"/>
      <c r="AQ10" s="25"/>
      <c r="AR10" s="25"/>
      <c r="AS10" s="25"/>
      <c r="AT10" s="25"/>
      <c r="AU10" s="25"/>
      <c r="AV10" s="25"/>
      <c r="AW10" s="25"/>
      <c r="AX10" s="25"/>
      <c r="AY10" s="25"/>
      <c r="AZ10" s="25"/>
      <c r="BA10" s="25"/>
      <c r="BB10" s="25"/>
      <c r="BC10" s="25"/>
      <c r="BD10" s="25"/>
      <c r="BE10" s="25"/>
      <c r="BF10" s="25"/>
      <c r="BG10" s="25"/>
      <c r="BH10" s="25"/>
      <c r="BI10" s="25"/>
      <c r="BJ10" s="25"/>
    </row>
    <row r="11" spans="1:62" x14ac:dyDescent="0.25">
      <c r="A11">
        <v>2032</v>
      </c>
      <c r="B11" s="25">
        <v>25</v>
      </c>
      <c r="C11">
        <v>25</v>
      </c>
      <c r="D11">
        <v>25</v>
      </c>
      <c r="E11">
        <v>25</v>
      </c>
      <c r="F11">
        <v>25</v>
      </c>
      <c r="G11">
        <v>25</v>
      </c>
      <c r="H11">
        <v>25</v>
      </c>
      <c r="I11" s="25"/>
      <c r="J11" s="25"/>
      <c r="K11" s="25"/>
      <c r="L11" s="25"/>
      <c r="M11" s="25"/>
      <c r="N11" s="25"/>
      <c r="O11" s="25"/>
      <c r="P11" s="25"/>
      <c r="Q11" s="25"/>
      <c r="R11" s="25"/>
      <c r="S11" s="25"/>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5"/>
      <c r="AU11" s="25"/>
      <c r="AV11" s="25"/>
      <c r="AW11" s="25"/>
      <c r="AX11" s="25"/>
      <c r="AY11" s="25"/>
      <c r="AZ11" s="25"/>
      <c r="BA11" s="25"/>
      <c r="BB11" s="25"/>
      <c r="BC11" s="25"/>
      <c r="BD11" s="25"/>
      <c r="BE11" s="25"/>
      <c r="BF11" s="25"/>
      <c r="BG11" s="25"/>
      <c r="BH11" s="25"/>
      <c r="BI11" s="25"/>
      <c r="BJ11" s="25"/>
    </row>
    <row r="12" spans="1:62" x14ac:dyDescent="0.25">
      <c r="A12">
        <v>2033</v>
      </c>
      <c r="B12" s="25">
        <v>25</v>
      </c>
      <c r="C12">
        <v>25</v>
      </c>
      <c r="D12">
        <v>25</v>
      </c>
      <c r="E12">
        <v>25</v>
      </c>
      <c r="F12">
        <v>25</v>
      </c>
      <c r="G12">
        <v>25</v>
      </c>
      <c r="H12">
        <v>25</v>
      </c>
      <c r="I12" s="25"/>
      <c r="J12" s="25"/>
      <c r="K12" s="25"/>
      <c r="L12" s="25"/>
      <c r="M12" s="25"/>
      <c r="N12" s="25"/>
      <c r="O12" s="25"/>
      <c r="P12" s="25"/>
      <c r="Q12" s="25"/>
      <c r="R12" s="25"/>
      <c r="S12" s="25"/>
      <c r="T12" s="25"/>
      <c r="U12" s="25"/>
      <c r="V12" s="25"/>
      <c r="W12" s="25"/>
      <c r="X12" s="25"/>
      <c r="Y12" s="25"/>
      <c r="Z12" s="25"/>
      <c r="AA12" s="25"/>
      <c r="AB12" s="25"/>
      <c r="AC12" s="25"/>
      <c r="AD12" s="25"/>
      <c r="AE12" s="25"/>
      <c r="AF12" s="25"/>
      <c r="AG12" s="25"/>
      <c r="AH12" s="25"/>
      <c r="AI12" s="25"/>
      <c r="AJ12" s="25"/>
      <c r="AK12" s="25"/>
      <c r="AL12" s="25"/>
      <c r="AM12" s="25"/>
      <c r="AN12" s="25"/>
      <c r="AO12" s="25"/>
      <c r="AP12" s="25"/>
      <c r="AQ12" s="25"/>
      <c r="AR12" s="25"/>
      <c r="AS12" s="25"/>
      <c r="AT12" s="25"/>
      <c r="AU12" s="25"/>
      <c r="AV12" s="25"/>
      <c r="AW12" s="25"/>
      <c r="AX12" s="25"/>
      <c r="AY12" s="25"/>
      <c r="AZ12" s="25"/>
      <c r="BA12" s="25"/>
      <c r="BB12" s="25"/>
      <c r="BC12" s="25"/>
      <c r="BD12" s="25"/>
      <c r="BE12" s="25"/>
      <c r="BF12" s="25"/>
      <c r="BG12" s="25"/>
      <c r="BH12" s="25"/>
      <c r="BI12" s="25"/>
      <c r="BJ12" s="25"/>
    </row>
    <row r="13" spans="1:62" x14ac:dyDescent="0.25">
      <c r="A13">
        <v>2034</v>
      </c>
      <c r="B13" s="25">
        <v>25</v>
      </c>
      <c r="C13">
        <v>25</v>
      </c>
      <c r="D13">
        <v>25</v>
      </c>
      <c r="E13">
        <v>25</v>
      </c>
      <c r="F13">
        <v>25</v>
      </c>
      <c r="G13">
        <v>25</v>
      </c>
      <c r="H13">
        <v>25</v>
      </c>
      <c r="I13" s="25"/>
      <c r="J13" s="25"/>
      <c r="K13" s="25"/>
      <c r="L13" s="25"/>
      <c r="M13" s="25"/>
      <c r="N13" s="25"/>
      <c r="O13" s="25"/>
      <c r="P13" s="25"/>
      <c r="Q13" s="25"/>
      <c r="R13" s="25"/>
      <c r="S13" s="25"/>
      <c r="T13" s="25"/>
      <c r="U13" s="25"/>
      <c r="V13" s="25"/>
      <c r="W13" s="25"/>
      <c r="X13" s="25"/>
      <c r="Y13" s="25"/>
      <c r="Z13" s="25"/>
      <c r="AA13" s="25"/>
      <c r="AB13" s="25"/>
      <c r="AC13" s="25"/>
      <c r="AD13" s="25"/>
      <c r="AE13" s="25"/>
      <c r="AF13" s="25"/>
      <c r="AG13" s="25"/>
      <c r="AH13" s="25"/>
      <c r="AI13" s="25"/>
      <c r="AJ13" s="25"/>
      <c r="AK13" s="25"/>
      <c r="AL13" s="25"/>
      <c r="AM13" s="25"/>
      <c r="AN13" s="25"/>
      <c r="AO13" s="25"/>
      <c r="AP13" s="25"/>
      <c r="AQ13" s="25"/>
      <c r="AR13" s="25"/>
      <c r="AS13" s="25"/>
      <c r="AT13" s="25"/>
      <c r="AU13" s="25"/>
      <c r="AV13" s="25"/>
      <c r="AW13" s="25"/>
      <c r="AX13" s="25"/>
      <c r="AY13" s="25"/>
      <c r="AZ13" s="25"/>
      <c r="BA13" s="25"/>
      <c r="BB13" s="25"/>
      <c r="BC13" s="25"/>
      <c r="BD13" s="25"/>
      <c r="BE13" s="25"/>
      <c r="BF13" s="25"/>
      <c r="BG13" s="25"/>
      <c r="BH13" s="25"/>
      <c r="BI13" s="25"/>
      <c r="BJ13" s="25"/>
    </row>
    <row r="14" spans="1:62" x14ac:dyDescent="0.25">
      <c r="A14">
        <v>2035</v>
      </c>
      <c r="B14" s="25">
        <v>25</v>
      </c>
      <c r="C14">
        <v>25</v>
      </c>
      <c r="D14">
        <v>25</v>
      </c>
      <c r="E14">
        <v>25</v>
      </c>
      <c r="F14">
        <v>25</v>
      </c>
      <c r="G14">
        <v>25</v>
      </c>
      <c r="H14">
        <v>25</v>
      </c>
      <c r="I14" s="25"/>
      <c r="J14" s="25"/>
      <c r="K14" s="25"/>
      <c r="L14" s="25"/>
      <c r="M14" s="25"/>
      <c r="N14" s="25"/>
      <c r="O14" s="25"/>
      <c r="P14" s="25"/>
      <c r="Q14" s="25"/>
      <c r="R14" s="25"/>
      <c r="S14" s="25"/>
      <c r="T14" s="25"/>
      <c r="U14" s="25"/>
      <c r="V14" s="25"/>
      <c r="W14" s="25"/>
      <c r="X14" s="25"/>
      <c r="Y14" s="25"/>
      <c r="Z14" s="25"/>
      <c r="AA14" s="25"/>
      <c r="AB14" s="25"/>
      <c r="AC14" s="25"/>
      <c r="AD14" s="25"/>
      <c r="AE14" s="25"/>
      <c r="AF14" s="25"/>
      <c r="AG14" s="25"/>
      <c r="AH14" s="25"/>
      <c r="AI14" s="25"/>
      <c r="AJ14" s="25"/>
      <c r="AK14" s="25"/>
      <c r="AL14" s="25"/>
      <c r="AM14" s="25"/>
      <c r="AN14" s="25"/>
      <c r="AO14" s="25"/>
      <c r="AP14" s="25"/>
      <c r="AQ14" s="25"/>
      <c r="AR14" s="25"/>
      <c r="AS14" s="25"/>
      <c r="AT14" s="25"/>
      <c r="AU14" s="25"/>
      <c r="AV14" s="25"/>
      <c r="AW14" s="25"/>
      <c r="AX14" s="25"/>
      <c r="AY14" s="25"/>
      <c r="AZ14" s="25"/>
      <c r="BA14" s="25"/>
      <c r="BB14" s="25"/>
      <c r="BC14" s="25"/>
      <c r="BD14" s="25"/>
      <c r="BE14" s="25"/>
      <c r="BF14" s="25"/>
      <c r="BG14" s="25"/>
      <c r="BH14" s="25"/>
      <c r="BI14" s="25"/>
      <c r="BJ14" s="25"/>
    </row>
    <row r="15" spans="1:62" x14ac:dyDescent="0.25">
      <c r="B15" s="25"/>
      <c r="I15" s="25"/>
      <c r="J15" s="25"/>
      <c r="K15" s="25"/>
      <c r="L15" s="25"/>
      <c r="M15" s="25"/>
      <c r="N15" s="25"/>
      <c r="O15" s="25"/>
      <c r="P15" s="25"/>
      <c r="Q15" s="25"/>
      <c r="R15" s="25"/>
      <c r="S15" s="25"/>
      <c r="T15" s="25"/>
      <c r="U15" s="25"/>
      <c r="V15" s="25"/>
      <c r="W15" s="25"/>
      <c r="X15" s="25"/>
      <c r="Y15" s="25"/>
      <c r="Z15" s="25"/>
      <c r="AA15" s="25"/>
      <c r="AB15" s="25"/>
      <c r="AC15" s="25"/>
      <c r="AD15" s="25"/>
      <c r="AE15" s="25"/>
      <c r="AF15" s="25"/>
      <c r="AG15" s="25"/>
      <c r="AH15" s="25"/>
      <c r="AI15" s="25"/>
      <c r="AJ15" s="25"/>
      <c r="AK15" s="25"/>
      <c r="AL15" s="25"/>
      <c r="AM15" s="25"/>
      <c r="AN15" s="25"/>
      <c r="AO15" s="25"/>
      <c r="AP15" s="25"/>
      <c r="AQ15" s="25"/>
      <c r="AR15" s="25"/>
      <c r="AS15" s="25"/>
      <c r="AT15" s="25"/>
      <c r="AU15" s="25"/>
      <c r="AV15" s="25"/>
      <c r="AW15" s="25"/>
      <c r="AX15" s="25"/>
      <c r="AY15" s="25"/>
      <c r="AZ15" s="25"/>
      <c r="BA15" s="25"/>
      <c r="BB15" s="25"/>
      <c r="BC15" s="25"/>
      <c r="BD15" s="25"/>
      <c r="BE15" s="25"/>
      <c r="BF15" s="25"/>
      <c r="BG15" s="25"/>
      <c r="BH15" s="25"/>
      <c r="BI15" s="25"/>
      <c r="BJ15" s="25"/>
    </row>
    <row r="16" spans="1:62" x14ac:dyDescent="0.25">
      <c r="B16" s="25"/>
      <c r="I16" s="25"/>
      <c r="J16" s="25"/>
      <c r="K16" s="25"/>
      <c r="L16" s="25"/>
      <c r="M16" s="25"/>
      <c r="N16" s="25"/>
      <c r="O16" s="25"/>
      <c r="P16" s="25"/>
      <c r="Q16" s="25"/>
      <c r="R16" s="25"/>
      <c r="S16" s="25"/>
      <c r="T16" s="25"/>
      <c r="U16" s="25"/>
      <c r="V16" s="25"/>
      <c r="W16" s="25"/>
      <c r="X16" s="25"/>
      <c r="Y16" s="25"/>
      <c r="Z16" s="25"/>
      <c r="AA16" s="25"/>
      <c r="AB16" s="25"/>
      <c r="AC16" s="25"/>
      <c r="AD16" s="25"/>
      <c r="AE16" s="25"/>
      <c r="AF16" s="25"/>
      <c r="AG16" s="25"/>
      <c r="AH16" s="25"/>
      <c r="AI16" s="25"/>
      <c r="AJ16" s="25"/>
      <c r="AK16" s="25"/>
      <c r="AL16" s="25"/>
      <c r="AM16" s="25"/>
      <c r="AN16" s="25"/>
      <c r="AO16" s="25"/>
      <c r="AP16" s="25"/>
      <c r="AQ16" s="25"/>
      <c r="AR16" s="25"/>
      <c r="AS16" s="25"/>
      <c r="AT16" s="25"/>
      <c r="AU16" s="25"/>
      <c r="AV16" s="25"/>
      <c r="AW16" s="25"/>
      <c r="AX16" s="25"/>
      <c r="AY16" s="25"/>
      <c r="AZ16" s="25"/>
      <c r="BA16" s="25"/>
      <c r="BB16" s="25"/>
      <c r="BC16" s="25"/>
      <c r="BD16" s="25"/>
      <c r="BE16" s="25"/>
      <c r="BF16" s="25"/>
      <c r="BG16" s="25"/>
      <c r="BH16" s="25"/>
      <c r="BI16" s="25"/>
      <c r="BJ16" s="25"/>
    </row>
    <row r="17" spans="2:62" x14ac:dyDescent="0.25">
      <c r="B17" s="25"/>
      <c r="I17" s="25"/>
      <c r="J17" s="25"/>
      <c r="K17" s="25"/>
      <c r="L17" s="25"/>
      <c r="M17" s="25"/>
      <c r="N17" s="25"/>
      <c r="O17" s="25"/>
      <c r="P17" s="25"/>
      <c r="Q17" s="25"/>
      <c r="R17" s="25"/>
      <c r="S17" s="25"/>
      <c r="T17" s="25"/>
      <c r="U17" s="25"/>
      <c r="V17" s="25"/>
      <c r="W17" s="25"/>
      <c r="X17" s="25"/>
      <c r="Y17" s="25"/>
      <c r="Z17" s="25"/>
      <c r="AA17" s="25"/>
      <c r="AB17" s="25"/>
      <c r="AC17" s="25"/>
      <c r="AD17" s="25"/>
      <c r="AE17" s="25"/>
      <c r="AF17" s="25"/>
      <c r="AG17" s="25"/>
      <c r="AH17" s="25"/>
      <c r="AI17" s="25"/>
      <c r="AJ17" s="25"/>
      <c r="AK17" s="25"/>
      <c r="AL17" s="25"/>
      <c r="AM17" s="25"/>
      <c r="AN17" s="25"/>
      <c r="AO17" s="25"/>
      <c r="AP17" s="25"/>
      <c r="AQ17" s="25"/>
      <c r="AR17" s="25"/>
      <c r="AS17" s="25"/>
      <c r="AT17" s="25"/>
      <c r="AU17" s="25"/>
      <c r="AV17" s="25"/>
      <c r="AW17" s="25"/>
      <c r="AX17" s="25"/>
      <c r="AY17" s="25"/>
      <c r="AZ17" s="25"/>
      <c r="BA17" s="25"/>
      <c r="BB17" s="25"/>
      <c r="BC17" s="25"/>
      <c r="BD17" s="25"/>
      <c r="BE17" s="25"/>
      <c r="BF17" s="25"/>
      <c r="BG17" s="25"/>
      <c r="BH17" s="25"/>
      <c r="BI17" s="25"/>
      <c r="BJ17" s="25"/>
    </row>
    <row r="18" spans="2:62" x14ac:dyDescent="0.25">
      <c r="B18" s="25"/>
      <c r="I18" s="25"/>
      <c r="J18" s="25"/>
      <c r="K18" s="25"/>
      <c r="L18" s="25"/>
      <c r="M18" s="25"/>
      <c r="N18" s="25"/>
      <c r="O18" s="25"/>
      <c r="P18" s="25"/>
      <c r="Q18" s="25"/>
      <c r="R18" s="25"/>
      <c r="S18" s="25"/>
      <c r="T18" s="25"/>
      <c r="U18" s="25"/>
      <c r="V18" s="25"/>
      <c r="W18" s="25"/>
      <c r="X18" s="25"/>
      <c r="Y18" s="25"/>
      <c r="Z18" s="25"/>
      <c r="AA18" s="25"/>
      <c r="AB18" s="25"/>
      <c r="AC18" s="25"/>
      <c r="AD18" s="25"/>
      <c r="AE18" s="25"/>
      <c r="AF18" s="25"/>
      <c r="AG18" s="25"/>
      <c r="AH18" s="25"/>
      <c r="AI18" s="25"/>
      <c r="AJ18" s="25"/>
      <c r="AK18" s="25"/>
      <c r="AL18" s="25"/>
      <c r="AM18" s="25"/>
      <c r="AN18" s="25"/>
      <c r="AO18" s="25"/>
      <c r="AP18" s="25"/>
      <c r="AQ18" s="25"/>
      <c r="AR18" s="25"/>
      <c r="AS18" s="25"/>
      <c r="AT18" s="25"/>
      <c r="AU18" s="25"/>
      <c r="AV18" s="25"/>
      <c r="AW18" s="25"/>
      <c r="AX18" s="25"/>
      <c r="AY18" s="25"/>
      <c r="AZ18" s="25"/>
      <c r="BA18" s="25"/>
      <c r="BB18" s="25"/>
      <c r="BC18" s="25"/>
      <c r="BD18" s="25"/>
      <c r="BE18" s="25"/>
      <c r="BF18" s="25"/>
      <c r="BG18" s="25"/>
      <c r="BH18" s="25"/>
      <c r="BI18" s="25"/>
      <c r="BJ18" s="25"/>
    </row>
    <row r="19" spans="2:62" x14ac:dyDescent="0.25">
      <c r="B19" s="25"/>
      <c r="I19" s="25"/>
      <c r="J19" s="25"/>
      <c r="K19" s="25"/>
      <c r="L19" s="25"/>
      <c r="M19" s="25"/>
      <c r="N19" s="25"/>
      <c r="O19" s="25"/>
      <c r="P19" s="25"/>
      <c r="Q19" s="25"/>
      <c r="R19" s="25"/>
      <c r="S19" s="25"/>
      <c r="T19" s="25"/>
      <c r="U19" s="25"/>
      <c r="V19" s="25"/>
      <c r="W19" s="25"/>
      <c r="X19" s="25"/>
      <c r="Y19" s="25"/>
      <c r="Z19" s="25"/>
      <c r="AA19" s="25"/>
      <c r="AB19" s="25"/>
      <c r="AC19" s="25"/>
      <c r="AD19" s="25"/>
      <c r="AE19" s="25"/>
      <c r="AF19" s="25"/>
      <c r="AG19" s="25"/>
      <c r="AH19" s="25"/>
      <c r="AI19" s="25"/>
      <c r="AJ19" s="25"/>
      <c r="AK19" s="25"/>
      <c r="AL19" s="25"/>
      <c r="AM19" s="25"/>
      <c r="AN19" s="25"/>
      <c r="AO19" s="25"/>
      <c r="AP19" s="25"/>
      <c r="AQ19" s="25"/>
      <c r="AR19" s="25"/>
      <c r="AS19" s="25"/>
      <c r="AT19" s="25"/>
      <c r="AU19" s="25"/>
      <c r="AV19" s="25"/>
      <c r="AW19" s="25"/>
      <c r="AX19" s="25"/>
      <c r="AY19" s="25"/>
      <c r="AZ19" s="25"/>
      <c r="BA19" s="25"/>
      <c r="BB19" s="25"/>
      <c r="BC19" s="25"/>
      <c r="BD19" s="25"/>
      <c r="BE19" s="25"/>
      <c r="BF19" s="25"/>
      <c r="BG19" s="25"/>
      <c r="BH19" s="25"/>
      <c r="BI19" s="25"/>
      <c r="BJ19" s="25"/>
    </row>
    <row r="20" spans="2:62" x14ac:dyDescent="0.25">
      <c r="B20" s="25"/>
      <c r="I20" s="25"/>
      <c r="J20" s="25"/>
      <c r="K20" s="25"/>
      <c r="L20" s="25"/>
      <c r="M20" s="25"/>
      <c r="N20" s="25"/>
      <c r="O20" s="25"/>
      <c r="P20" s="25"/>
      <c r="Q20" s="25"/>
      <c r="R20" s="25"/>
      <c r="S20" s="25"/>
      <c r="T20" s="25"/>
      <c r="U20" s="25"/>
      <c r="V20" s="25"/>
      <c r="W20" s="25"/>
      <c r="X20" s="25"/>
      <c r="Y20" s="25"/>
      <c r="Z20" s="25"/>
      <c r="AA20" s="25"/>
      <c r="AB20" s="25"/>
      <c r="AC20" s="25"/>
      <c r="AD20" s="25"/>
      <c r="AE20" s="25"/>
      <c r="AF20" s="25"/>
      <c r="AG20" s="25"/>
      <c r="AH20" s="25"/>
      <c r="AI20" s="25"/>
      <c r="AJ20" s="25"/>
      <c r="AK20" s="25"/>
      <c r="AL20" s="25"/>
      <c r="AM20" s="25"/>
      <c r="AN20" s="25"/>
      <c r="AO20" s="25"/>
      <c r="AP20" s="25"/>
      <c r="AQ20" s="25"/>
      <c r="AR20" s="25"/>
      <c r="AS20" s="25"/>
      <c r="AT20" s="25"/>
      <c r="AU20" s="25"/>
      <c r="AV20" s="25"/>
      <c r="AW20" s="25"/>
      <c r="AX20" s="25"/>
      <c r="AY20" s="25"/>
      <c r="AZ20" s="25"/>
      <c r="BA20" s="25"/>
      <c r="BB20" s="25"/>
      <c r="BC20" s="25"/>
      <c r="BD20" s="25"/>
      <c r="BE20" s="25"/>
      <c r="BF20" s="25"/>
      <c r="BG20" s="25"/>
      <c r="BH20" s="25"/>
      <c r="BI20" s="25"/>
      <c r="BJ20" s="25"/>
    </row>
    <row r="21" spans="2:62" x14ac:dyDescent="0.25">
      <c r="B21" s="25"/>
      <c r="I21" s="25"/>
      <c r="J21" s="25"/>
      <c r="K21" s="25"/>
      <c r="L21" s="25"/>
      <c r="M21" s="25"/>
      <c r="N21" s="25"/>
      <c r="O21" s="25"/>
      <c r="P21" s="25"/>
      <c r="Q21" s="25"/>
      <c r="R21" s="25"/>
      <c r="S21" s="25"/>
      <c r="T21" s="25"/>
      <c r="U21" s="25"/>
      <c r="V21" s="25"/>
      <c r="W21" s="25"/>
      <c r="X21" s="25"/>
      <c r="Y21" s="25"/>
      <c r="Z21" s="25"/>
      <c r="AA21" s="25"/>
      <c r="AB21" s="25"/>
      <c r="AC21" s="25"/>
      <c r="AD21" s="25"/>
      <c r="AE21" s="25"/>
      <c r="AF21" s="25"/>
      <c r="AG21" s="25"/>
      <c r="AH21" s="25"/>
      <c r="AI21" s="25"/>
      <c r="AJ21" s="25"/>
      <c r="AK21" s="25"/>
      <c r="AL21" s="25"/>
      <c r="AM21" s="25"/>
      <c r="AN21" s="25"/>
      <c r="AO21" s="25"/>
      <c r="AP21" s="25"/>
      <c r="AQ21" s="25"/>
      <c r="AR21" s="25"/>
      <c r="AS21" s="25"/>
      <c r="AT21" s="25"/>
      <c r="AU21" s="25"/>
      <c r="AV21" s="25"/>
      <c r="AW21" s="25"/>
      <c r="AX21" s="25"/>
      <c r="AY21" s="25"/>
      <c r="AZ21" s="25"/>
      <c r="BA21" s="25"/>
      <c r="BB21" s="25"/>
      <c r="BC21" s="25"/>
      <c r="BD21" s="25"/>
      <c r="BE21" s="25"/>
      <c r="BF21" s="25"/>
      <c r="BG21" s="25"/>
      <c r="BH21" s="25"/>
      <c r="BI21" s="25"/>
      <c r="BJ21" s="25"/>
    </row>
    <row r="22" spans="2:62" x14ac:dyDescent="0.25">
      <c r="B22" s="25"/>
      <c r="I22" s="25"/>
      <c r="J22" s="25"/>
      <c r="K22" s="25"/>
      <c r="L22" s="25"/>
      <c r="M22" s="25"/>
      <c r="N22" s="25"/>
      <c r="O22" s="25"/>
      <c r="P22" s="25"/>
      <c r="Q22" s="25"/>
      <c r="R22" s="25"/>
      <c r="S22" s="25"/>
      <c r="T22" s="25"/>
      <c r="U22" s="25"/>
      <c r="V22" s="25"/>
      <c r="W22" s="25"/>
      <c r="X22" s="25"/>
      <c r="Y22" s="25"/>
      <c r="Z22" s="25"/>
      <c r="AA22" s="25"/>
      <c r="AB22" s="25"/>
      <c r="AC22" s="25"/>
      <c r="AD22" s="25"/>
      <c r="AE22" s="25"/>
      <c r="AF22" s="25"/>
      <c r="AG22" s="25"/>
      <c r="AH22" s="25"/>
      <c r="AI22" s="25"/>
      <c r="AJ22" s="25"/>
      <c r="AK22" s="25"/>
      <c r="AL22" s="25"/>
      <c r="AM22" s="25"/>
      <c r="AN22" s="25"/>
      <c r="AO22" s="25"/>
      <c r="AP22" s="25"/>
      <c r="AQ22" s="25"/>
      <c r="AR22" s="25"/>
      <c r="AS22" s="25"/>
      <c r="AT22" s="25"/>
      <c r="AU22" s="25"/>
      <c r="AV22" s="25"/>
      <c r="AW22" s="25"/>
      <c r="AX22" s="25"/>
      <c r="AY22" s="25"/>
      <c r="AZ22" s="25"/>
      <c r="BA22" s="25"/>
      <c r="BB22" s="25"/>
      <c r="BC22" s="25"/>
      <c r="BD22" s="25"/>
      <c r="BE22" s="25"/>
      <c r="BF22" s="25"/>
      <c r="BG22" s="25"/>
      <c r="BH22" s="25"/>
      <c r="BI22" s="25"/>
      <c r="BJ22" s="25"/>
    </row>
    <row r="23" spans="2:62" x14ac:dyDescent="0.25">
      <c r="B23" s="25"/>
      <c r="I23" s="25"/>
      <c r="J23" s="25"/>
      <c r="K23" s="25"/>
      <c r="L23" s="25"/>
      <c r="M23" s="25"/>
      <c r="N23" s="25"/>
      <c r="O23" s="25"/>
      <c r="P23" s="25"/>
      <c r="Q23" s="25"/>
      <c r="R23" s="25"/>
      <c r="S23" s="25"/>
      <c r="T23" s="25"/>
      <c r="U23" s="25"/>
      <c r="V23" s="25"/>
      <c r="W23" s="25"/>
      <c r="X23" s="25"/>
      <c r="Y23" s="25"/>
      <c r="Z23" s="25"/>
      <c r="AA23" s="25"/>
      <c r="AB23" s="25"/>
      <c r="AC23" s="25"/>
      <c r="AD23" s="25"/>
      <c r="AE23" s="25"/>
      <c r="AF23" s="25"/>
      <c r="AG23" s="25"/>
      <c r="AH23" s="25"/>
      <c r="AI23" s="25"/>
      <c r="AJ23" s="25"/>
      <c r="AK23" s="25"/>
      <c r="AL23" s="25"/>
      <c r="AM23" s="25"/>
      <c r="AN23" s="25"/>
      <c r="AO23" s="25"/>
      <c r="AP23" s="25"/>
      <c r="AQ23" s="25"/>
      <c r="AR23" s="25"/>
      <c r="AS23" s="25"/>
      <c r="AT23" s="25"/>
      <c r="AU23" s="25"/>
      <c r="AV23" s="25"/>
      <c r="AW23" s="25"/>
      <c r="AX23" s="25"/>
      <c r="AY23" s="25"/>
      <c r="AZ23" s="25"/>
      <c r="BA23" s="25"/>
      <c r="BB23" s="25"/>
      <c r="BC23" s="25"/>
      <c r="BD23" s="25"/>
      <c r="BE23" s="25"/>
      <c r="BF23" s="25"/>
      <c r="BG23" s="25"/>
      <c r="BH23" s="25"/>
      <c r="BI23" s="25"/>
      <c r="BJ23" s="25"/>
    </row>
    <row r="24" spans="2:62" x14ac:dyDescent="0.25">
      <c r="B24" s="25"/>
      <c r="I24" s="25"/>
      <c r="J24" s="25"/>
      <c r="K24" s="25"/>
      <c r="L24" s="25"/>
      <c r="M24" s="25"/>
      <c r="N24" s="25"/>
      <c r="O24" s="25"/>
      <c r="P24" s="25"/>
      <c r="Q24" s="25"/>
      <c r="R24" s="25"/>
      <c r="S24" s="25"/>
      <c r="T24" s="25"/>
      <c r="U24" s="25"/>
      <c r="V24" s="25"/>
      <c r="W24" s="25"/>
      <c r="X24" s="25"/>
      <c r="Y24" s="25"/>
      <c r="Z24" s="25"/>
      <c r="AA24" s="25"/>
      <c r="AB24" s="25"/>
      <c r="AC24" s="25"/>
      <c r="AD24" s="25"/>
      <c r="AE24" s="25"/>
      <c r="AF24" s="25"/>
      <c r="AG24" s="25"/>
      <c r="AH24" s="25"/>
      <c r="AI24" s="25"/>
      <c r="AJ24" s="25"/>
      <c r="AK24" s="25"/>
      <c r="AL24" s="25"/>
      <c r="AM24" s="25"/>
      <c r="AN24" s="25"/>
      <c r="AO24" s="25"/>
      <c r="AP24" s="25"/>
      <c r="AQ24" s="25"/>
      <c r="AR24" s="25"/>
      <c r="AS24" s="25"/>
      <c r="AT24" s="25"/>
      <c r="AU24" s="25"/>
      <c r="AV24" s="25"/>
      <c r="AW24" s="25"/>
      <c r="AX24" s="25"/>
      <c r="AY24" s="25"/>
      <c r="AZ24" s="25"/>
      <c r="BA24" s="25"/>
      <c r="BB24" s="25"/>
      <c r="BC24" s="25"/>
      <c r="BD24" s="25"/>
      <c r="BE24" s="25"/>
      <c r="BF24" s="25"/>
      <c r="BG24" s="25"/>
      <c r="BH24" s="25"/>
      <c r="BI24" s="25"/>
      <c r="BJ24" s="25"/>
    </row>
    <row r="25" spans="2:62" x14ac:dyDescent="0.25">
      <c r="B25" s="25"/>
      <c r="I25" s="25"/>
      <c r="J25" s="25"/>
      <c r="K25" s="25"/>
      <c r="L25" s="25"/>
      <c r="M25" s="25"/>
      <c r="N25" s="25"/>
      <c r="O25" s="25"/>
      <c r="P25" s="25"/>
      <c r="Q25" s="25"/>
      <c r="R25" s="25"/>
      <c r="S25" s="25"/>
      <c r="T25" s="25"/>
      <c r="U25" s="25"/>
      <c r="V25" s="25"/>
      <c r="W25" s="25"/>
      <c r="X25" s="25"/>
      <c r="Y25" s="25"/>
      <c r="Z25" s="25"/>
      <c r="AA25" s="25"/>
      <c r="AB25" s="25"/>
      <c r="AC25" s="25"/>
      <c r="AD25" s="25"/>
      <c r="AE25" s="25"/>
      <c r="AF25" s="25"/>
      <c r="AG25" s="25"/>
      <c r="AH25" s="25"/>
      <c r="AI25" s="25"/>
      <c r="AJ25" s="25"/>
      <c r="AK25" s="25"/>
      <c r="AL25" s="25"/>
      <c r="AM25" s="25"/>
      <c r="AN25" s="25"/>
      <c r="AO25" s="25"/>
      <c r="AP25" s="25"/>
      <c r="AQ25" s="25"/>
      <c r="AR25" s="25"/>
      <c r="AS25" s="25"/>
      <c r="AT25" s="25"/>
      <c r="AU25" s="25"/>
      <c r="AV25" s="25"/>
      <c r="AW25" s="25"/>
      <c r="AX25" s="25"/>
      <c r="AY25" s="25"/>
      <c r="AZ25" s="25"/>
      <c r="BA25" s="25"/>
      <c r="BB25" s="25"/>
      <c r="BC25" s="25"/>
      <c r="BD25" s="25"/>
      <c r="BE25" s="25"/>
      <c r="BF25" s="25"/>
      <c r="BG25" s="25"/>
      <c r="BH25" s="25"/>
      <c r="BI25" s="25"/>
      <c r="BJ25" s="25"/>
    </row>
    <row r="26" spans="2:62" x14ac:dyDescent="0.25">
      <c r="B26" s="25"/>
      <c r="I26" s="25"/>
      <c r="J26" s="25"/>
      <c r="K26" s="25"/>
      <c r="L26" s="25"/>
      <c r="M26" s="25"/>
      <c r="N26" s="25"/>
      <c r="O26" s="25"/>
      <c r="P26" s="25"/>
      <c r="Q26" s="25"/>
      <c r="R26" s="25"/>
      <c r="S26" s="25"/>
      <c r="T26" s="25"/>
      <c r="U26" s="25"/>
      <c r="V26" s="25"/>
      <c r="W26" s="25"/>
      <c r="X26" s="25"/>
      <c r="Y26" s="25"/>
      <c r="Z26" s="25"/>
      <c r="AA26" s="25"/>
      <c r="AB26" s="25"/>
      <c r="AC26" s="25"/>
      <c r="AD26" s="25"/>
      <c r="AE26" s="25"/>
      <c r="AF26" s="25"/>
      <c r="AG26" s="25"/>
      <c r="AH26" s="25"/>
      <c r="AI26" s="25"/>
      <c r="AJ26" s="25"/>
      <c r="AK26" s="25"/>
      <c r="AL26" s="25"/>
      <c r="AM26" s="25"/>
      <c r="AN26" s="25"/>
      <c r="AO26" s="25"/>
      <c r="AP26" s="25"/>
      <c r="AQ26" s="25"/>
      <c r="AR26" s="25"/>
      <c r="AS26" s="25"/>
      <c r="AT26" s="25"/>
      <c r="AU26" s="25"/>
      <c r="AV26" s="25"/>
      <c r="AW26" s="25"/>
      <c r="AX26" s="25"/>
      <c r="AY26" s="25"/>
      <c r="AZ26" s="25"/>
      <c r="BA26" s="25"/>
      <c r="BB26" s="25"/>
      <c r="BC26" s="25"/>
      <c r="BD26" s="25"/>
      <c r="BE26" s="25"/>
      <c r="BF26" s="25"/>
      <c r="BG26" s="25"/>
      <c r="BH26" s="25"/>
      <c r="BI26" s="25"/>
      <c r="BJ26" s="25"/>
    </row>
    <row r="27" spans="2:62" x14ac:dyDescent="0.25">
      <c r="B27" s="25"/>
      <c r="I27" s="25"/>
      <c r="J27" s="25"/>
      <c r="K27" s="25"/>
      <c r="L27" s="25"/>
      <c r="M27" s="25"/>
      <c r="N27" s="25"/>
      <c r="O27" s="25"/>
      <c r="P27" s="25"/>
      <c r="Q27" s="25"/>
      <c r="R27" s="25"/>
      <c r="S27" s="25"/>
      <c r="T27" s="25"/>
      <c r="U27" s="25"/>
      <c r="V27" s="25"/>
      <c r="W27" s="25"/>
      <c r="X27" s="25"/>
      <c r="Y27" s="25"/>
      <c r="Z27" s="25"/>
      <c r="AA27" s="25"/>
      <c r="AB27" s="25"/>
      <c r="AC27" s="25"/>
      <c r="AD27" s="25"/>
      <c r="AE27" s="25"/>
      <c r="AF27" s="25"/>
      <c r="AG27" s="25"/>
      <c r="AH27" s="25"/>
      <c r="AI27" s="25"/>
      <c r="AJ27" s="25"/>
      <c r="AK27" s="25"/>
      <c r="AL27" s="25"/>
      <c r="AM27" s="25"/>
      <c r="AN27" s="25"/>
      <c r="AO27" s="25"/>
      <c r="AP27" s="25"/>
      <c r="AQ27" s="25"/>
      <c r="AR27" s="25"/>
      <c r="AS27" s="25"/>
      <c r="AT27" s="25"/>
      <c r="AU27" s="25"/>
      <c r="AV27" s="25"/>
      <c r="AW27" s="25"/>
      <c r="AX27" s="25"/>
      <c r="AY27" s="25"/>
      <c r="AZ27" s="25"/>
      <c r="BA27" s="25"/>
      <c r="BB27" s="25"/>
      <c r="BC27" s="25"/>
      <c r="BD27" s="25"/>
      <c r="BE27" s="25"/>
      <c r="BF27" s="25"/>
      <c r="BG27" s="25"/>
      <c r="BH27" s="25"/>
      <c r="BI27" s="25"/>
      <c r="BJ27" s="25"/>
    </row>
    <row r="28" spans="2:62" x14ac:dyDescent="0.25">
      <c r="B28" s="25"/>
      <c r="I28" s="25"/>
      <c r="J28" s="25"/>
      <c r="K28" s="25"/>
      <c r="L28" s="25"/>
      <c r="M28" s="25"/>
      <c r="N28" s="25"/>
      <c r="O28" s="25"/>
      <c r="P28" s="25"/>
      <c r="Q28" s="25"/>
      <c r="R28" s="25"/>
      <c r="S28" s="25"/>
      <c r="T28" s="25"/>
      <c r="U28" s="25"/>
      <c r="V28" s="25"/>
      <c r="W28" s="25"/>
      <c r="X28" s="25"/>
      <c r="Y28" s="25"/>
      <c r="Z28" s="25"/>
      <c r="AA28" s="25"/>
      <c r="AB28" s="25"/>
      <c r="AC28" s="25"/>
      <c r="AD28" s="25"/>
      <c r="AE28" s="25"/>
      <c r="AF28" s="25"/>
      <c r="AG28" s="25"/>
      <c r="AH28" s="25"/>
      <c r="AI28" s="25"/>
      <c r="AJ28" s="25"/>
      <c r="AK28" s="25"/>
      <c r="AL28" s="25"/>
      <c r="AM28" s="25"/>
      <c r="AN28" s="25"/>
      <c r="AO28" s="25"/>
      <c r="AP28" s="25"/>
      <c r="AQ28" s="25"/>
      <c r="AR28" s="25"/>
      <c r="AS28" s="25"/>
      <c r="AT28" s="25"/>
      <c r="AU28" s="25"/>
      <c r="AV28" s="25"/>
      <c r="AW28" s="25"/>
      <c r="AX28" s="25"/>
      <c r="AY28" s="25"/>
      <c r="AZ28" s="25"/>
      <c r="BA28" s="25"/>
      <c r="BB28" s="25"/>
      <c r="BC28" s="25"/>
      <c r="BD28" s="25"/>
      <c r="BE28" s="25"/>
      <c r="BF28" s="25"/>
      <c r="BG28" s="25"/>
      <c r="BH28" s="25"/>
      <c r="BI28" s="25"/>
      <c r="BJ28" s="25"/>
    </row>
    <row r="29" spans="2:62" x14ac:dyDescent="0.25">
      <c r="B29" s="25"/>
      <c r="I29" s="25"/>
      <c r="J29" s="25"/>
      <c r="K29" s="25"/>
      <c r="L29" s="25"/>
      <c r="M29" s="25"/>
      <c r="N29" s="25"/>
      <c r="O29" s="25"/>
      <c r="P29" s="25"/>
      <c r="Q29" s="25"/>
      <c r="R29" s="25"/>
      <c r="S29" s="25"/>
      <c r="T29" s="25"/>
      <c r="U29" s="25"/>
      <c r="V29" s="25"/>
      <c r="W29" s="25"/>
      <c r="X29" s="25"/>
      <c r="Y29" s="25"/>
      <c r="Z29" s="25"/>
      <c r="AA29" s="25"/>
      <c r="AB29" s="25"/>
      <c r="AC29" s="25"/>
      <c r="AD29" s="25"/>
      <c r="AE29" s="25"/>
      <c r="AF29" s="25"/>
      <c r="AG29" s="25"/>
      <c r="AH29" s="25"/>
      <c r="AI29" s="25"/>
      <c r="AJ29" s="25"/>
      <c r="AK29" s="25"/>
      <c r="AL29" s="25"/>
      <c r="AM29" s="25"/>
      <c r="AN29" s="25"/>
      <c r="AO29" s="25"/>
      <c r="AP29" s="25"/>
      <c r="AQ29" s="25"/>
      <c r="AR29" s="25"/>
      <c r="AS29" s="25"/>
      <c r="AT29" s="25"/>
      <c r="AU29" s="25"/>
      <c r="AV29" s="25"/>
      <c r="AW29" s="25"/>
      <c r="AX29" s="25"/>
      <c r="AY29" s="25"/>
      <c r="AZ29" s="25"/>
      <c r="BA29" s="25"/>
      <c r="BB29" s="25"/>
      <c r="BC29" s="25"/>
      <c r="BD29" s="25"/>
      <c r="BE29" s="25"/>
      <c r="BF29" s="25"/>
      <c r="BG29" s="25"/>
      <c r="BH29" s="25"/>
      <c r="BI29" s="25"/>
      <c r="BJ29" s="25"/>
    </row>
    <row r="30" spans="2:62" x14ac:dyDescent="0.25">
      <c r="B30" s="25"/>
      <c r="I30" s="25"/>
      <c r="J30" s="25"/>
      <c r="K30" s="25"/>
      <c r="L30" s="25"/>
      <c r="M30" s="25"/>
      <c r="N30" s="25"/>
      <c r="O30" s="25"/>
      <c r="P30" s="25"/>
      <c r="Q30" s="25"/>
      <c r="R30" s="25"/>
      <c r="S30" s="25"/>
      <c r="T30" s="25"/>
      <c r="U30" s="25"/>
      <c r="V30" s="25"/>
      <c r="W30" s="25"/>
      <c r="X30" s="25"/>
      <c r="Y30" s="25"/>
      <c r="Z30" s="25"/>
      <c r="AA30" s="25"/>
      <c r="AB30" s="25"/>
      <c r="AC30" s="25"/>
      <c r="AD30" s="25"/>
      <c r="AE30" s="25"/>
      <c r="AF30" s="25"/>
      <c r="AG30" s="25"/>
      <c r="AH30" s="25"/>
      <c r="AI30" s="25"/>
      <c r="AJ30" s="25"/>
      <c r="AK30" s="25"/>
      <c r="AL30" s="25"/>
      <c r="AM30" s="25"/>
      <c r="AN30" s="25"/>
      <c r="AO30" s="25"/>
      <c r="AP30" s="25"/>
      <c r="AQ30" s="25"/>
      <c r="AR30" s="25"/>
      <c r="AS30" s="25"/>
      <c r="AT30" s="25"/>
      <c r="AU30" s="25"/>
      <c r="AV30" s="25"/>
      <c r="AW30" s="25"/>
      <c r="AX30" s="25"/>
      <c r="AY30" s="25"/>
      <c r="AZ30" s="25"/>
      <c r="BA30" s="25"/>
      <c r="BB30" s="25"/>
      <c r="BC30" s="25"/>
      <c r="BD30" s="25"/>
      <c r="BE30" s="25"/>
      <c r="BF30" s="25"/>
      <c r="BG30" s="25"/>
      <c r="BH30" s="25"/>
      <c r="BI30" s="25"/>
      <c r="BJ30" s="25"/>
    </row>
    <row r="31" spans="2:62" x14ac:dyDescent="0.25">
      <c r="B31" s="25"/>
      <c r="I31" s="25"/>
      <c r="J31" s="25"/>
      <c r="K31" s="25"/>
      <c r="L31" s="25"/>
      <c r="M31" s="25"/>
      <c r="N31" s="25"/>
      <c r="O31" s="25"/>
      <c r="P31" s="25"/>
      <c r="Q31" s="25"/>
      <c r="R31" s="25"/>
      <c r="S31" s="25"/>
      <c r="T31" s="25"/>
      <c r="U31" s="25"/>
      <c r="V31" s="25"/>
      <c r="W31" s="25"/>
      <c r="X31" s="25"/>
      <c r="Y31" s="25"/>
      <c r="Z31" s="25"/>
      <c r="AA31" s="25"/>
      <c r="AB31" s="25"/>
      <c r="AC31" s="25"/>
      <c r="AD31" s="25"/>
      <c r="AE31" s="25"/>
      <c r="AF31" s="25"/>
      <c r="AG31" s="25"/>
      <c r="AH31" s="25"/>
      <c r="AI31" s="25"/>
      <c r="AJ31" s="25"/>
      <c r="AK31" s="25"/>
      <c r="AL31" s="25"/>
      <c r="AM31" s="25"/>
      <c r="AN31" s="25"/>
      <c r="AO31" s="25"/>
      <c r="AP31" s="25"/>
      <c r="AQ31" s="25"/>
      <c r="AR31" s="25"/>
      <c r="AS31" s="25"/>
      <c r="AT31" s="25"/>
      <c r="AU31" s="25"/>
      <c r="AV31" s="25"/>
      <c r="AW31" s="25"/>
      <c r="AX31" s="25"/>
      <c r="AY31" s="25"/>
      <c r="AZ31" s="25"/>
      <c r="BA31" s="25"/>
      <c r="BB31" s="25"/>
      <c r="BC31" s="25"/>
      <c r="BD31" s="25"/>
      <c r="BE31" s="25"/>
      <c r="BF31" s="25"/>
      <c r="BG31" s="25"/>
      <c r="BH31" s="25"/>
      <c r="BI31" s="25"/>
      <c r="BJ31" s="25"/>
    </row>
    <row r="32" spans="2:62" x14ac:dyDescent="0.25">
      <c r="B32" s="25"/>
      <c r="I32" s="25"/>
      <c r="J32" s="25"/>
      <c r="K32" s="25"/>
      <c r="L32" s="25"/>
      <c r="M32" s="25"/>
      <c r="N32" s="25"/>
      <c r="O32" s="25"/>
      <c r="P32" s="25"/>
      <c r="Q32" s="25"/>
      <c r="R32" s="25"/>
      <c r="S32" s="25"/>
      <c r="T32" s="25"/>
      <c r="U32" s="25"/>
      <c r="V32" s="25"/>
      <c r="W32" s="25"/>
      <c r="X32" s="25"/>
      <c r="Y32" s="25"/>
      <c r="Z32" s="25"/>
      <c r="AA32" s="25"/>
      <c r="AB32" s="25"/>
      <c r="AC32" s="25"/>
      <c r="AD32" s="25"/>
      <c r="AE32" s="25"/>
      <c r="AF32" s="25"/>
      <c r="AG32" s="25"/>
      <c r="AH32" s="25"/>
      <c r="AI32" s="25"/>
      <c r="AJ32" s="25"/>
      <c r="AK32" s="25"/>
      <c r="AL32" s="25"/>
      <c r="AM32" s="25"/>
      <c r="AN32" s="25"/>
      <c r="AO32" s="25"/>
      <c r="AP32" s="25"/>
      <c r="AQ32" s="25"/>
      <c r="AR32" s="25"/>
      <c r="AS32" s="25"/>
      <c r="AT32" s="25"/>
      <c r="AU32" s="25"/>
      <c r="AV32" s="25"/>
      <c r="AW32" s="25"/>
      <c r="AX32" s="25"/>
      <c r="AY32" s="25"/>
      <c r="AZ32" s="25"/>
      <c r="BA32" s="25"/>
      <c r="BB32" s="25"/>
      <c r="BC32" s="25"/>
      <c r="BD32" s="25"/>
      <c r="BE32" s="25"/>
      <c r="BF32" s="25"/>
      <c r="BG32" s="25"/>
      <c r="BH32" s="25"/>
      <c r="BI32" s="25"/>
      <c r="BJ32" s="25"/>
    </row>
    <row r="33" spans="1:62" x14ac:dyDescent="0.25">
      <c r="B33" s="25"/>
      <c r="I33" s="25"/>
      <c r="J33" s="25"/>
      <c r="K33" s="25"/>
      <c r="L33" s="25"/>
      <c r="M33" s="25"/>
      <c r="N33" s="25"/>
      <c r="O33" s="25"/>
      <c r="P33" s="25"/>
      <c r="Q33" s="25"/>
      <c r="R33" s="25"/>
      <c r="S33" s="25"/>
      <c r="T33" s="25"/>
      <c r="U33" s="25"/>
      <c r="V33" s="25"/>
      <c r="W33" s="25"/>
      <c r="X33" s="25"/>
      <c r="Y33" s="25"/>
      <c r="Z33" s="25"/>
      <c r="AA33" s="25"/>
      <c r="AB33" s="25"/>
      <c r="AC33" s="25"/>
      <c r="AD33" s="25"/>
      <c r="AE33" s="25"/>
      <c r="AF33" s="25"/>
      <c r="AG33" s="25"/>
      <c r="AH33" s="25"/>
      <c r="AI33" s="25"/>
      <c r="AJ33" s="25"/>
      <c r="AK33" s="25"/>
      <c r="AL33" s="25"/>
      <c r="AM33" s="25"/>
      <c r="AN33" s="25"/>
      <c r="AO33" s="25"/>
      <c r="AP33" s="25"/>
      <c r="AQ33" s="25"/>
      <c r="AR33" s="25"/>
      <c r="AS33" s="25"/>
      <c r="AT33" s="25"/>
      <c r="AU33" s="25"/>
      <c r="AV33" s="25"/>
      <c r="AW33" s="25"/>
      <c r="AX33" s="25"/>
      <c r="AY33" s="25"/>
      <c r="AZ33" s="25"/>
      <c r="BA33" s="25"/>
      <c r="BB33" s="25"/>
      <c r="BC33" s="25"/>
      <c r="BD33" s="25"/>
      <c r="BE33" s="25"/>
      <c r="BF33" s="25"/>
      <c r="BG33" s="25"/>
      <c r="BH33" s="25"/>
      <c r="BI33" s="25"/>
      <c r="BJ33" s="25"/>
    </row>
    <row r="34" spans="1:62" x14ac:dyDescent="0.25">
      <c r="B34" s="25"/>
      <c r="I34" s="25"/>
      <c r="J34" s="25"/>
      <c r="K34" s="25"/>
      <c r="L34" s="25"/>
      <c r="M34" s="25"/>
      <c r="N34" s="25"/>
      <c r="O34" s="25"/>
      <c r="P34" s="25"/>
      <c r="Q34" s="25"/>
      <c r="R34" s="25"/>
      <c r="S34" s="25"/>
      <c r="T34" s="25"/>
      <c r="U34" s="25"/>
      <c r="V34" s="25"/>
      <c r="W34" s="25"/>
      <c r="X34" s="25"/>
      <c r="Y34" s="25"/>
      <c r="Z34" s="25"/>
      <c r="AA34" s="25"/>
      <c r="AB34" s="25"/>
      <c r="AC34" s="25"/>
      <c r="AD34" s="25"/>
      <c r="AE34" s="25"/>
      <c r="AF34" s="25"/>
      <c r="AG34" s="25"/>
      <c r="AH34" s="25"/>
      <c r="AI34" s="25"/>
      <c r="AJ34" s="25"/>
      <c r="AK34" s="25"/>
      <c r="AL34" s="25"/>
      <c r="AM34" s="25"/>
      <c r="AN34" s="25"/>
      <c r="AO34" s="25"/>
      <c r="AP34" s="25"/>
      <c r="AQ34" s="25"/>
      <c r="AR34" s="25"/>
      <c r="AS34" s="25"/>
      <c r="AT34" s="25"/>
      <c r="AU34" s="25"/>
      <c r="AV34" s="25"/>
      <c r="AW34" s="25"/>
      <c r="AX34" s="25"/>
      <c r="AY34" s="25"/>
      <c r="AZ34" s="25"/>
      <c r="BA34" s="25"/>
      <c r="BB34" s="25"/>
      <c r="BC34" s="25"/>
      <c r="BD34" s="25"/>
      <c r="BE34" s="25"/>
      <c r="BF34" s="25"/>
      <c r="BG34" s="25"/>
      <c r="BH34" s="25"/>
      <c r="BI34" s="25"/>
      <c r="BJ34" s="25"/>
    </row>
    <row r="35" spans="1:62" x14ac:dyDescent="0.25">
      <c r="B35" s="25"/>
      <c r="I35" s="25"/>
      <c r="J35" s="25"/>
      <c r="K35" s="25"/>
      <c r="L35" s="25"/>
      <c r="M35" s="25"/>
      <c r="N35" s="25"/>
      <c r="O35" s="25"/>
      <c r="P35" s="25"/>
      <c r="Q35" s="25"/>
      <c r="R35" s="25"/>
      <c r="S35" s="25"/>
      <c r="T35" s="25"/>
      <c r="U35" s="25"/>
      <c r="V35" s="25"/>
      <c r="W35" s="25"/>
      <c r="X35" s="25"/>
      <c r="Y35" s="25"/>
      <c r="Z35" s="25"/>
      <c r="AA35" s="25"/>
      <c r="AB35" s="25"/>
      <c r="AC35" s="25"/>
      <c r="AD35" s="25"/>
      <c r="AE35" s="25"/>
      <c r="AF35" s="25"/>
      <c r="AG35" s="25"/>
      <c r="AH35" s="25"/>
      <c r="AI35" s="25"/>
      <c r="AJ35" s="25"/>
      <c r="AK35" s="25"/>
      <c r="AL35" s="25"/>
      <c r="AM35" s="25"/>
      <c r="AN35" s="25"/>
      <c r="AO35" s="25"/>
      <c r="AP35" s="25"/>
      <c r="AQ35" s="25"/>
      <c r="AR35" s="25"/>
      <c r="AS35" s="25"/>
      <c r="AT35" s="25"/>
      <c r="AU35" s="25"/>
      <c r="AV35" s="25"/>
      <c r="AW35" s="25"/>
      <c r="AX35" s="25"/>
      <c r="AY35" s="25"/>
      <c r="AZ35" s="25"/>
      <c r="BA35" s="25"/>
      <c r="BB35" s="25"/>
      <c r="BC35" s="25"/>
      <c r="BD35" s="25"/>
      <c r="BE35" s="25"/>
      <c r="BF35" s="25"/>
      <c r="BG35" s="25"/>
      <c r="BH35" s="25"/>
      <c r="BI35" s="25"/>
      <c r="BJ35" s="25"/>
    </row>
    <row r="36" spans="1:62" x14ac:dyDescent="0.25">
      <c r="B36" s="25"/>
      <c r="I36" s="25"/>
      <c r="J36" s="25"/>
      <c r="K36" s="25"/>
      <c r="L36" s="25"/>
      <c r="M36" s="25"/>
      <c r="N36" s="25"/>
      <c r="O36" s="25"/>
      <c r="P36" s="25"/>
      <c r="Q36" s="25"/>
      <c r="R36" s="25"/>
      <c r="S36" s="25"/>
      <c r="T36" s="25"/>
      <c r="U36" s="25"/>
      <c r="V36" s="25"/>
      <c r="W36" s="25"/>
      <c r="X36" s="25"/>
      <c r="Y36" s="25"/>
      <c r="Z36" s="25"/>
      <c r="AA36" s="25"/>
      <c r="AB36" s="25"/>
      <c r="AC36" s="25"/>
      <c r="AD36" s="25"/>
      <c r="AE36" s="25"/>
      <c r="AF36" s="25"/>
      <c r="AG36" s="25"/>
      <c r="AH36" s="25"/>
      <c r="AI36" s="25"/>
      <c r="AJ36" s="25"/>
      <c r="AK36" s="25"/>
      <c r="AL36" s="25"/>
      <c r="AM36" s="25"/>
      <c r="AN36" s="25"/>
      <c r="AO36" s="25"/>
      <c r="AP36" s="25"/>
      <c r="AQ36" s="25"/>
      <c r="AR36" s="25"/>
      <c r="AS36" s="25"/>
      <c r="AT36" s="25"/>
      <c r="AU36" s="25"/>
      <c r="AV36" s="25"/>
      <c r="AW36" s="25"/>
      <c r="AX36" s="25"/>
      <c r="AY36" s="25"/>
      <c r="AZ36" s="25"/>
      <c r="BA36" s="25"/>
      <c r="BB36" s="25"/>
      <c r="BC36" s="25"/>
      <c r="BD36" s="25"/>
      <c r="BE36" s="25"/>
      <c r="BF36" s="25"/>
      <c r="BG36" s="25"/>
      <c r="BH36" s="25"/>
      <c r="BI36" s="25"/>
      <c r="BJ36" s="25"/>
    </row>
    <row r="37" spans="1:62" x14ac:dyDescent="0.25">
      <c r="B37" s="25"/>
      <c r="I37" s="25"/>
      <c r="J37" s="25"/>
      <c r="K37" s="25"/>
      <c r="L37" s="25"/>
      <c r="M37" s="25"/>
      <c r="N37" s="25"/>
      <c r="O37" s="25"/>
      <c r="P37" s="25"/>
      <c r="Q37" s="25"/>
      <c r="R37" s="25"/>
      <c r="S37" s="25"/>
      <c r="T37" s="25"/>
      <c r="U37" s="25"/>
      <c r="V37" s="25"/>
      <c r="W37" s="25"/>
      <c r="X37" s="25"/>
      <c r="Y37" s="25"/>
      <c r="Z37" s="25"/>
      <c r="AA37" s="25"/>
      <c r="AB37" s="25"/>
      <c r="AC37" s="25"/>
      <c r="AD37" s="25"/>
      <c r="AE37" s="25"/>
      <c r="AF37" s="25"/>
      <c r="AG37" s="25"/>
      <c r="AH37" s="25"/>
      <c r="AI37" s="25"/>
      <c r="AJ37" s="25"/>
      <c r="AK37" s="25"/>
      <c r="AL37" s="25"/>
      <c r="AM37" s="25"/>
      <c r="AN37" s="25"/>
      <c r="AO37" s="25"/>
      <c r="AP37" s="25"/>
      <c r="AQ37" s="25"/>
      <c r="AR37" s="25"/>
      <c r="AS37" s="25"/>
      <c r="AT37" s="25"/>
      <c r="AU37" s="25"/>
      <c r="AV37" s="25"/>
      <c r="AW37" s="25"/>
      <c r="AX37" s="25"/>
      <c r="AY37" s="25"/>
      <c r="AZ37" s="25"/>
      <c r="BA37" s="25"/>
      <c r="BB37" s="25"/>
      <c r="BC37" s="25"/>
      <c r="BD37" s="25"/>
      <c r="BE37" s="25"/>
      <c r="BF37" s="25"/>
      <c r="BG37" s="25"/>
      <c r="BH37" s="25"/>
      <c r="BI37" s="25"/>
      <c r="BJ37" s="25"/>
    </row>
    <row r="38" spans="1:62" x14ac:dyDescent="0.25">
      <c r="A38" s="25"/>
      <c r="B38" s="25"/>
      <c r="C38" s="25"/>
      <c r="D38" s="25"/>
      <c r="E38" s="25"/>
      <c r="F38" s="25"/>
      <c r="G38" s="25"/>
      <c r="H38" s="25"/>
      <c r="I38" s="25"/>
      <c r="J38" s="25"/>
      <c r="K38" s="25"/>
      <c r="L38" s="25"/>
      <c r="M38" s="25"/>
      <c r="N38" s="25"/>
      <c r="O38" s="25"/>
      <c r="P38" s="25"/>
      <c r="Q38" s="25"/>
      <c r="R38" s="25"/>
      <c r="S38" s="25"/>
      <c r="T38" s="25"/>
      <c r="U38" s="25"/>
      <c r="V38" s="25"/>
      <c r="W38" s="25"/>
      <c r="X38" s="25"/>
      <c r="Y38" s="25"/>
      <c r="Z38" s="25"/>
      <c r="AA38" s="25"/>
      <c r="AB38" s="25"/>
      <c r="AC38" s="25"/>
      <c r="AD38" s="25"/>
      <c r="AE38" s="25"/>
      <c r="AF38" s="25"/>
      <c r="AG38" s="25"/>
      <c r="AH38" s="25"/>
      <c r="AI38" s="25"/>
      <c r="AJ38" s="25"/>
      <c r="AK38" s="25"/>
      <c r="AL38" s="25"/>
      <c r="AM38" s="25"/>
      <c r="AN38" s="25"/>
      <c r="AO38" s="25"/>
      <c r="AP38" s="25"/>
      <c r="AQ38" s="25"/>
      <c r="AR38" s="25"/>
      <c r="AS38" s="25"/>
      <c r="AT38" s="25"/>
      <c r="AU38" s="25"/>
      <c r="AV38" s="25"/>
      <c r="AW38" s="25"/>
      <c r="AX38" s="25"/>
      <c r="AY38" s="25"/>
      <c r="AZ38" s="25"/>
      <c r="BA38" s="25"/>
      <c r="BB38" s="25"/>
      <c r="BC38" s="25"/>
      <c r="BD38" s="25"/>
      <c r="BE38" s="25"/>
      <c r="BF38" s="25"/>
      <c r="BG38" s="25"/>
      <c r="BH38" s="25"/>
      <c r="BI38" s="25"/>
      <c r="BJ38" s="25"/>
    </row>
    <row r="39" spans="1:62" x14ac:dyDescent="0.25">
      <c r="A39" s="25"/>
      <c r="B39" s="25"/>
      <c r="C39" s="25"/>
      <c r="D39" s="25"/>
      <c r="E39" s="25"/>
      <c r="F39" s="25"/>
      <c r="G39" s="25"/>
      <c r="H39" s="25"/>
      <c r="I39" s="25"/>
      <c r="J39" s="25"/>
      <c r="K39" s="25"/>
      <c r="L39" s="25"/>
      <c r="M39" s="25"/>
      <c r="N39" s="25"/>
      <c r="O39" s="25"/>
      <c r="P39" s="25"/>
      <c r="Q39" s="25"/>
      <c r="R39" s="25"/>
      <c r="S39" s="25"/>
      <c r="T39" s="25"/>
      <c r="U39" s="25"/>
      <c r="V39" s="25"/>
      <c r="W39" s="25"/>
      <c r="X39" s="25"/>
      <c r="Y39" s="25"/>
      <c r="Z39" s="25"/>
      <c r="AA39" s="25"/>
      <c r="AB39" s="25"/>
      <c r="AC39" s="25"/>
      <c r="AD39" s="25"/>
      <c r="AE39" s="25"/>
      <c r="AF39" s="25"/>
      <c r="AG39" s="25"/>
      <c r="AH39" s="25"/>
      <c r="AI39" s="25"/>
      <c r="AJ39" s="25"/>
      <c r="AK39" s="25"/>
      <c r="AL39" s="25"/>
      <c r="AM39" s="25"/>
      <c r="AN39" s="25"/>
      <c r="AO39" s="25"/>
      <c r="AP39" s="25"/>
      <c r="AQ39" s="25"/>
      <c r="AR39" s="25"/>
      <c r="AS39" s="25"/>
      <c r="AT39" s="25"/>
      <c r="AU39" s="25"/>
      <c r="AV39" s="25"/>
      <c r="AW39" s="25"/>
      <c r="AX39" s="25"/>
      <c r="AY39" s="25"/>
      <c r="AZ39" s="25"/>
      <c r="BA39" s="25"/>
      <c r="BB39" s="25"/>
      <c r="BC39" s="25"/>
      <c r="BD39" s="25"/>
      <c r="BE39" s="25"/>
      <c r="BF39" s="25"/>
      <c r="BG39" s="25"/>
      <c r="BH39" s="25"/>
      <c r="BI39" s="25"/>
      <c r="BJ39" s="25"/>
    </row>
    <row r="40" spans="1:62" x14ac:dyDescent="0.25">
      <c r="A40" s="25"/>
      <c r="B40" s="25"/>
      <c r="C40" s="25"/>
      <c r="D40" s="25"/>
      <c r="E40" s="25"/>
      <c r="F40" s="25"/>
      <c r="G40" s="25"/>
      <c r="H40" s="25"/>
      <c r="I40" s="25"/>
      <c r="J40" s="25"/>
      <c r="K40" s="25"/>
      <c r="L40" s="25"/>
      <c r="M40" s="25"/>
      <c r="N40" s="25"/>
      <c r="O40" s="25"/>
      <c r="P40" s="25"/>
      <c r="Q40" s="25"/>
      <c r="R40" s="25"/>
      <c r="S40" s="25"/>
      <c r="T40" s="25"/>
      <c r="U40" s="25"/>
      <c r="V40" s="25"/>
      <c r="W40" s="25"/>
      <c r="X40" s="25"/>
      <c r="Y40" s="25"/>
      <c r="Z40" s="25"/>
      <c r="AA40" s="25"/>
      <c r="AB40" s="25"/>
      <c r="AC40" s="25"/>
      <c r="AD40" s="25"/>
      <c r="AE40" s="25"/>
      <c r="AF40" s="25"/>
      <c r="AG40" s="25"/>
      <c r="AH40" s="25"/>
      <c r="AI40" s="25"/>
      <c r="AJ40" s="25"/>
      <c r="AK40" s="25"/>
      <c r="AL40" s="25"/>
      <c r="AM40" s="25"/>
      <c r="AN40" s="25"/>
      <c r="AO40" s="25"/>
      <c r="AP40" s="25"/>
      <c r="AQ40" s="25"/>
      <c r="AR40" s="25"/>
      <c r="AS40" s="25"/>
      <c r="AT40" s="25"/>
      <c r="AU40" s="25"/>
      <c r="AV40" s="25"/>
      <c r="AW40" s="25"/>
      <c r="AX40" s="25"/>
      <c r="AY40" s="25"/>
      <c r="AZ40" s="25"/>
      <c r="BA40" s="25"/>
      <c r="BB40" s="25"/>
      <c r="BC40" s="25"/>
      <c r="BD40" s="25"/>
      <c r="BE40" s="25"/>
      <c r="BF40" s="25"/>
      <c r="BG40" s="25"/>
      <c r="BH40" s="25"/>
      <c r="BI40" s="25"/>
      <c r="BJ40" s="25"/>
    </row>
    <row r="41" spans="1:62" x14ac:dyDescent="0.25">
      <c r="A41" s="25"/>
      <c r="B41" s="25"/>
      <c r="C41" s="25"/>
      <c r="D41" s="25"/>
      <c r="E41" s="25"/>
      <c r="F41" s="25"/>
      <c r="G41" s="25"/>
      <c r="H41" s="25"/>
      <c r="I41" s="25"/>
      <c r="J41" s="25"/>
      <c r="K41" s="25"/>
      <c r="L41" s="25"/>
      <c r="M41" s="25"/>
      <c r="N41" s="25"/>
      <c r="O41" s="25"/>
      <c r="P41" s="25"/>
      <c r="Q41" s="25"/>
      <c r="R41" s="25"/>
      <c r="S41" s="25"/>
      <c r="T41" s="25"/>
      <c r="U41" s="25"/>
      <c r="V41" s="25"/>
      <c r="W41" s="25"/>
      <c r="X41" s="25"/>
      <c r="Y41" s="25"/>
      <c r="Z41" s="25"/>
      <c r="AA41" s="25"/>
      <c r="AB41" s="25"/>
      <c r="AC41" s="25"/>
      <c r="AD41" s="25"/>
      <c r="AE41" s="25"/>
      <c r="AF41" s="25"/>
      <c r="AG41" s="25"/>
      <c r="AH41" s="25"/>
      <c r="AI41" s="25"/>
      <c r="AJ41" s="25"/>
      <c r="AK41" s="25"/>
      <c r="AL41" s="25"/>
      <c r="AM41" s="25"/>
      <c r="AN41" s="25"/>
      <c r="AO41" s="25"/>
      <c r="AP41" s="25"/>
      <c r="AQ41" s="25"/>
      <c r="AR41" s="25"/>
      <c r="AS41" s="25"/>
      <c r="AT41" s="25"/>
      <c r="AU41" s="25"/>
      <c r="AV41" s="25"/>
      <c r="AW41" s="25"/>
      <c r="AX41" s="25"/>
      <c r="AY41" s="25"/>
      <c r="AZ41" s="25"/>
      <c r="BA41" s="25"/>
      <c r="BB41" s="25"/>
      <c r="BC41" s="25"/>
      <c r="BD41" s="25"/>
      <c r="BE41" s="25"/>
      <c r="BF41" s="25"/>
      <c r="BG41" s="25"/>
      <c r="BH41" s="25"/>
      <c r="BI41" s="25"/>
      <c r="BJ41" s="25"/>
    </row>
    <row r="42" spans="1:62" x14ac:dyDescent="0.25">
      <c r="A42" s="25"/>
      <c r="B42" s="25"/>
      <c r="C42" s="25"/>
      <c r="D42" s="25"/>
      <c r="E42" s="25"/>
      <c r="F42" s="25"/>
      <c r="G42" s="25"/>
      <c r="H42" s="25"/>
      <c r="I42" s="25"/>
      <c r="J42" s="25"/>
      <c r="K42" s="25"/>
      <c r="L42" s="25"/>
      <c r="M42" s="25"/>
      <c r="N42" s="25"/>
      <c r="O42" s="25"/>
      <c r="P42" s="25"/>
      <c r="Q42" s="25"/>
      <c r="R42" s="25"/>
      <c r="S42" s="25"/>
      <c r="T42" s="25"/>
      <c r="U42" s="25"/>
      <c r="V42" s="25"/>
      <c r="W42" s="25"/>
      <c r="X42" s="25"/>
      <c r="Y42" s="25"/>
      <c r="Z42" s="25"/>
      <c r="AA42" s="25"/>
      <c r="AB42" s="25"/>
      <c r="AC42" s="25"/>
      <c r="AD42" s="25"/>
      <c r="AE42" s="25"/>
      <c r="AF42" s="25"/>
      <c r="AG42" s="25"/>
      <c r="AH42" s="25"/>
      <c r="AI42" s="25"/>
      <c r="AJ42" s="25"/>
      <c r="AK42" s="25"/>
      <c r="AL42" s="25"/>
      <c r="AM42" s="25"/>
      <c r="AN42" s="25"/>
      <c r="AO42" s="25"/>
      <c r="AP42" s="25"/>
      <c r="AQ42" s="25"/>
      <c r="AR42" s="25"/>
      <c r="AS42" s="25"/>
      <c r="AT42" s="25"/>
      <c r="AU42" s="25"/>
      <c r="AV42" s="25"/>
      <c r="AW42" s="25"/>
      <c r="AX42" s="25"/>
      <c r="AY42" s="25"/>
      <c r="AZ42" s="25"/>
      <c r="BA42" s="25"/>
      <c r="BB42" s="25"/>
      <c r="BC42" s="25"/>
      <c r="BD42" s="25"/>
      <c r="BE42" s="25"/>
      <c r="BF42" s="25"/>
      <c r="BG42" s="25"/>
      <c r="BH42" s="25"/>
      <c r="BI42" s="25"/>
      <c r="BJ42" s="25"/>
    </row>
    <row r="43" spans="1:62" x14ac:dyDescent="0.25">
      <c r="A43" s="25"/>
      <c r="B43" s="25"/>
      <c r="C43" s="25"/>
      <c r="D43" s="25"/>
      <c r="E43" s="25"/>
      <c r="F43" s="25"/>
      <c r="G43" s="25"/>
      <c r="H43" s="25"/>
      <c r="I43" s="25"/>
      <c r="J43" s="25"/>
      <c r="K43" s="25"/>
      <c r="L43" s="25"/>
      <c r="M43" s="25"/>
      <c r="N43" s="25"/>
      <c r="O43" s="25"/>
      <c r="P43" s="25"/>
      <c r="Q43" s="25"/>
      <c r="R43" s="25"/>
      <c r="S43" s="25"/>
      <c r="T43" s="25"/>
      <c r="U43" s="25"/>
      <c r="V43" s="25"/>
      <c r="W43" s="25"/>
      <c r="X43" s="25"/>
      <c r="Y43" s="25"/>
      <c r="Z43" s="25"/>
      <c r="AA43" s="25"/>
      <c r="AB43" s="25"/>
      <c r="AC43" s="25"/>
      <c r="AD43" s="25"/>
      <c r="AE43" s="25"/>
      <c r="AF43" s="25"/>
      <c r="AG43" s="25"/>
      <c r="AH43" s="25"/>
      <c r="AI43" s="25"/>
      <c r="AJ43" s="25"/>
      <c r="AK43" s="25"/>
      <c r="AL43" s="25"/>
      <c r="AM43" s="25"/>
      <c r="AN43" s="25"/>
      <c r="AO43" s="25"/>
      <c r="AP43" s="25"/>
      <c r="AQ43" s="25"/>
      <c r="AR43" s="25"/>
      <c r="AS43" s="25"/>
      <c r="AT43" s="25"/>
      <c r="AU43" s="25"/>
      <c r="AV43" s="25"/>
      <c r="AW43" s="25"/>
      <c r="AX43" s="25"/>
      <c r="AY43" s="25"/>
      <c r="AZ43" s="25"/>
      <c r="BA43" s="25"/>
      <c r="BB43" s="25"/>
      <c r="BC43" s="25"/>
      <c r="BD43" s="25"/>
      <c r="BE43" s="25"/>
      <c r="BF43" s="25"/>
      <c r="BG43" s="25"/>
      <c r="BH43" s="25"/>
      <c r="BI43" s="25"/>
      <c r="BJ43" s="25"/>
    </row>
    <row r="44" spans="1:62" x14ac:dyDescent="0.25">
      <c r="A44" s="25"/>
      <c r="B44" s="25"/>
      <c r="C44" s="25"/>
      <c r="D44" s="25"/>
      <c r="E44" s="25"/>
      <c r="F44" s="25"/>
      <c r="G44" s="25"/>
      <c r="H44" s="25"/>
      <c r="I44" s="25"/>
      <c r="J44" s="25"/>
      <c r="K44" s="25"/>
      <c r="L44" s="25"/>
      <c r="M44" s="25"/>
      <c r="N44" s="25"/>
      <c r="O44" s="25"/>
      <c r="P44" s="25"/>
      <c r="Q44" s="25"/>
      <c r="R44" s="25"/>
      <c r="S44" s="25"/>
      <c r="T44" s="25"/>
      <c r="U44" s="25"/>
      <c r="V44" s="25"/>
      <c r="W44" s="25"/>
      <c r="X44" s="25"/>
      <c r="Y44" s="25"/>
      <c r="Z44" s="25"/>
      <c r="AA44" s="25"/>
      <c r="AB44" s="25"/>
      <c r="AC44" s="25"/>
      <c r="AD44" s="25"/>
      <c r="AE44" s="25"/>
      <c r="AF44" s="25"/>
      <c r="AG44" s="25"/>
      <c r="AH44" s="25"/>
      <c r="AI44" s="25"/>
      <c r="AJ44" s="25"/>
      <c r="AK44" s="25"/>
      <c r="AL44" s="25"/>
      <c r="AM44" s="25"/>
      <c r="AN44" s="25"/>
      <c r="AO44" s="25"/>
      <c r="AP44" s="25"/>
      <c r="AQ44" s="25"/>
      <c r="AR44" s="25"/>
      <c r="AS44" s="25"/>
      <c r="AT44" s="25"/>
      <c r="AU44" s="25"/>
      <c r="AV44" s="25"/>
      <c r="AW44" s="25"/>
      <c r="AX44" s="25"/>
      <c r="AY44" s="25"/>
      <c r="AZ44" s="25"/>
      <c r="BA44" s="25"/>
      <c r="BB44" s="25"/>
      <c r="BC44" s="25"/>
      <c r="BD44" s="25"/>
      <c r="BE44" s="25"/>
      <c r="BF44" s="25"/>
      <c r="BG44" s="25"/>
      <c r="BH44" s="25"/>
      <c r="BI44" s="25"/>
      <c r="BJ44" s="25"/>
    </row>
    <row r="45" spans="1:62" x14ac:dyDescent="0.25">
      <c r="A45" s="25"/>
      <c r="B45" s="25"/>
      <c r="C45" s="25"/>
      <c r="D45" s="25"/>
      <c r="E45" s="25"/>
      <c r="F45" s="25"/>
      <c r="G45" s="25"/>
      <c r="H45" s="25"/>
      <c r="I45" s="25"/>
      <c r="J45" s="25"/>
      <c r="K45" s="25"/>
      <c r="L45" s="25"/>
      <c r="M45" s="25"/>
      <c r="N45" s="25"/>
      <c r="O45" s="25"/>
      <c r="P45" s="25"/>
      <c r="Q45" s="25"/>
      <c r="R45" s="25"/>
      <c r="S45" s="25"/>
      <c r="T45" s="25"/>
      <c r="U45" s="25"/>
      <c r="V45" s="25"/>
      <c r="W45" s="25"/>
      <c r="X45" s="25"/>
      <c r="Y45" s="25"/>
      <c r="Z45" s="25"/>
      <c r="AA45" s="25"/>
      <c r="AB45" s="25"/>
      <c r="AC45" s="25"/>
      <c r="AD45" s="25"/>
      <c r="AE45" s="25"/>
      <c r="AF45" s="25"/>
      <c r="AG45" s="25"/>
      <c r="AH45" s="25"/>
      <c r="AI45" s="25"/>
      <c r="AJ45" s="25"/>
      <c r="AK45" s="25"/>
      <c r="AL45" s="25"/>
      <c r="AM45" s="25"/>
      <c r="AN45" s="25"/>
      <c r="AO45" s="25"/>
      <c r="AP45" s="25"/>
      <c r="AQ45" s="25"/>
      <c r="AR45" s="25"/>
      <c r="AS45" s="25"/>
      <c r="AT45" s="25"/>
      <c r="AU45" s="25"/>
      <c r="AV45" s="25"/>
      <c r="AW45" s="25"/>
      <c r="AX45" s="25"/>
      <c r="AY45" s="25"/>
      <c r="AZ45" s="25"/>
      <c r="BA45" s="25"/>
      <c r="BB45" s="25"/>
      <c r="BC45" s="25"/>
      <c r="BD45" s="25"/>
      <c r="BE45" s="25"/>
      <c r="BF45" s="25"/>
      <c r="BG45" s="25"/>
      <c r="BH45" s="25"/>
      <c r="BI45" s="25"/>
      <c r="BJ45" s="25"/>
    </row>
    <row r="46" spans="1:62" x14ac:dyDescent="0.25">
      <c r="A46" s="25"/>
      <c r="B46" s="25"/>
      <c r="C46" s="25"/>
      <c r="D46" s="25"/>
      <c r="E46" s="25"/>
      <c r="F46" s="25"/>
      <c r="G46" s="25"/>
      <c r="H46" s="25"/>
      <c r="I46" s="25"/>
      <c r="J46" s="25"/>
      <c r="K46" s="25"/>
      <c r="L46" s="25"/>
      <c r="M46" s="25"/>
      <c r="N46" s="25"/>
      <c r="O46" s="25"/>
      <c r="P46" s="25"/>
      <c r="Q46" s="25"/>
      <c r="R46" s="25"/>
      <c r="S46" s="25"/>
      <c r="T46" s="25"/>
      <c r="U46" s="25"/>
      <c r="V46" s="25"/>
      <c r="W46" s="25"/>
      <c r="X46" s="25"/>
      <c r="Y46" s="25"/>
      <c r="Z46" s="25"/>
      <c r="AA46" s="25"/>
      <c r="AB46" s="25"/>
      <c r="AC46" s="25"/>
      <c r="AD46" s="25"/>
      <c r="AE46" s="25"/>
      <c r="AF46" s="25"/>
      <c r="AG46" s="25"/>
      <c r="AH46" s="25"/>
      <c r="AI46" s="25"/>
      <c r="AJ46" s="25"/>
      <c r="AK46" s="25"/>
      <c r="AL46" s="25"/>
      <c r="AM46" s="25"/>
      <c r="AN46" s="25"/>
      <c r="AO46" s="25"/>
      <c r="AP46" s="25"/>
      <c r="AQ46" s="25"/>
      <c r="AR46" s="25"/>
      <c r="AS46" s="25"/>
      <c r="AT46" s="25"/>
      <c r="AU46" s="25"/>
      <c r="AV46" s="25"/>
      <c r="AW46" s="25"/>
      <c r="AX46" s="25"/>
      <c r="AY46" s="25"/>
      <c r="AZ46" s="25"/>
      <c r="BA46" s="25"/>
      <c r="BB46" s="25"/>
      <c r="BC46" s="25"/>
      <c r="BD46" s="25"/>
      <c r="BE46" s="25"/>
      <c r="BF46" s="25"/>
      <c r="BG46" s="25"/>
      <c r="BH46" s="25"/>
      <c r="BI46" s="25"/>
      <c r="BJ46" s="25"/>
    </row>
    <row r="47" spans="1:62" x14ac:dyDescent="0.25">
      <c r="A47" s="25"/>
      <c r="B47" s="25"/>
      <c r="C47" s="25"/>
      <c r="D47" s="25"/>
      <c r="E47" s="25"/>
      <c r="F47" s="25"/>
      <c r="G47" s="25"/>
      <c r="H47" s="25"/>
      <c r="I47" s="25"/>
      <c r="J47" s="25"/>
      <c r="K47" s="25"/>
      <c r="L47" s="25"/>
      <c r="M47" s="25"/>
      <c r="N47" s="25"/>
      <c r="O47" s="25"/>
      <c r="P47" s="25"/>
      <c r="Q47" s="25"/>
      <c r="R47" s="25"/>
      <c r="S47" s="25"/>
      <c r="T47" s="25"/>
      <c r="U47" s="25"/>
      <c r="V47" s="25"/>
      <c r="W47" s="25"/>
      <c r="X47" s="25"/>
      <c r="Y47" s="25"/>
      <c r="Z47" s="25"/>
      <c r="AA47" s="25"/>
      <c r="AB47" s="25"/>
      <c r="AC47" s="25"/>
      <c r="AD47" s="25"/>
      <c r="AE47" s="25"/>
      <c r="AF47" s="25"/>
      <c r="AG47" s="25"/>
      <c r="AH47" s="25"/>
      <c r="AI47" s="25"/>
      <c r="AJ47" s="25"/>
      <c r="AK47" s="25"/>
      <c r="AL47" s="25"/>
      <c r="AM47" s="25"/>
      <c r="AN47" s="25"/>
      <c r="AO47" s="25"/>
      <c r="AP47" s="25"/>
      <c r="AQ47" s="25"/>
      <c r="AR47" s="25"/>
      <c r="AS47" s="25"/>
      <c r="AT47" s="25"/>
      <c r="AU47" s="25"/>
      <c r="AV47" s="25"/>
      <c r="AW47" s="25"/>
      <c r="AX47" s="25"/>
      <c r="AY47" s="25"/>
      <c r="AZ47" s="25"/>
      <c r="BA47" s="25"/>
      <c r="BB47" s="25"/>
      <c r="BC47" s="25"/>
      <c r="BD47" s="25"/>
      <c r="BE47" s="25"/>
      <c r="BF47" s="25"/>
      <c r="BG47" s="25"/>
      <c r="BH47" s="25"/>
      <c r="BI47" s="25"/>
      <c r="BJ47" s="25"/>
    </row>
    <row r="48" spans="1:62" x14ac:dyDescent="0.25">
      <c r="A48" s="25"/>
      <c r="B48" s="25"/>
      <c r="C48" s="25"/>
      <c r="D48" s="25"/>
      <c r="E48" s="25"/>
      <c r="F48" s="25"/>
      <c r="G48" s="25"/>
      <c r="H48" s="25"/>
      <c r="I48" s="25"/>
      <c r="J48" s="25"/>
      <c r="K48" s="25"/>
      <c r="L48" s="25"/>
      <c r="M48" s="25"/>
      <c r="N48" s="25"/>
      <c r="O48" s="25"/>
      <c r="P48" s="25"/>
      <c r="Q48" s="25"/>
      <c r="R48" s="25"/>
      <c r="S48" s="25"/>
      <c r="T48" s="25"/>
      <c r="U48" s="25"/>
      <c r="V48" s="25"/>
      <c r="W48" s="25"/>
      <c r="X48" s="25"/>
      <c r="Y48" s="25"/>
      <c r="Z48" s="25"/>
      <c r="AA48" s="25"/>
      <c r="AB48" s="25"/>
      <c r="AC48" s="25"/>
      <c r="AD48" s="25"/>
      <c r="AE48" s="25"/>
      <c r="AF48" s="25"/>
      <c r="AG48" s="25"/>
      <c r="AH48" s="25"/>
      <c r="AI48" s="25"/>
      <c r="AJ48" s="25"/>
      <c r="AK48" s="25"/>
      <c r="AL48" s="25"/>
      <c r="AM48" s="25"/>
      <c r="AN48" s="25"/>
      <c r="AO48" s="25"/>
      <c r="AP48" s="25"/>
      <c r="AQ48" s="25"/>
      <c r="AR48" s="25"/>
      <c r="AS48" s="25"/>
      <c r="AT48" s="25"/>
      <c r="AU48" s="25"/>
      <c r="AV48" s="25"/>
      <c r="AW48" s="25"/>
      <c r="AX48" s="25"/>
      <c r="AY48" s="25"/>
      <c r="AZ48" s="25"/>
      <c r="BA48" s="25"/>
      <c r="BB48" s="25"/>
      <c r="BC48" s="25"/>
      <c r="BD48" s="25"/>
      <c r="BE48" s="25"/>
      <c r="BF48" s="25"/>
      <c r="BG48" s="25"/>
      <c r="BH48" s="25"/>
      <c r="BI48" s="25"/>
      <c r="BJ48" s="25"/>
    </row>
    <row r="49" spans="1:62" x14ac:dyDescent="0.25">
      <c r="A49" s="25"/>
      <c r="B49" s="25"/>
      <c r="C49" s="25"/>
      <c r="D49" s="25"/>
      <c r="E49" s="25"/>
      <c r="F49" s="25"/>
      <c r="G49" s="25"/>
      <c r="H49" s="25"/>
      <c r="I49" s="25"/>
      <c r="J49" s="25"/>
      <c r="K49" s="25"/>
      <c r="L49" s="25"/>
      <c r="M49" s="25"/>
      <c r="N49" s="25"/>
      <c r="O49" s="25"/>
      <c r="P49" s="25"/>
      <c r="Q49" s="25"/>
      <c r="R49" s="25"/>
      <c r="S49" s="25"/>
      <c r="T49" s="25"/>
      <c r="U49" s="25"/>
      <c r="V49" s="25"/>
      <c r="W49" s="25"/>
      <c r="X49" s="25"/>
      <c r="Y49" s="25"/>
      <c r="Z49" s="25"/>
      <c r="AA49" s="25"/>
      <c r="AB49" s="25"/>
      <c r="AC49" s="25"/>
      <c r="AD49" s="25"/>
      <c r="AE49" s="25"/>
      <c r="AF49" s="25"/>
      <c r="AG49" s="25"/>
      <c r="AH49" s="25"/>
      <c r="AI49" s="25"/>
      <c r="AJ49" s="25"/>
      <c r="AK49" s="25"/>
      <c r="AL49" s="25"/>
      <c r="AM49" s="25"/>
      <c r="AN49" s="25"/>
      <c r="AO49" s="25"/>
      <c r="AP49" s="25"/>
      <c r="AQ49" s="25"/>
      <c r="AR49" s="25"/>
      <c r="AS49" s="25"/>
      <c r="AT49" s="25"/>
      <c r="AU49" s="25"/>
      <c r="AV49" s="25"/>
      <c r="AW49" s="25"/>
      <c r="AX49" s="25"/>
      <c r="AY49" s="25"/>
      <c r="AZ49" s="25"/>
      <c r="BA49" s="25"/>
      <c r="BB49" s="25"/>
      <c r="BC49" s="25"/>
      <c r="BD49" s="25"/>
      <c r="BE49" s="25"/>
      <c r="BF49" s="25"/>
      <c r="BG49" s="25"/>
      <c r="BH49" s="25"/>
      <c r="BI49" s="25"/>
      <c r="BJ49" s="25"/>
    </row>
    <row r="50" spans="1:62" x14ac:dyDescent="0.25">
      <c r="A50" s="25"/>
      <c r="B50" s="25"/>
      <c r="C50" s="25"/>
      <c r="D50" s="25"/>
      <c r="E50" s="25"/>
      <c r="F50" s="25"/>
      <c r="G50" s="25"/>
      <c r="H50" s="25"/>
      <c r="I50" s="25"/>
      <c r="J50" s="25"/>
      <c r="K50" s="25"/>
      <c r="L50" s="25"/>
      <c r="M50" s="25"/>
      <c r="N50" s="25"/>
      <c r="O50" s="25"/>
      <c r="P50" s="25"/>
      <c r="Q50" s="25"/>
      <c r="R50" s="25"/>
      <c r="S50" s="25"/>
      <c r="T50" s="25"/>
      <c r="U50" s="25"/>
      <c r="V50" s="25"/>
      <c r="W50" s="25"/>
      <c r="X50" s="25"/>
      <c r="Y50" s="25"/>
      <c r="Z50" s="25"/>
      <c r="AA50" s="25"/>
      <c r="AB50" s="25"/>
      <c r="AC50" s="25"/>
      <c r="AD50" s="25"/>
      <c r="AE50" s="25"/>
      <c r="AF50" s="25"/>
      <c r="AG50" s="25"/>
      <c r="AH50" s="25"/>
      <c r="AI50" s="25"/>
      <c r="AJ50" s="25"/>
      <c r="AK50" s="25"/>
      <c r="AL50" s="25"/>
      <c r="AM50" s="25"/>
      <c r="AN50" s="25"/>
      <c r="AO50" s="25"/>
      <c r="AP50" s="25"/>
      <c r="AQ50" s="25"/>
      <c r="AR50" s="25"/>
      <c r="AS50" s="25"/>
      <c r="AT50" s="25"/>
      <c r="AU50" s="25"/>
      <c r="AV50" s="25"/>
      <c r="AW50" s="25"/>
      <c r="AX50" s="25"/>
      <c r="AY50" s="25"/>
      <c r="AZ50" s="25"/>
      <c r="BA50" s="25"/>
      <c r="BB50" s="25"/>
      <c r="BC50" s="25"/>
      <c r="BD50" s="25"/>
      <c r="BE50" s="25"/>
      <c r="BF50" s="25"/>
      <c r="BG50" s="25"/>
      <c r="BH50" s="25"/>
      <c r="BI50" s="25"/>
      <c r="BJ50" s="25"/>
    </row>
  </sheetData>
  <dataValidations count="3">
    <dataValidation type="decimal" operator="greaterThanOrEqual" allowBlank="1" showInputMessage="1" showErrorMessage="1" errorTitle="Data Type Error" error="Should be greater than or equal to 0" sqref="B2:BJ50" xr:uid="{53A615C6-F72F-4CA3-A60B-52890D74CFAB}">
      <formula1>0</formula1>
    </dataValidation>
    <dataValidation type="decimal" operator="greaterThan" allowBlank="1" showInputMessage="1" showErrorMessage="1" errorTitle="Data Type Error" error="Should be Number not Text" sqref="B51:E1048576" xr:uid="{61829006-C7D6-4E81-966A-F8E1955FA29C}">
      <formula1>0</formula1>
    </dataValidation>
    <dataValidation type="whole" operator="greaterThan" allowBlank="1" showInputMessage="1" showErrorMessage="1" errorTitle="Data Type Error" error="Should be Number not Text." sqref="A2:A1048576" xr:uid="{73B165F5-0710-4C7E-A4C9-4B7C0E3D4DC4}">
      <formula1>0</formula1>
    </dataValidation>
  </dataValidations>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A8E804-2D62-4628-B2DA-5C5F0F1DD5B8}">
  <sheetPr codeName="Sheet31">
    <tabColor rgb="FFA3B8BA"/>
  </sheetPr>
  <dimension ref="A1:C50"/>
  <sheetViews>
    <sheetView workbookViewId="0">
      <selection activeCell="A2" sqref="A2:C14"/>
    </sheetView>
  </sheetViews>
  <sheetFormatPr defaultColWidth="0" defaultRowHeight="15" zeroHeight="1" x14ac:dyDescent="0.25"/>
  <cols>
    <col min="1" max="1" width="6.85546875" bestFit="1" customWidth="1"/>
    <col min="2" max="2" width="23.5703125" bestFit="1" customWidth="1"/>
    <col min="3" max="3" width="26.140625" bestFit="1" customWidth="1"/>
    <col min="4" max="16384" width="8.85546875" hidden="1"/>
  </cols>
  <sheetData>
    <row r="1" spans="1:3" x14ac:dyDescent="0.25">
      <c r="A1" s="2" t="s">
        <v>0</v>
      </c>
      <c r="B1" s="2" t="s">
        <v>8</v>
      </c>
      <c r="C1" s="2" t="s">
        <v>9</v>
      </c>
    </row>
    <row r="2" spans="1:3" x14ac:dyDescent="0.25">
      <c r="A2" s="25">
        <v>2023</v>
      </c>
      <c r="B2" s="25">
        <v>100</v>
      </c>
      <c r="C2" s="25">
        <v>100</v>
      </c>
    </row>
    <row r="3" spans="1:3" x14ac:dyDescent="0.25">
      <c r="A3" s="25">
        <v>2024</v>
      </c>
      <c r="B3" s="25">
        <v>100</v>
      </c>
      <c r="C3" s="25">
        <v>100</v>
      </c>
    </row>
    <row r="4" spans="1:3" x14ac:dyDescent="0.25">
      <c r="A4" s="25">
        <v>2025</v>
      </c>
      <c r="B4" s="25">
        <v>100</v>
      </c>
      <c r="C4" s="25">
        <v>100</v>
      </c>
    </row>
    <row r="5" spans="1:3" x14ac:dyDescent="0.25">
      <c r="A5" s="25">
        <v>2026</v>
      </c>
      <c r="B5" s="25">
        <v>100</v>
      </c>
      <c r="C5" s="25">
        <v>100</v>
      </c>
    </row>
    <row r="6" spans="1:3" x14ac:dyDescent="0.25">
      <c r="A6" s="25">
        <v>2027</v>
      </c>
      <c r="B6" s="25">
        <v>100</v>
      </c>
      <c r="C6" s="25">
        <v>100</v>
      </c>
    </row>
    <row r="7" spans="1:3" x14ac:dyDescent="0.25">
      <c r="A7" s="25">
        <v>2028</v>
      </c>
      <c r="B7" s="25">
        <v>100</v>
      </c>
      <c r="C7" s="25">
        <v>100</v>
      </c>
    </row>
    <row r="8" spans="1:3" x14ac:dyDescent="0.25">
      <c r="A8" s="25">
        <v>2029</v>
      </c>
      <c r="B8" s="25">
        <v>100</v>
      </c>
      <c r="C8" s="25">
        <v>100</v>
      </c>
    </row>
    <row r="9" spans="1:3" x14ac:dyDescent="0.25">
      <c r="A9" s="25">
        <v>2030</v>
      </c>
      <c r="B9" s="25">
        <v>100</v>
      </c>
      <c r="C9" s="25">
        <v>100</v>
      </c>
    </row>
    <row r="10" spans="1:3" x14ac:dyDescent="0.25">
      <c r="A10" s="25">
        <v>2031</v>
      </c>
      <c r="B10" s="25">
        <v>12.5</v>
      </c>
      <c r="C10" s="25">
        <v>12.5</v>
      </c>
    </row>
    <row r="11" spans="1:3" x14ac:dyDescent="0.25">
      <c r="A11" s="25">
        <v>2032</v>
      </c>
      <c r="B11" s="25">
        <v>12.5</v>
      </c>
      <c r="C11" s="25">
        <v>12.5</v>
      </c>
    </row>
    <row r="12" spans="1:3" x14ac:dyDescent="0.25">
      <c r="A12" s="25">
        <v>2033</v>
      </c>
      <c r="B12" s="25">
        <v>12.5</v>
      </c>
      <c r="C12" s="25">
        <v>12.5</v>
      </c>
    </row>
    <row r="13" spans="1:3" x14ac:dyDescent="0.25">
      <c r="A13" s="25">
        <v>2034</v>
      </c>
      <c r="B13" s="25">
        <v>12.5</v>
      </c>
      <c r="C13" s="25">
        <v>12.5</v>
      </c>
    </row>
    <row r="14" spans="1:3" x14ac:dyDescent="0.25">
      <c r="A14" s="25">
        <v>2035</v>
      </c>
      <c r="B14" s="25">
        <v>12.5</v>
      </c>
      <c r="C14" s="25">
        <v>12.5</v>
      </c>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type="decimal" operator="greaterThanOrEqual" allowBlank="1" showInputMessage="1" showErrorMessage="1" errorTitle="Data Type Error" error="Should be greater than or equal to 0" sqref="B2:C50" xr:uid="{8206270C-F9FE-4DFE-8777-53568D579924}">
      <formula1>0</formula1>
    </dataValidation>
    <dataValidation type="decimal" operator="greaterThan" allowBlank="1" showInputMessage="1" showErrorMessage="1" errorTitle="Data Type Error" error="Should be Number not Text" sqref="B51:C1048576" xr:uid="{7B574841-383E-454B-90A1-41A5286D0E9B}">
      <formula1>0</formula1>
    </dataValidation>
    <dataValidation type="whole" operator="greaterThan" allowBlank="1" showInputMessage="1" showErrorMessage="1" errorTitle="Data Type Error" error="Should be Number not Text" sqref="A2:A1048576" xr:uid="{93E6E8E4-2A8C-4C67-AA73-EB35491A74EC}">
      <formula1>0</formula1>
    </dataValidation>
    <dataValidation operator="greaterThan" allowBlank="1" showInputMessage="1" showErrorMessage="1" errorTitle="Data Type Error" error="Should be Number not Text." sqref="D1:XFD1" xr:uid="{AB024199-61B9-4A9A-AFD8-FA99BA7AED6B}"/>
  </dataValidations>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9E376-6FC1-4A2A-A224-309AD2619EDF}">
  <sheetPr codeName="Sheet9">
    <tabColor rgb="FFA3B8BA"/>
  </sheetPr>
  <dimension ref="A1:C50"/>
  <sheetViews>
    <sheetView workbookViewId="0">
      <selection activeCell="A2" sqref="A2:C14"/>
    </sheetView>
  </sheetViews>
  <sheetFormatPr defaultColWidth="0" defaultRowHeight="15" zeroHeight="1" x14ac:dyDescent="0.25"/>
  <cols>
    <col min="1" max="1" width="8.85546875" customWidth="1"/>
    <col min="2" max="2" width="18" bestFit="1" customWidth="1"/>
    <col min="3" max="3" width="20.28515625" customWidth="1"/>
    <col min="4" max="16384" width="8.85546875" hidden="1"/>
  </cols>
  <sheetData>
    <row r="1" spans="1:3" x14ac:dyDescent="0.25">
      <c r="A1" s="11" t="s">
        <v>0</v>
      </c>
      <c r="B1" s="11" t="s">
        <v>16</v>
      </c>
      <c r="C1" s="11" t="s">
        <v>14</v>
      </c>
    </row>
    <row r="2" spans="1:3" x14ac:dyDescent="0.25">
      <c r="A2" s="25">
        <v>2023</v>
      </c>
      <c r="B2" s="25">
        <v>100</v>
      </c>
      <c r="C2" s="25">
        <v>100</v>
      </c>
    </row>
    <row r="3" spans="1:3" x14ac:dyDescent="0.25">
      <c r="A3" s="25">
        <v>2024</v>
      </c>
      <c r="B3" s="25">
        <v>100</v>
      </c>
      <c r="C3" s="25">
        <v>100</v>
      </c>
    </row>
    <row r="4" spans="1:3" x14ac:dyDescent="0.25">
      <c r="A4" s="25">
        <v>2025</v>
      </c>
      <c r="B4" s="25">
        <v>100</v>
      </c>
      <c r="C4" s="25">
        <v>100</v>
      </c>
    </row>
    <row r="5" spans="1:3" x14ac:dyDescent="0.25">
      <c r="A5" s="25">
        <v>2026</v>
      </c>
      <c r="B5" s="25">
        <v>100</v>
      </c>
      <c r="C5" s="25">
        <v>100</v>
      </c>
    </row>
    <row r="6" spans="1:3" x14ac:dyDescent="0.25">
      <c r="A6" s="25">
        <v>2027</v>
      </c>
      <c r="B6" s="25">
        <v>100</v>
      </c>
      <c r="C6" s="25">
        <v>100</v>
      </c>
    </row>
    <row r="7" spans="1:3" x14ac:dyDescent="0.25">
      <c r="A7" s="25">
        <v>2028</v>
      </c>
      <c r="B7" s="25">
        <v>100</v>
      </c>
      <c r="C7" s="25">
        <v>100</v>
      </c>
    </row>
    <row r="8" spans="1:3" x14ac:dyDescent="0.25">
      <c r="A8" s="25">
        <v>2029</v>
      </c>
      <c r="B8" s="25">
        <v>100</v>
      </c>
      <c r="C8" s="25">
        <v>100</v>
      </c>
    </row>
    <row r="9" spans="1:3" x14ac:dyDescent="0.25">
      <c r="A9" s="25">
        <v>2030</v>
      </c>
      <c r="B9" s="25">
        <v>100</v>
      </c>
      <c r="C9" s="25">
        <v>100</v>
      </c>
    </row>
    <row r="10" spans="1:3" x14ac:dyDescent="0.25">
      <c r="A10" s="25">
        <v>2031</v>
      </c>
      <c r="B10" s="25">
        <v>12.5</v>
      </c>
      <c r="C10" s="25">
        <v>12.5</v>
      </c>
    </row>
    <row r="11" spans="1:3" x14ac:dyDescent="0.25">
      <c r="A11" s="25">
        <v>2032</v>
      </c>
      <c r="B11" s="25">
        <v>12.5</v>
      </c>
      <c r="C11" s="25">
        <v>12.5</v>
      </c>
    </row>
    <row r="12" spans="1:3" x14ac:dyDescent="0.25">
      <c r="A12" s="25">
        <v>2033</v>
      </c>
      <c r="B12" s="25">
        <v>12.5</v>
      </c>
      <c r="C12" s="25">
        <v>12.5</v>
      </c>
    </row>
    <row r="13" spans="1:3" x14ac:dyDescent="0.25">
      <c r="A13" s="25">
        <v>2034</v>
      </c>
      <c r="B13" s="25">
        <v>12.5</v>
      </c>
      <c r="C13" s="25">
        <v>12.5</v>
      </c>
    </row>
    <row r="14" spans="1:3" x14ac:dyDescent="0.25">
      <c r="A14" s="25">
        <v>2035</v>
      </c>
      <c r="B14" s="25">
        <v>12.5</v>
      </c>
      <c r="C14" s="25">
        <v>12.5</v>
      </c>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operator="greaterThan" allowBlank="1" showInputMessage="1" showErrorMessage="1" errorTitle="Data Type Error" error="Should be Number not Text." sqref="D1:XFD1" xr:uid="{5D4748F4-BBD0-401C-B132-765D994474FB}"/>
    <dataValidation type="whole" operator="greaterThan" allowBlank="1" showInputMessage="1" showErrorMessage="1" errorTitle="Data Type Error" error="Should be Number not Text" sqref="A2:A1048576" xr:uid="{2E2DA0BE-121D-4AD7-ADF8-C5A210A86E3F}">
      <formula1>0</formula1>
    </dataValidation>
    <dataValidation type="decimal" operator="greaterThan" allowBlank="1" showInputMessage="1" showErrorMessage="1" errorTitle="Data Type Error" error="Should be Number not Text" sqref="B51:C1048576" xr:uid="{58495EBF-8A0D-4ABF-8385-DB8DC2174076}">
      <formula1>0</formula1>
    </dataValidation>
    <dataValidation type="decimal" operator="greaterThanOrEqual" allowBlank="1" showInputMessage="1" showErrorMessage="1" errorTitle="Data Type Error" error="Should be greater than or equal to 0" sqref="B2:C50" xr:uid="{702A31D6-5A2F-4D09-B593-03903BC75558}">
      <formula1>0</formula1>
    </dataValidation>
  </dataValidations>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DE7F28-910F-41A4-9C83-669553086D7C}">
  <sheetPr codeName="Sheet12">
    <tabColor rgb="FFA3B8BA"/>
  </sheetPr>
  <dimension ref="A1:F200"/>
  <sheetViews>
    <sheetView workbookViewId="0">
      <selection activeCell="D18" sqref="D18"/>
    </sheetView>
  </sheetViews>
  <sheetFormatPr defaultColWidth="0" defaultRowHeight="15" zeroHeight="1" x14ac:dyDescent="0.25"/>
  <cols>
    <col min="1" max="1" width="11.140625" customWidth="1"/>
    <col min="2" max="2" width="19" bestFit="1" customWidth="1"/>
    <col min="3" max="3" width="16.28515625" bestFit="1" customWidth="1"/>
    <col min="4" max="4" width="15.5703125" bestFit="1" customWidth="1"/>
    <col min="5" max="5" width="15.140625" bestFit="1" customWidth="1"/>
    <col min="6" max="6" width="13.85546875" bestFit="1" customWidth="1"/>
    <col min="7" max="16384" width="8.85546875" hidden="1"/>
  </cols>
  <sheetData>
    <row r="1" spans="1:6" x14ac:dyDescent="0.25">
      <c r="A1" s="69" t="s">
        <v>0</v>
      </c>
      <c r="B1" s="69" t="s">
        <v>17</v>
      </c>
      <c r="C1" s="69" t="s">
        <v>18</v>
      </c>
      <c r="D1" s="69" t="s">
        <v>268</v>
      </c>
      <c r="E1" s="69" t="s">
        <v>265</v>
      </c>
      <c r="F1" s="69" t="s">
        <v>253</v>
      </c>
    </row>
    <row r="2" spans="1:6" x14ac:dyDescent="0.25">
      <c r="A2" s="25">
        <v>2023</v>
      </c>
      <c r="B2" s="25" t="s">
        <v>305</v>
      </c>
      <c r="C2" s="25">
        <v>100</v>
      </c>
      <c r="D2" s="25">
        <v>1</v>
      </c>
      <c r="E2" s="25">
        <v>1</v>
      </c>
      <c r="F2" s="25"/>
    </row>
    <row r="3" spans="1:6" x14ac:dyDescent="0.25">
      <c r="A3" s="25">
        <v>2023</v>
      </c>
      <c r="B3" s="25" t="s">
        <v>305</v>
      </c>
      <c r="C3" s="25">
        <v>100</v>
      </c>
      <c r="D3" s="25">
        <v>1</v>
      </c>
      <c r="E3" s="25">
        <v>1</v>
      </c>
      <c r="F3" s="25"/>
    </row>
    <row r="4" spans="1:6" x14ac:dyDescent="0.25">
      <c r="A4" s="25">
        <v>2025</v>
      </c>
      <c r="B4" s="25" t="s">
        <v>305</v>
      </c>
      <c r="C4" s="25">
        <v>100</v>
      </c>
      <c r="D4" s="25">
        <v>1</v>
      </c>
      <c r="E4" s="25">
        <v>1</v>
      </c>
      <c r="F4" s="25"/>
    </row>
    <row r="5" spans="1:6" x14ac:dyDescent="0.25">
      <c r="A5" s="25">
        <v>2025</v>
      </c>
      <c r="B5" s="25" t="s">
        <v>305</v>
      </c>
      <c r="C5" s="25">
        <v>100</v>
      </c>
      <c r="D5" s="25">
        <v>1</v>
      </c>
      <c r="E5" s="25">
        <v>1</v>
      </c>
      <c r="F5" s="25"/>
    </row>
    <row r="6" spans="1:6" x14ac:dyDescent="0.25">
      <c r="A6" s="25">
        <v>2030</v>
      </c>
      <c r="B6" s="25" t="s">
        <v>306</v>
      </c>
      <c r="C6" s="25">
        <v>25</v>
      </c>
      <c r="D6" s="25">
        <v>1</v>
      </c>
      <c r="E6" s="25">
        <v>1</v>
      </c>
      <c r="F6" s="25"/>
    </row>
    <row r="7" spans="1:6" x14ac:dyDescent="0.25">
      <c r="A7" s="25">
        <v>2030</v>
      </c>
      <c r="B7" s="25" t="s">
        <v>306</v>
      </c>
      <c r="C7" s="25">
        <v>25</v>
      </c>
      <c r="D7" s="25">
        <v>1</v>
      </c>
      <c r="E7" s="25">
        <v>1</v>
      </c>
      <c r="F7" s="25"/>
    </row>
    <row r="8" spans="1:6" x14ac:dyDescent="0.25">
      <c r="A8" s="25">
        <v>2031</v>
      </c>
      <c r="B8" s="25" t="s">
        <v>305</v>
      </c>
      <c r="C8" s="25">
        <v>67</v>
      </c>
      <c r="D8" s="25">
        <v>1</v>
      </c>
      <c r="E8" s="25">
        <v>1</v>
      </c>
      <c r="F8" s="25"/>
    </row>
    <row r="9" spans="1:6" x14ac:dyDescent="0.25">
      <c r="A9" s="25">
        <v>2035</v>
      </c>
      <c r="B9" s="25" t="s">
        <v>305</v>
      </c>
      <c r="C9" s="25">
        <v>50</v>
      </c>
      <c r="D9" s="25">
        <v>1</v>
      </c>
      <c r="E9" s="25">
        <v>1</v>
      </c>
      <c r="F9" s="25"/>
    </row>
    <row r="10" spans="1:6" x14ac:dyDescent="0.25">
      <c r="A10" s="25">
        <v>2030</v>
      </c>
      <c r="B10" s="25" t="s">
        <v>306</v>
      </c>
      <c r="C10" s="25">
        <v>25</v>
      </c>
      <c r="D10" s="25">
        <v>1</v>
      </c>
      <c r="E10" s="25">
        <v>1</v>
      </c>
      <c r="F10" s="25"/>
    </row>
    <row r="11" spans="1:6" x14ac:dyDescent="0.25">
      <c r="A11" s="25">
        <v>2031</v>
      </c>
      <c r="B11" s="25" t="s">
        <v>305</v>
      </c>
      <c r="C11" s="25">
        <v>67</v>
      </c>
      <c r="D11" s="25">
        <v>1</v>
      </c>
      <c r="E11" s="25">
        <v>1</v>
      </c>
      <c r="F11" s="25"/>
    </row>
    <row r="12" spans="1:6" x14ac:dyDescent="0.25">
      <c r="A12" s="25">
        <v>2031</v>
      </c>
      <c r="B12" s="25" t="s">
        <v>305</v>
      </c>
      <c r="C12" s="25">
        <v>67</v>
      </c>
      <c r="D12" s="25">
        <v>1</v>
      </c>
      <c r="E12" s="25">
        <v>1</v>
      </c>
      <c r="F12" s="25"/>
    </row>
    <row r="13" spans="1:6" x14ac:dyDescent="0.25">
      <c r="A13" s="25"/>
      <c r="B13" s="25"/>
      <c r="C13" s="25"/>
      <c r="D13" s="25"/>
      <c r="E13" s="25"/>
      <c r="F13" s="25"/>
    </row>
    <row r="14" spans="1:6" x14ac:dyDescent="0.25">
      <c r="A14" s="25"/>
      <c r="B14" s="25"/>
      <c r="C14" s="25"/>
      <c r="D14" s="25"/>
      <c r="E14" s="25"/>
      <c r="F14" s="25"/>
    </row>
    <row r="15" spans="1:6" x14ac:dyDescent="0.25">
      <c r="A15" s="25"/>
      <c r="B15" s="25"/>
      <c r="C15" s="25"/>
      <c r="D15" s="25"/>
      <c r="E15" s="25"/>
      <c r="F15" s="25"/>
    </row>
    <row r="16" spans="1:6" x14ac:dyDescent="0.25">
      <c r="A16" s="25"/>
      <c r="B16" s="25"/>
      <c r="C16" s="25"/>
      <c r="D16" s="25"/>
      <c r="E16" s="25"/>
      <c r="F16" s="25"/>
    </row>
    <row r="17" spans="1:6" x14ac:dyDescent="0.25">
      <c r="A17" s="25"/>
      <c r="B17" s="25"/>
      <c r="C17" s="25"/>
      <c r="D17" s="25"/>
      <c r="E17" s="25"/>
      <c r="F17" s="25"/>
    </row>
    <row r="18" spans="1:6" x14ac:dyDescent="0.25">
      <c r="A18" s="25"/>
      <c r="B18" s="25"/>
      <c r="C18" s="25"/>
      <c r="D18" s="25"/>
      <c r="E18" s="25"/>
      <c r="F18" s="25"/>
    </row>
    <row r="19" spans="1:6" x14ac:dyDescent="0.25">
      <c r="A19" s="25"/>
      <c r="B19" s="25"/>
      <c r="C19" s="25"/>
      <c r="D19" s="25"/>
      <c r="E19" s="25"/>
      <c r="F19" s="25"/>
    </row>
    <row r="20" spans="1:6" x14ac:dyDescent="0.25">
      <c r="A20" s="25"/>
      <c r="B20" s="25"/>
      <c r="C20" s="25"/>
      <c r="D20" s="25"/>
      <c r="E20" s="25"/>
      <c r="F20" s="25"/>
    </row>
    <row r="21" spans="1:6" x14ac:dyDescent="0.25">
      <c r="A21" s="25"/>
      <c r="B21" s="25"/>
      <c r="C21" s="25"/>
      <c r="D21" s="25"/>
      <c r="E21" s="25"/>
      <c r="F21" s="25"/>
    </row>
    <row r="22" spans="1:6" x14ac:dyDescent="0.25">
      <c r="A22" s="25"/>
      <c r="B22" s="25"/>
      <c r="C22" s="25"/>
      <c r="D22" s="25"/>
      <c r="E22" s="25"/>
      <c r="F22" s="25"/>
    </row>
    <row r="23" spans="1:6" x14ac:dyDescent="0.25">
      <c r="A23" s="25"/>
      <c r="B23" s="25"/>
      <c r="C23" s="25"/>
      <c r="D23" s="25"/>
      <c r="E23" s="25"/>
      <c r="F23" s="25"/>
    </row>
    <row r="24" spans="1:6" x14ac:dyDescent="0.25">
      <c r="A24" s="25"/>
      <c r="B24" s="25"/>
      <c r="C24" s="25"/>
      <c r="D24" s="25"/>
      <c r="E24" s="25"/>
      <c r="F24" s="25"/>
    </row>
    <row r="25" spans="1:6" x14ac:dyDescent="0.25">
      <c r="A25" s="25"/>
      <c r="B25" s="25"/>
      <c r="C25" s="25"/>
      <c r="D25" s="25"/>
      <c r="E25" s="25"/>
      <c r="F25" s="25"/>
    </row>
    <row r="26" spans="1:6" x14ac:dyDescent="0.25">
      <c r="A26" s="25"/>
      <c r="B26" s="25"/>
      <c r="C26" s="25"/>
      <c r="D26" s="25"/>
      <c r="E26" s="25"/>
      <c r="F26" s="25"/>
    </row>
    <row r="27" spans="1:6" x14ac:dyDescent="0.25">
      <c r="A27" s="25"/>
      <c r="B27" s="25"/>
      <c r="C27" s="25"/>
      <c r="D27" s="25"/>
      <c r="E27" s="25"/>
      <c r="F27" s="25"/>
    </row>
    <row r="28" spans="1:6" x14ac:dyDescent="0.25">
      <c r="A28" s="25"/>
      <c r="B28" s="25"/>
      <c r="C28" s="25"/>
      <c r="D28" s="25"/>
      <c r="E28" s="25"/>
      <c r="F28" s="25"/>
    </row>
    <row r="29" spans="1:6" x14ac:dyDescent="0.25">
      <c r="A29" s="25"/>
      <c r="B29" s="25"/>
      <c r="C29" s="25"/>
      <c r="D29" s="25"/>
      <c r="E29" s="25"/>
      <c r="F29" s="25"/>
    </row>
    <row r="30" spans="1:6" x14ac:dyDescent="0.25">
      <c r="A30" s="25"/>
      <c r="B30" s="25"/>
      <c r="C30" s="25"/>
      <c r="D30" s="25"/>
      <c r="E30" s="25"/>
      <c r="F30" s="25"/>
    </row>
    <row r="31" spans="1:6" x14ac:dyDescent="0.25">
      <c r="A31" s="25"/>
      <c r="B31" s="25"/>
      <c r="C31" s="25"/>
      <c r="D31" s="25"/>
      <c r="E31" s="25"/>
      <c r="F31" s="25"/>
    </row>
    <row r="32" spans="1:6" x14ac:dyDescent="0.25">
      <c r="A32" s="25"/>
      <c r="B32" s="25"/>
      <c r="C32" s="25"/>
      <c r="D32" s="25"/>
      <c r="E32" s="25"/>
      <c r="F32" s="25"/>
    </row>
    <row r="33" spans="1:6" x14ac:dyDescent="0.25">
      <c r="A33" s="25"/>
      <c r="B33" s="25"/>
      <c r="C33" s="25"/>
      <c r="D33" s="25"/>
      <c r="E33" s="25"/>
      <c r="F33" s="25"/>
    </row>
    <row r="34" spans="1:6" x14ac:dyDescent="0.25">
      <c r="A34" s="25"/>
      <c r="B34" s="25"/>
      <c r="C34" s="25"/>
      <c r="D34" s="25"/>
      <c r="E34" s="25"/>
      <c r="F34" s="25"/>
    </row>
    <row r="35" spans="1:6" x14ac:dyDescent="0.25">
      <c r="A35" s="25"/>
      <c r="B35" s="25"/>
      <c r="C35" s="25"/>
      <c r="D35" s="25"/>
      <c r="E35" s="25"/>
      <c r="F35" s="25"/>
    </row>
    <row r="36" spans="1:6" x14ac:dyDescent="0.25">
      <c r="A36" s="25"/>
      <c r="B36" s="25"/>
      <c r="C36" s="25"/>
      <c r="D36" s="25"/>
      <c r="E36" s="25"/>
      <c r="F36" s="25"/>
    </row>
    <row r="37" spans="1:6" x14ac:dyDescent="0.25">
      <c r="A37" s="25"/>
      <c r="B37" s="25"/>
      <c r="C37" s="25"/>
      <c r="D37" s="25"/>
      <c r="E37" s="25"/>
      <c r="F37" s="25"/>
    </row>
    <row r="38" spans="1:6" x14ac:dyDescent="0.25">
      <c r="A38" s="25"/>
      <c r="B38" s="25"/>
      <c r="C38" s="25"/>
      <c r="D38" s="25"/>
      <c r="E38" s="25"/>
      <c r="F38" s="25"/>
    </row>
    <row r="39" spans="1:6" x14ac:dyDescent="0.25">
      <c r="A39" s="25"/>
      <c r="B39" s="25"/>
      <c r="C39" s="25"/>
      <c r="D39" s="25"/>
      <c r="E39" s="25"/>
      <c r="F39" s="25"/>
    </row>
    <row r="40" spans="1:6" x14ac:dyDescent="0.25">
      <c r="A40" s="25"/>
      <c r="B40" s="25"/>
      <c r="C40" s="25"/>
      <c r="D40" s="25"/>
      <c r="E40" s="25"/>
      <c r="F40" s="25"/>
    </row>
    <row r="41" spans="1:6" x14ac:dyDescent="0.25">
      <c r="A41" s="25"/>
      <c r="B41" s="25"/>
      <c r="C41" s="25"/>
      <c r="D41" s="25"/>
      <c r="E41" s="25"/>
      <c r="F41" s="25"/>
    </row>
    <row r="42" spans="1:6" x14ac:dyDescent="0.25">
      <c r="A42" s="25"/>
      <c r="B42" s="25"/>
      <c r="C42" s="25"/>
      <c r="D42" s="25"/>
      <c r="E42" s="25"/>
      <c r="F42" s="25"/>
    </row>
    <row r="43" spans="1:6" x14ac:dyDescent="0.25">
      <c r="A43" s="25"/>
      <c r="B43" s="25"/>
      <c r="C43" s="25"/>
      <c r="D43" s="25"/>
      <c r="E43" s="25"/>
      <c r="F43" s="25"/>
    </row>
    <row r="44" spans="1:6" x14ac:dyDescent="0.25">
      <c r="A44" s="25"/>
      <c r="B44" s="25"/>
      <c r="C44" s="25"/>
      <c r="D44" s="25"/>
      <c r="E44" s="25"/>
      <c r="F44" s="25"/>
    </row>
    <row r="45" spans="1:6" x14ac:dyDescent="0.25">
      <c r="A45" s="25"/>
      <c r="B45" s="25"/>
      <c r="C45" s="25"/>
      <c r="D45" s="25"/>
      <c r="E45" s="25"/>
      <c r="F45" s="25"/>
    </row>
    <row r="46" spans="1:6" x14ac:dyDescent="0.25">
      <c r="A46" s="25"/>
      <c r="B46" s="25"/>
      <c r="C46" s="25"/>
      <c r="D46" s="25"/>
      <c r="E46" s="25"/>
      <c r="F46" s="25"/>
    </row>
    <row r="47" spans="1:6" x14ac:dyDescent="0.25">
      <c r="A47" s="25"/>
      <c r="B47" s="25"/>
      <c r="C47" s="25"/>
      <c r="D47" s="25"/>
      <c r="E47" s="25"/>
      <c r="F47" s="25"/>
    </row>
    <row r="48" spans="1:6" x14ac:dyDescent="0.25">
      <c r="A48" s="25"/>
      <c r="B48" s="25"/>
      <c r="C48" s="25"/>
      <c r="D48" s="25"/>
      <c r="E48" s="25"/>
      <c r="F48" s="25"/>
    </row>
    <row r="49" spans="1:6" x14ac:dyDescent="0.25">
      <c r="A49" s="25"/>
      <c r="B49" s="25"/>
      <c r="C49" s="25"/>
      <c r="D49" s="25"/>
      <c r="E49" s="25"/>
      <c r="F49" s="25"/>
    </row>
    <row r="50" spans="1:6" x14ac:dyDescent="0.25">
      <c r="A50" s="25"/>
      <c r="B50" s="25"/>
      <c r="C50" s="25"/>
      <c r="D50" s="25"/>
      <c r="E50" s="25"/>
      <c r="F50" s="25"/>
    </row>
    <row r="51" spans="1:6" x14ac:dyDescent="0.25">
      <c r="A51" s="25"/>
      <c r="B51" s="25"/>
      <c r="C51" s="25"/>
      <c r="D51" s="25"/>
      <c r="E51" s="25"/>
      <c r="F51" s="25"/>
    </row>
    <row r="52" spans="1:6" x14ac:dyDescent="0.25">
      <c r="A52" s="25"/>
      <c r="B52" s="25"/>
      <c r="C52" s="25"/>
      <c r="D52" s="25"/>
      <c r="E52" s="25"/>
      <c r="F52" s="25"/>
    </row>
    <row r="53" spans="1:6" x14ac:dyDescent="0.25">
      <c r="A53" s="25"/>
      <c r="B53" s="25"/>
      <c r="C53" s="25"/>
      <c r="D53" s="25"/>
      <c r="E53" s="25"/>
      <c r="F53" s="25"/>
    </row>
    <row r="54" spans="1:6" x14ac:dyDescent="0.25">
      <c r="A54" s="25"/>
      <c r="B54" s="25"/>
      <c r="C54" s="25"/>
      <c r="D54" s="25"/>
      <c r="E54" s="25"/>
      <c r="F54" s="25"/>
    </row>
    <row r="55" spans="1:6" x14ac:dyDescent="0.25">
      <c r="A55" s="25"/>
      <c r="B55" s="25"/>
      <c r="C55" s="25"/>
      <c r="D55" s="25"/>
      <c r="E55" s="25"/>
      <c r="F55" s="25"/>
    </row>
    <row r="56" spans="1:6" x14ac:dyDescent="0.25">
      <c r="A56" s="25"/>
      <c r="B56" s="25"/>
      <c r="C56" s="25"/>
      <c r="D56" s="25"/>
      <c r="E56" s="25"/>
      <c r="F56" s="25"/>
    </row>
    <row r="57" spans="1:6" x14ac:dyDescent="0.25">
      <c r="A57" s="25"/>
      <c r="B57" s="25"/>
      <c r="C57" s="25"/>
      <c r="D57" s="25"/>
      <c r="E57" s="25"/>
      <c r="F57" s="25"/>
    </row>
    <row r="58" spans="1:6" x14ac:dyDescent="0.25">
      <c r="A58" s="25"/>
      <c r="B58" s="25"/>
      <c r="C58" s="25"/>
      <c r="D58" s="25"/>
      <c r="E58" s="25"/>
      <c r="F58" s="25"/>
    </row>
    <row r="59" spans="1:6" x14ac:dyDescent="0.25">
      <c r="A59" s="25"/>
      <c r="B59" s="25"/>
      <c r="C59" s="25"/>
      <c r="D59" s="25"/>
      <c r="E59" s="25"/>
      <c r="F59" s="25"/>
    </row>
    <row r="60" spans="1:6" x14ac:dyDescent="0.25">
      <c r="A60" s="25"/>
      <c r="B60" s="25"/>
      <c r="C60" s="25"/>
      <c r="D60" s="25"/>
      <c r="E60" s="25"/>
      <c r="F60" s="25"/>
    </row>
    <row r="61" spans="1:6" x14ac:dyDescent="0.25">
      <c r="A61" s="25"/>
      <c r="B61" s="25"/>
      <c r="C61" s="25"/>
      <c r="D61" s="25"/>
      <c r="E61" s="25"/>
      <c r="F61" s="25"/>
    </row>
    <row r="62" spans="1:6" x14ac:dyDescent="0.25">
      <c r="A62" s="25"/>
      <c r="B62" s="25"/>
      <c r="C62" s="25"/>
      <c r="D62" s="25"/>
      <c r="E62" s="25"/>
      <c r="F62" s="25"/>
    </row>
    <row r="63" spans="1:6" x14ac:dyDescent="0.25">
      <c r="A63" s="25"/>
      <c r="B63" s="25"/>
      <c r="C63" s="25"/>
      <c r="D63" s="25"/>
      <c r="E63" s="25"/>
      <c r="F63" s="25"/>
    </row>
    <row r="64" spans="1:6" x14ac:dyDescent="0.25">
      <c r="A64" s="25"/>
      <c r="B64" s="25"/>
      <c r="C64" s="25"/>
      <c r="D64" s="25"/>
      <c r="E64" s="25"/>
      <c r="F64" s="25"/>
    </row>
    <row r="65" spans="1:6" x14ac:dyDescent="0.25">
      <c r="A65" s="25"/>
      <c r="B65" s="25"/>
      <c r="C65" s="25"/>
      <c r="D65" s="25"/>
      <c r="E65" s="25"/>
      <c r="F65" s="25"/>
    </row>
    <row r="66" spans="1:6" x14ac:dyDescent="0.25">
      <c r="A66" s="25"/>
      <c r="B66" s="25"/>
      <c r="C66" s="25"/>
      <c r="D66" s="25"/>
      <c r="E66" s="25"/>
      <c r="F66" s="25"/>
    </row>
    <row r="67" spans="1:6" x14ac:dyDescent="0.25">
      <c r="A67" s="25"/>
      <c r="B67" s="25"/>
      <c r="C67" s="25"/>
      <c r="D67" s="25"/>
      <c r="E67" s="25"/>
      <c r="F67" s="25"/>
    </row>
    <row r="68" spans="1:6" x14ac:dyDescent="0.25">
      <c r="A68" s="25"/>
      <c r="B68" s="25"/>
      <c r="C68" s="25"/>
      <c r="D68" s="25"/>
      <c r="E68" s="25"/>
      <c r="F68" s="25"/>
    </row>
    <row r="69" spans="1:6" x14ac:dyDescent="0.25">
      <c r="A69" s="25"/>
      <c r="B69" s="25"/>
      <c r="C69" s="25"/>
      <c r="D69" s="25"/>
      <c r="E69" s="25"/>
      <c r="F69" s="25"/>
    </row>
    <row r="70" spans="1:6" x14ac:dyDescent="0.25">
      <c r="A70" s="25"/>
      <c r="B70" s="25"/>
      <c r="C70" s="25"/>
      <c r="D70" s="25"/>
      <c r="E70" s="25"/>
      <c r="F70" s="25"/>
    </row>
    <row r="71" spans="1:6" x14ac:dyDescent="0.25">
      <c r="A71" s="25"/>
      <c r="B71" s="25"/>
      <c r="C71" s="25"/>
      <c r="D71" s="25"/>
      <c r="E71" s="25"/>
      <c r="F71" s="25"/>
    </row>
    <row r="72" spans="1:6" x14ac:dyDescent="0.25">
      <c r="A72" s="25"/>
      <c r="B72" s="25"/>
      <c r="C72" s="25"/>
      <c r="D72" s="25"/>
      <c r="E72" s="25"/>
      <c r="F72" s="25"/>
    </row>
    <row r="73" spans="1:6" x14ac:dyDescent="0.25">
      <c r="A73" s="25"/>
      <c r="B73" s="25"/>
      <c r="C73" s="25"/>
      <c r="D73" s="25"/>
      <c r="E73" s="25"/>
      <c r="F73" s="25"/>
    </row>
    <row r="74" spans="1:6" x14ac:dyDescent="0.25">
      <c r="A74" s="25"/>
      <c r="B74" s="25"/>
      <c r="C74" s="25"/>
      <c r="D74" s="25"/>
      <c r="E74" s="25"/>
      <c r="F74" s="25"/>
    </row>
    <row r="75" spans="1:6" x14ac:dyDescent="0.25">
      <c r="A75" s="25"/>
      <c r="B75" s="25"/>
      <c r="C75" s="25"/>
      <c r="D75" s="25"/>
      <c r="E75" s="25"/>
      <c r="F75" s="25"/>
    </row>
    <row r="76" spans="1:6" x14ac:dyDescent="0.25">
      <c r="A76" s="25"/>
      <c r="B76" s="25"/>
      <c r="C76" s="25"/>
      <c r="D76" s="25"/>
      <c r="E76" s="25"/>
      <c r="F76" s="25"/>
    </row>
    <row r="77" spans="1:6" x14ac:dyDescent="0.25">
      <c r="A77" s="25"/>
      <c r="B77" s="25"/>
      <c r="C77" s="25"/>
      <c r="D77" s="25"/>
      <c r="E77" s="25"/>
      <c r="F77" s="25"/>
    </row>
    <row r="78" spans="1:6" x14ac:dyDescent="0.25">
      <c r="A78" s="25"/>
      <c r="B78" s="25"/>
      <c r="C78" s="25"/>
      <c r="D78" s="25"/>
      <c r="E78" s="25"/>
      <c r="F78" s="25"/>
    </row>
    <row r="79" spans="1:6" x14ac:dyDescent="0.25">
      <c r="A79" s="25"/>
      <c r="B79" s="25"/>
      <c r="C79" s="25"/>
      <c r="D79" s="25"/>
      <c r="E79" s="25"/>
      <c r="F79" s="25"/>
    </row>
    <row r="80" spans="1:6" x14ac:dyDescent="0.25">
      <c r="A80" s="25"/>
      <c r="B80" s="25"/>
      <c r="C80" s="25"/>
      <c r="D80" s="25"/>
      <c r="E80" s="25"/>
      <c r="F80" s="25"/>
    </row>
    <row r="81" spans="1:6" x14ac:dyDescent="0.25">
      <c r="A81" s="25"/>
      <c r="B81" s="25"/>
      <c r="C81" s="25"/>
      <c r="D81" s="25"/>
      <c r="E81" s="25"/>
      <c r="F81" s="25"/>
    </row>
    <row r="82" spans="1:6" x14ac:dyDescent="0.25">
      <c r="A82" s="25"/>
      <c r="B82" s="25"/>
      <c r="C82" s="25"/>
      <c r="D82" s="25"/>
      <c r="E82" s="25"/>
      <c r="F82" s="25"/>
    </row>
    <row r="83" spans="1:6" x14ac:dyDescent="0.25">
      <c r="A83" s="25"/>
      <c r="B83" s="25"/>
      <c r="C83" s="25"/>
      <c r="D83" s="25"/>
      <c r="E83" s="25"/>
      <c r="F83" s="25"/>
    </row>
    <row r="84" spans="1:6" x14ac:dyDescent="0.25">
      <c r="A84" s="25"/>
      <c r="B84" s="25"/>
      <c r="C84" s="25"/>
      <c r="D84" s="25"/>
      <c r="E84" s="25"/>
      <c r="F84" s="25"/>
    </row>
    <row r="85" spans="1:6" x14ac:dyDescent="0.25">
      <c r="A85" s="25"/>
      <c r="B85" s="25"/>
      <c r="C85" s="25"/>
      <c r="D85" s="25"/>
      <c r="E85" s="25"/>
      <c r="F85" s="25"/>
    </row>
    <row r="86" spans="1:6" x14ac:dyDescent="0.25">
      <c r="A86" s="25"/>
      <c r="B86" s="25"/>
      <c r="C86" s="25"/>
      <c r="D86" s="25"/>
      <c r="E86" s="25"/>
      <c r="F86" s="25"/>
    </row>
    <row r="87" spans="1:6" x14ac:dyDescent="0.25">
      <c r="A87" s="25"/>
      <c r="B87" s="25"/>
      <c r="C87" s="25"/>
      <c r="D87" s="25"/>
      <c r="E87" s="25"/>
      <c r="F87" s="25"/>
    </row>
    <row r="88" spans="1:6" x14ac:dyDescent="0.25">
      <c r="A88" s="25"/>
      <c r="B88" s="25"/>
      <c r="C88" s="25"/>
      <c r="D88" s="25"/>
      <c r="E88" s="25"/>
      <c r="F88" s="25"/>
    </row>
    <row r="89" spans="1:6" x14ac:dyDescent="0.25">
      <c r="A89" s="25"/>
      <c r="B89" s="25"/>
      <c r="C89" s="25"/>
      <c r="D89" s="25"/>
      <c r="E89" s="25"/>
      <c r="F89" s="25"/>
    </row>
    <row r="90" spans="1:6" x14ac:dyDescent="0.25">
      <c r="A90" s="25"/>
      <c r="B90" s="25"/>
      <c r="C90" s="25"/>
      <c r="D90" s="25"/>
      <c r="E90" s="25"/>
      <c r="F90" s="25"/>
    </row>
    <row r="91" spans="1:6" x14ac:dyDescent="0.25">
      <c r="A91" s="25"/>
      <c r="B91" s="25"/>
      <c r="C91" s="25"/>
      <c r="D91" s="25"/>
      <c r="E91" s="25"/>
      <c r="F91" s="25"/>
    </row>
    <row r="92" spans="1:6" x14ac:dyDescent="0.25">
      <c r="A92" s="25"/>
      <c r="B92" s="25"/>
      <c r="C92" s="25"/>
      <c r="D92" s="25"/>
      <c r="E92" s="25"/>
      <c r="F92" s="25"/>
    </row>
    <row r="93" spans="1:6" x14ac:dyDescent="0.25">
      <c r="A93" s="25"/>
      <c r="B93" s="25"/>
      <c r="C93" s="25"/>
      <c r="D93" s="25"/>
      <c r="E93" s="25"/>
      <c r="F93" s="25"/>
    </row>
    <row r="94" spans="1:6" x14ac:dyDescent="0.25">
      <c r="A94" s="25"/>
      <c r="B94" s="25"/>
      <c r="C94" s="25"/>
      <c r="D94" s="25"/>
      <c r="E94" s="25"/>
      <c r="F94" s="25"/>
    </row>
    <row r="95" spans="1:6" x14ac:dyDescent="0.25">
      <c r="A95" s="25"/>
      <c r="B95" s="25"/>
      <c r="C95" s="25"/>
      <c r="D95" s="25"/>
      <c r="E95" s="25"/>
      <c r="F95" s="25"/>
    </row>
    <row r="96" spans="1:6" x14ac:dyDescent="0.25">
      <c r="A96" s="25"/>
      <c r="B96" s="25"/>
      <c r="C96" s="25"/>
      <c r="D96" s="25"/>
      <c r="E96" s="25"/>
      <c r="F96" s="25"/>
    </row>
    <row r="97" spans="1:6" x14ac:dyDescent="0.25">
      <c r="A97" s="25"/>
      <c r="B97" s="25"/>
      <c r="C97" s="25"/>
      <c r="D97" s="25"/>
      <c r="E97" s="25"/>
      <c r="F97" s="25"/>
    </row>
    <row r="98" spans="1:6" x14ac:dyDescent="0.25">
      <c r="A98" s="25"/>
      <c r="B98" s="25"/>
      <c r="C98" s="25"/>
      <c r="D98" s="25"/>
      <c r="E98" s="25"/>
      <c r="F98" s="25"/>
    </row>
    <row r="99" spans="1:6" x14ac:dyDescent="0.25">
      <c r="A99" s="25"/>
      <c r="B99" s="25"/>
      <c r="C99" s="25"/>
      <c r="D99" s="25"/>
      <c r="E99" s="25"/>
      <c r="F99" s="25"/>
    </row>
    <row r="100" spans="1:6" x14ac:dyDescent="0.25">
      <c r="A100" s="25"/>
      <c r="B100" s="25"/>
      <c r="C100" s="25"/>
      <c r="D100" s="25"/>
      <c r="E100" s="25"/>
      <c r="F100" s="25"/>
    </row>
    <row r="101" spans="1:6" x14ac:dyDescent="0.25">
      <c r="A101" s="25"/>
      <c r="B101" s="25"/>
      <c r="C101" s="25"/>
      <c r="D101" s="25"/>
      <c r="E101" s="25"/>
      <c r="F101" s="25"/>
    </row>
    <row r="102" spans="1:6" x14ac:dyDescent="0.25">
      <c r="A102" s="25"/>
      <c r="B102" s="25"/>
      <c r="C102" s="25"/>
      <c r="D102" s="25"/>
      <c r="E102" s="25"/>
      <c r="F102" s="25"/>
    </row>
    <row r="103" spans="1:6" x14ac:dyDescent="0.25">
      <c r="A103" s="25"/>
      <c r="B103" s="25"/>
      <c r="C103" s="25"/>
      <c r="D103" s="25"/>
      <c r="E103" s="25"/>
      <c r="F103" s="25"/>
    </row>
    <row r="104" spans="1:6" x14ac:dyDescent="0.25">
      <c r="A104" s="25"/>
      <c r="B104" s="25"/>
      <c r="C104" s="25"/>
      <c r="D104" s="25"/>
      <c r="E104" s="25"/>
      <c r="F104" s="25"/>
    </row>
    <row r="105" spans="1:6" x14ac:dyDescent="0.25">
      <c r="A105" s="25"/>
      <c r="B105" s="25"/>
      <c r="C105" s="25"/>
      <c r="D105" s="25"/>
      <c r="E105" s="25"/>
      <c r="F105" s="25"/>
    </row>
    <row r="106" spans="1:6" x14ac:dyDescent="0.25">
      <c r="A106" s="25"/>
      <c r="B106" s="25"/>
      <c r="C106" s="25"/>
      <c r="D106" s="25"/>
      <c r="E106" s="25"/>
      <c r="F106" s="25"/>
    </row>
    <row r="107" spans="1:6" x14ac:dyDescent="0.25">
      <c r="A107" s="25"/>
      <c r="B107" s="25"/>
      <c r="C107" s="25"/>
      <c r="D107" s="25"/>
      <c r="E107" s="25"/>
      <c r="F107" s="25"/>
    </row>
    <row r="108" spans="1:6" x14ac:dyDescent="0.25">
      <c r="A108" s="25"/>
      <c r="B108" s="25"/>
      <c r="C108" s="25"/>
      <c r="D108" s="25"/>
      <c r="E108" s="25"/>
      <c r="F108" s="25"/>
    </row>
    <row r="109" spans="1:6" x14ac:dyDescent="0.25">
      <c r="A109" s="25"/>
      <c r="B109" s="25"/>
      <c r="C109" s="25"/>
      <c r="D109" s="25"/>
      <c r="E109" s="25"/>
      <c r="F109" s="25"/>
    </row>
    <row r="110" spans="1:6" x14ac:dyDescent="0.25">
      <c r="A110" s="25"/>
      <c r="B110" s="25"/>
      <c r="C110" s="25"/>
      <c r="D110" s="25"/>
      <c r="E110" s="25"/>
      <c r="F110" s="25"/>
    </row>
    <row r="111" spans="1:6" x14ac:dyDescent="0.25">
      <c r="A111" s="25"/>
      <c r="B111" s="25"/>
      <c r="C111" s="25"/>
      <c r="D111" s="25"/>
      <c r="E111" s="25"/>
      <c r="F111" s="25"/>
    </row>
    <row r="112" spans="1:6" x14ac:dyDescent="0.25">
      <c r="A112" s="25"/>
      <c r="B112" s="25"/>
      <c r="C112" s="25"/>
      <c r="D112" s="25"/>
      <c r="E112" s="25"/>
      <c r="F112" s="25"/>
    </row>
    <row r="113" spans="1:6" x14ac:dyDescent="0.25">
      <c r="A113" s="25"/>
      <c r="B113" s="25"/>
      <c r="C113" s="25"/>
      <c r="D113" s="25"/>
      <c r="E113" s="25"/>
      <c r="F113" s="25"/>
    </row>
    <row r="114" spans="1:6" x14ac:dyDescent="0.25">
      <c r="A114" s="25"/>
      <c r="B114" s="25"/>
      <c r="C114" s="25"/>
      <c r="D114" s="25"/>
      <c r="E114" s="25"/>
      <c r="F114" s="25"/>
    </row>
    <row r="115" spans="1:6" x14ac:dyDescent="0.25">
      <c r="A115" s="25"/>
      <c r="B115" s="25"/>
      <c r="C115" s="25"/>
      <c r="D115" s="25"/>
      <c r="E115" s="25"/>
      <c r="F115" s="25"/>
    </row>
    <row r="116" spans="1:6" x14ac:dyDescent="0.25">
      <c r="A116" s="25"/>
      <c r="B116" s="25"/>
      <c r="C116" s="25"/>
      <c r="D116" s="25"/>
      <c r="E116" s="25"/>
      <c r="F116" s="25"/>
    </row>
    <row r="117" spans="1:6" x14ac:dyDescent="0.25">
      <c r="A117" s="25"/>
      <c r="B117" s="25"/>
      <c r="C117" s="25"/>
      <c r="D117" s="25"/>
      <c r="E117" s="25"/>
      <c r="F117" s="25"/>
    </row>
    <row r="118" spans="1:6" x14ac:dyDescent="0.25">
      <c r="A118" s="25"/>
      <c r="B118" s="25"/>
      <c r="C118" s="25"/>
      <c r="D118" s="25"/>
      <c r="E118" s="25"/>
      <c r="F118" s="25"/>
    </row>
    <row r="119" spans="1:6" x14ac:dyDescent="0.25">
      <c r="A119" s="25"/>
      <c r="B119" s="25"/>
      <c r="C119" s="25"/>
      <c r="D119" s="25"/>
      <c r="E119" s="25"/>
      <c r="F119" s="25"/>
    </row>
    <row r="120" spans="1:6" x14ac:dyDescent="0.25">
      <c r="A120" s="25"/>
      <c r="B120" s="25"/>
      <c r="C120" s="25"/>
      <c r="D120" s="25"/>
      <c r="E120" s="25"/>
      <c r="F120" s="25"/>
    </row>
    <row r="121" spans="1:6" x14ac:dyDescent="0.25">
      <c r="A121" s="25"/>
      <c r="B121" s="25"/>
      <c r="C121" s="25"/>
      <c r="D121" s="25"/>
      <c r="E121" s="25"/>
      <c r="F121" s="25"/>
    </row>
    <row r="122" spans="1:6" x14ac:dyDescent="0.25">
      <c r="A122" s="25"/>
      <c r="B122" s="25"/>
      <c r="C122" s="25"/>
      <c r="D122" s="25"/>
      <c r="E122" s="25"/>
      <c r="F122" s="25"/>
    </row>
    <row r="123" spans="1:6" x14ac:dyDescent="0.25">
      <c r="A123" s="25"/>
      <c r="B123" s="25"/>
      <c r="C123" s="25"/>
      <c r="D123" s="25"/>
      <c r="E123" s="25"/>
      <c r="F123" s="25"/>
    </row>
    <row r="124" spans="1:6" x14ac:dyDescent="0.25">
      <c r="A124" s="25"/>
      <c r="B124" s="25"/>
      <c r="C124" s="25"/>
      <c r="D124" s="25"/>
      <c r="E124" s="25"/>
      <c r="F124" s="25"/>
    </row>
    <row r="125" spans="1:6" x14ac:dyDescent="0.25">
      <c r="A125" s="25"/>
      <c r="B125" s="25"/>
      <c r="C125" s="25"/>
      <c r="D125" s="25"/>
      <c r="E125" s="25"/>
      <c r="F125" s="25"/>
    </row>
    <row r="126" spans="1:6" x14ac:dyDescent="0.25">
      <c r="A126" s="25"/>
      <c r="B126" s="25"/>
      <c r="C126" s="25"/>
      <c r="D126" s="25"/>
      <c r="E126" s="25"/>
      <c r="F126" s="25"/>
    </row>
    <row r="127" spans="1:6" x14ac:dyDescent="0.25">
      <c r="A127" s="25"/>
      <c r="B127" s="25"/>
      <c r="C127" s="25"/>
      <c r="D127" s="25"/>
      <c r="E127" s="25"/>
      <c r="F127" s="25"/>
    </row>
    <row r="128" spans="1:6" x14ac:dyDescent="0.25">
      <c r="A128" s="25"/>
      <c r="B128" s="25"/>
      <c r="C128" s="25"/>
      <c r="D128" s="25"/>
      <c r="E128" s="25"/>
      <c r="F128" s="25"/>
    </row>
    <row r="129" spans="1:6" x14ac:dyDescent="0.25">
      <c r="A129" s="25"/>
      <c r="B129" s="25"/>
      <c r="C129" s="25"/>
      <c r="D129" s="25"/>
      <c r="E129" s="25"/>
      <c r="F129" s="25"/>
    </row>
    <row r="130" spans="1:6" x14ac:dyDescent="0.25">
      <c r="A130" s="25"/>
      <c r="B130" s="25"/>
      <c r="C130" s="25"/>
      <c r="D130" s="25"/>
      <c r="E130" s="25"/>
      <c r="F130" s="25"/>
    </row>
    <row r="131" spans="1:6" x14ac:dyDescent="0.25">
      <c r="A131" s="25"/>
      <c r="B131" s="25"/>
      <c r="C131" s="25"/>
      <c r="D131" s="25"/>
      <c r="E131" s="25"/>
      <c r="F131" s="25"/>
    </row>
    <row r="132" spans="1:6" x14ac:dyDescent="0.25">
      <c r="A132" s="25"/>
      <c r="B132" s="25"/>
      <c r="C132" s="25"/>
      <c r="D132" s="25"/>
      <c r="E132" s="25"/>
      <c r="F132" s="25"/>
    </row>
    <row r="133" spans="1:6" x14ac:dyDescent="0.25">
      <c r="A133" s="25"/>
      <c r="B133" s="25"/>
      <c r="C133" s="25"/>
      <c r="D133" s="25"/>
      <c r="E133" s="25"/>
      <c r="F133" s="25"/>
    </row>
    <row r="134" spans="1:6" x14ac:dyDescent="0.25">
      <c r="A134" s="25"/>
      <c r="B134" s="25"/>
      <c r="C134" s="25"/>
      <c r="D134" s="25"/>
      <c r="E134" s="25"/>
      <c r="F134" s="25"/>
    </row>
    <row r="135" spans="1:6" x14ac:dyDescent="0.25">
      <c r="A135" s="25"/>
      <c r="B135" s="25"/>
      <c r="C135" s="25"/>
      <c r="D135" s="25"/>
      <c r="E135" s="25"/>
      <c r="F135" s="25"/>
    </row>
    <row r="136" spans="1:6" x14ac:dyDescent="0.25">
      <c r="A136" s="25"/>
      <c r="B136" s="25"/>
      <c r="C136" s="25"/>
      <c r="D136" s="25"/>
      <c r="E136" s="25"/>
      <c r="F136" s="25"/>
    </row>
    <row r="137" spans="1:6" x14ac:dyDescent="0.25">
      <c r="A137" s="25"/>
      <c r="B137" s="25"/>
      <c r="C137" s="25"/>
      <c r="D137" s="25"/>
      <c r="E137" s="25"/>
      <c r="F137" s="25"/>
    </row>
    <row r="138" spans="1:6" x14ac:dyDescent="0.25">
      <c r="A138" s="25"/>
      <c r="B138" s="25"/>
      <c r="C138" s="25"/>
      <c r="D138" s="25"/>
      <c r="E138" s="25"/>
      <c r="F138" s="25"/>
    </row>
    <row r="139" spans="1:6" x14ac:dyDescent="0.25">
      <c r="A139" s="25"/>
      <c r="B139" s="25"/>
      <c r="C139" s="25"/>
      <c r="D139" s="25"/>
      <c r="E139" s="25"/>
      <c r="F139" s="25"/>
    </row>
    <row r="140" spans="1:6" x14ac:dyDescent="0.25">
      <c r="A140" s="25"/>
      <c r="B140" s="25"/>
      <c r="C140" s="25"/>
      <c r="D140" s="25"/>
      <c r="E140" s="25"/>
      <c r="F140" s="25"/>
    </row>
    <row r="141" spans="1:6" x14ac:dyDescent="0.25">
      <c r="A141" s="25"/>
      <c r="B141" s="25"/>
      <c r="C141" s="25"/>
      <c r="D141" s="25"/>
      <c r="E141" s="25"/>
      <c r="F141" s="25"/>
    </row>
    <row r="142" spans="1:6" x14ac:dyDescent="0.25">
      <c r="A142" s="25"/>
      <c r="B142" s="25"/>
      <c r="C142" s="25"/>
      <c r="D142" s="25"/>
      <c r="E142" s="25"/>
      <c r="F142" s="25"/>
    </row>
    <row r="143" spans="1:6" x14ac:dyDescent="0.25">
      <c r="A143" s="25"/>
      <c r="B143" s="25"/>
      <c r="C143" s="25"/>
      <c r="D143" s="25"/>
      <c r="E143" s="25"/>
      <c r="F143" s="25"/>
    </row>
    <row r="144" spans="1:6" x14ac:dyDescent="0.25">
      <c r="A144" s="25"/>
      <c r="B144" s="25"/>
      <c r="C144" s="25"/>
      <c r="D144" s="25"/>
      <c r="E144" s="25"/>
      <c r="F144" s="25"/>
    </row>
    <row r="145" spans="1:6" x14ac:dyDescent="0.25">
      <c r="A145" s="25"/>
      <c r="B145" s="25"/>
      <c r="C145" s="25"/>
      <c r="D145" s="25"/>
      <c r="E145" s="25"/>
      <c r="F145" s="25"/>
    </row>
    <row r="146" spans="1:6" x14ac:dyDescent="0.25">
      <c r="A146" s="25"/>
      <c r="B146" s="25"/>
      <c r="C146" s="25"/>
      <c r="D146" s="25"/>
      <c r="E146" s="25"/>
      <c r="F146" s="25"/>
    </row>
    <row r="147" spans="1:6" x14ac:dyDescent="0.25">
      <c r="A147" s="25"/>
      <c r="B147" s="25"/>
      <c r="C147" s="25"/>
      <c r="D147" s="25"/>
      <c r="E147" s="25"/>
      <c r="F147" s="25"/>
    </row>
    <row r="148" spans="1:6" x14ac:dyDescent="0.25">
      <c r="A148" s="25"/>
      <c r="B148" s="25"/>
      <c r="C148" s="25"/>
      <c r="D148" s="25"/>
      <c r="E148" s="25"/>
      <c r="F148" s="25"/>
    </row>
    <row r="149" spans="1:6" x14ac:dyDescent="0.25">
      <c r="A149" s="25"/>
      <c r="B149" s="25"/>
      <c r="C149" s="25"/>
      <c r="D149" s="25"/>
      <c r="E149" s="25"/>
      <c r="F149" s="25"/>
    </row>
    <row r="150" spans="1:6" x14ac:dyDescent="0.25">
      <c r="A150" s="25"/>
      <c r="B150" s="25"/>
      <c r="C150" s="25"/>
      <c r="D150" s="25"/>
      <c r="E150" s="25"/>
      <c r="F150" s="25"/>
    </row>
    <row r="151" spans="1:6" x14ac:dyDescent="0.25">
      <c r="A151" s="25"/>
      <c r="B151" s="25"/>
      <c r="C151" s="25"/>
      <c r="D151" s="25"/>
      <c r="E151" s="25"/>
      <c r="F151" s="25"/>
    </row>
    <row r="152" spans="1:6" x14ac:dyDescent="0.25">
      <c r="A152" s="25"/>
      <c r="B152" s="25"/>
      <c r="C152" s="25"/>
      <c r="D152" s="25"/>
      <c r="E152" s="25"/>
      <c r="F152" s="25"/>
    </row>
    <row r="153" spans="1:6" x14ac:dyDescent="0.25">
      <c r="A153" s="25"/>
      <c r="B153" s="25"/>
      <c r="C153" s="25"/>
      <c r="D153" s="25"/>
      <c r="E153" s="25"/>
      <c r="F153" s="25"/>
    </row>
    <row r="154" spans="1:6" x14ac:dyDescent="0.25">
      <c r="A154" s="25"/>
      <c r="B154" s="25"/>
      <c r="C154" s="25"/>
      <c r="D154" s="25"/>
      <c r="E154" s="25"/>
      <c r="F154" s="25"/>
    </row>
    <row r="155" spans="1:6" x14ac:dyDescent="0.25">
      <c r="A155" s="25"/>
      <c r="B155" s="25"/>
      <c r="C155" s="25"/>
      <c r="D155" s="25"/>
      <c r="E155" s="25"/>
      <c r="F155" s="25"/>
    </row>
    <row r="156" spans="1:6" x14ac:dyDescent="0.25">
      <c r="A156" s="25"/>
      <c r="B156" s="25"/>
      <c r="C156" s="25"/>
      <c r="D156" s="25"/>
      <c r="E156" s="25"/>
      <c r="F156" s="25"/>
    </row>
    <row r="157" spans="1:6" x14ac:dyDescent="0.25">
      <c r="A157" s="25"/>
      <c r="B157" s="25"/>
      <c r="C157" s="25"/>
      <c r="D157" s="25"/>
      <c r="E157" s="25"/>
      <c r="F157" s="25"/>
    </row>
    <row r="158" spans="1:6" x14ac:dyDescent="0.25">
      <c r="A158" s="25"/>
      <c r="B158" s="25"/>
      <c r="C158" s="25"/>
      <c r="D158" s="25"/>
      <c r="E158" s="25"/>
      <c r="F158" s="25"/>
    </row>
    <row r="159" spans="1:6" x14ac:dyDescent="0.25">
      <c r="A159" s="25"/>
      <c r="B159" s="25"/>
      <c r="C159" s="25"/>
      <c r="D159" s="25"/>
      <c r="E159" s="25"/>
      <c r="F159" s="25"/>
    </row>
    <row r="160" spans="1:6" x14ac:dyDescent="0.25">
      <c r="A160" s="25"/>
      <c r="B160" s="25"/>
      <c r="C160" s="25"/>
      <c r="D160" s="25"/>
      <c r="E160" s="25"/>
      <c r="F160" s="25"/>
    </row>
    <row r="161" spans="1:6" x14ac:dyDescent="0.25">
      <c r="A161" s="25"/>
      <c r="B161" s="25"/>
      <c r="C161" s="25"/>
      <c r="D161" s="25"/>
      <c r="E161" s="25"/>
      <c r="F161" s="25"/>
    </row>
    <row r="162" spans="1:6" x14ac:dyDescent="0.25">
      <c r="A162" s="25"/>
      <c r="B162" s="25"/>
      <c r="C162" s="25"/>
      <c r="D162" s="25"/>
      <c r="E162" s="25"/>
      <c r="F162" s="25"/>
    </row>
    <row r="163" spans="1:6" x14ac:dyDescent="0.25">
      <c r="A163" s="25"/>
      <c r="B163" s="25"/>
      <c r="C163" s="25"/>
      <c r="D163" s="25"/>
      <c r="E163" s="25"/>
      <c r="F163" s="25"/>
    </row>
    <row r="164" spans="1:6" x14ac:dyDescent="0.25">
      <c r="A164" s="25"/>
      <c r="B164" s="25"/>
      <c r="C164" s="25"/>
      <c r="D164" s="25"/>
      <c r="E164" s="25"/>
      <c r="F164" s="25"/>
    </row>
    <row r="165" spans="1:6" x14ac:dyDescent="0.25">
      <c r="A165" s="25"/>
      <c r="B165" s="25"/>
      <c r="C165" s="25"/>
      <c r="D165" s="25"/>
      <c r="E165" s="25"/>
      <c r="F165" s="25"/>
    </row>
    <row r="166" spans="1:6" x14ac:dyDescent="0.25">
      <c r="A166" s="25"/>
      <c r="B166" s="25"/>
      <c r="C166" s="25"/>
      <c r="D166" s="25"/>
      <c r="E166" s="25"/>
      <c r="F166" s="25"/>
    </row>
    <row r="167" spans="1:6" x14ac:dyDescent="0.25">
      <c r="A167" s="25"/>
      <c r="B167" s="25"/>
      <c r="C167" s="25"/>
      <c r="D167" s="25"/>
      <c r="E167" s="25"/>
      <c r="F167" s="25"/>
    </row>
    <row r="168" spans="1:6" x14ac:dyDescent="0.25">
      <c r="A168" s="25"/>
      <c r="B168" s="25"/>
      <c r="C168" s="25"/>
      <c r="D168" s="25"/>
      <c r="E168" s="25"/>
      <c r="F168" s="25"/>
    </row>
    <row r="169" spans="1:6" x14ac:dyDescent="0.25">
      <c r="A169" s="25"/>
      <c r="B169" s="25"/>
      <c r="C169" s="25"/>
      <c r="D169" s="25"/>
      <c r="E169" s="25"/>
      <c r="F169" s="25"/>
    </row>
    <row r="170" spans="1:6" x14ac:dyDescent="0.25">
      <c r="A170" s="25"/>
      <c r="B170" s="25"/>
      <c r="C170" s="25"/>
      <c r="D170" s="25"/>
      <c r="E170" s="25"/>
      <c r="F170" s="25"/>
    </row>
    <row r="171" spans="1:6" x14ac:dyDescent="0.25">
      <c r="A171" s="25"/>
      <c r="B171" s="25"/>
      <c r="C171" s="25"/>
      <c r="D171" s="25"/>
      <c r="E171" s="25"/>
      <c r="F171" s="25"/>
    </row>
    <row r="172" spans="1:6" x14ac:dyDescent="0.25">
      <c r="A172" s="25"/>
      <c r="B172" s="25"/>
      <c r="C172" s="25"/>
      <c r="D172" s="25"/>
      <c r="E172" s="25"/>
      <c r="F172" s="25"/>
    </row>
    <row r="173" spans="1:6" x14ac:dyDescent="0.25">
      <c r="A173" s="25"/>
      <c r="B173" s="25"/>
      <c r="C173" s="25"/>
      <c r="D173" s="25"/>
      <c r="E173" s="25"/>
      <c r="F173" s="25"/>
    </row>
    <row r="174" spans="1:6" x14ac:dyDescent="0.25">
      <c r="A174" s="25"/>
      <c r="B174" s="25"/>
      <c r="C174" s="25"/>
      <c r="D174" s="25"/>
      <c r="E174" s="25"/>
      <c r="F174" s="25"/>
    </row>
    <row r="175" spans="1:6" x14ac:dyDescent="0.25">
      <c r="A175" s="25"/>
      <c r="B175" s="25"/>
      <c r="C175" s="25"/>
      <c r="D175" s="25"/>
      <c r="E175" s="25"/>
      <c r="F175" s="25"/>
    </row>
    <row r="176" spans="1:6" x14ac:dyDescent="0.25">
      <c r="A176" s="25"/>
      <c r="B176" s="25"/>
      <c r="C176" s="25"/>
      <c r="D176" s="25"/>
      <c r="E176" s="25"/>
      <c r="F176" s="25"/>
    </row>
    <row r="177" spans="1:6" x14ac:dyDescent="0.25">
      <c r="A177" s="25"/>
      <c r="B177" s="25"/>
      <c r="C177" s="25"/>
      <c r="D177" s="25"/>
      <c r="E177" s="25"/>
      <c r="F177" s="25"/>
    </row>
    <row r="178" spans="1:6" x14ac:dyDescent="0.25">
      <c r="A178" s="25"/>
      <c r="B178" s="25"/>
      <c r="C178" s="25"/>
      <c r="D178" s="25"/>
      <c r="E178" s="25"/>
      <c r="F178" s="25"/>
    </row>
    <row r="179" spans="1:6" x14ac:dyDescent="0.25">
      <c r="A179" s="25"/>
      <c r="B179" s="25"/>
      <c r="C179" s="25"/>
      <c r="D179" s="25"/>
      <c r="E179" s="25"/>
      <c r="F179" s="25"/>
    </row>
    <row r="180" spans="1:6" x14ac:dyDescent="0.25">
      <c r="A180" s="25"/>
      <c r="B180" s="25"/>
      <c r="C180" s="25"/>
      <c r="D180" s="25"/>
      <c r="E180" s="25"/>
      <c r="F180" s="25"/>
    </row>
    <row r="181" spans="1:6" x14ac:dyDescent="0.25">
      <c r="A181" s="25"/>
      <c r="B181" s="25"/>
      <c r="C181" s="25"/>
      <c r="D181" s="25"/>
      <c r="E181" s="25"/>
      <c r="F181" s="25"/>
    </row>
    <row r="182" spans="1:6" x14ac:dyDescent="0.25">
      <c r="A182" s="25"/>
      <c r="B182" s="25"/>
      <c r="C182" s="25"/>
      <c r="D182" s="25"/>
      <c r="E182" s="25"/>
      <c r="F182" s="25"/>
    </row>
    <row r="183" spans="1:6" x14ac:dyDescent="0.25">
      <c r="A183" s="25"/>
      <c r="B183" s="25"/>
      <c r="C183" s="25"/>
      <c r="D183" s="25"/>
      <c r="E183" s="25"/>
      <c r="F183" s="25"/>
    </row>
    <row r="184" spans="1:6" x14ac:dyDescent="0.25">
      <c r="A184" s="25"/>
      <c r="B184" s="25"/>
      <c r="C184" s="25"/>
      <c r="D184" s="25"/>
      <c r="E184" s="25"/>
      <c r="F184" s="25"/>
    </row>
    <row r="185" spans="1:6" x14ac:dyDescent="0.25">
      <c r="A185" s="25"/>
      <c r="B185" s="25"/>
      <c r="C185" s="25"/>
      <c r="D185" s="25"/>
      <c r="E185" s="25"/>
      <c r="F185" s="25"/>
    </row>
    <row r="186" spans="1:6" x14ac:dyDescent="0.25">
      <c r="A186" s="25"/>
      <c r="B186" s="25"/>
      <c r="C186" s="25"/>
      <c r="D186" s="25"/>
      <c r="E186" s="25"/>
      <c r="F186" s="25"/>
    </row>
    <row r="187" spans="1:6" x14ac:dyDescent="0.25">
      <c r="A187" s="25"/>
      <c r="B187" s="25"/>
      <c r="C187" s="25"/>
      <c r="D187" s="25"/>
      <c r="E187" s="25"/>
      <c r="F187" s="25"/>
    </row>
    <row r="188" spans="1:6" x14ac:dyDescent="0.25">
      <c r="A188" s="25"/>
      <c r="B188" s="25"/>
      <c r="C188" s="25"/>
      <c r="D188" s="25"/>
      <c r="E188" s="25"/>
      <c r="F188" s="25"/>
    </row>
    <row r="189" spans="1:6" x14ac:dyDescent="0.25">
      <c r="A189" s="25"/>
      <c r="B189" s="25"/>
      <c r="C189" s="25"/>
      <c r="D189" s="25"/>
      <c r="E189" s="25"/>
      <c r="F189" s="25"/>
    </row>
    <row r="190" spans="1:6" x14ac:dyDescent="0.25">
      <c r="A190" s="25"/>
      <c r="B190" s="25"/>
      <c r="C190" s="25"/>
      <c r="D190" s="25"/>
      <c r="E190" s="25"/>
      <c r="F190" s="25"/>
    </row>
    <row r="191" spans="1:6" x14ac:dyDescent="0.25">
      <c r="A191" s="25"/>
      <c r="B191" s="25"/>
      <c r="C191" s="25"/>
      <c r="D191" s="25"/>
      <c r="E191" s="25"/>
      <c r="F191" s="25"/>
    </row>
    <row r="192" spans="1:6" x14ac:dyDescent="0.25">
      <c r="A192" s="25"/>
      <c r="B192" s="25"/>
      <c r="C192" s="25"/>
      <c r="D192" s="25"/>
      <c r="E192" s="25"/>
      <c r="F192" s="25"/>
    </row>
    <row r="193" spans="1:6" x14ac:dyDescent="0.25">
      <c r="A193" s="25"/>
      <c r="B193" s="25"/>
      <c r="C193" s="25"/>
      <c r="D193" s="25"/>
      <c r="E193" s="25"/>
      <c r="F193" s="25"/>
    </row>
    <row r="194" spans="1:6" x14ac:dyDescent="0.25">
      <c r="A194" s="25"/>
      <c r="B194" s="25"/>
      <c r="C194" s="25"/>
      <c r="D194" s="25"/>
      <c r="E194" s="25"/>
      <c r="F194" s="25"/>
    </row>
    <row r="195" spans="1:6" x14ac:dyDescent="0.25">
      <c r="A195" s="25"/>
      <c r="B195" s="25"/>
      <c r="C195" s="25"/>
      <c r="D195" s="25"/>
      <c r="E195" s="25"/>
      <c r="F195" s="25"/>
    </row>
    <row r="196" spans="1:6" x14ac:dyDescent="0.25">
      <c r="A196" s="25"/>
      <c r="B196" s="25"/>
      <c r="C196" s="25"/>
      <c r="D196" s="25"/>
      <c r="E196" s="25"/>
      <c r="F196" s="25"/>
    </row>
    <row r="197" spans="1:6" x14ac:dyDescent="0.25">
      <c r="A197" s="25"/>
      <c r="B197" s="25"/>
      <c r="C197" s="25"/>
      <c r="D197" s="25"/>
      <c r="E197" s="25"/>
      <c r="F197" s="25"/>
    </row>
    <row r="198" spans="1:6" x14ac:dyDescent="0.25">
      <c r="A198" s="25"/>
      <c r="B198" s="25"/>
      <c r="C198" s="25"/>
      <c r="D198" s="25"/>
      <c r="E198" s="25"/>
      <c r="F198" s="25"/>
    </row>
    <row r="199" spans="1:6" x14ac:dyDescent="0.25">
      <c r="A199" s="25"/>
      <c r="B199" s="25"/>
      <c r="C199" s="25"/>
      <c r="D199" s="25"/>
      <c r="E199" s="25"/>
      <c r="F199" s="25"/>
    </row>
    <row r="200" spans="1:6" x14ac:dyDescent="0.25">
      <c r="A200" s="25"/>
      <c r="B200" s="25"/>
      <c r="C200" s="25"/>
      <c r="D200" s="25"/>
      <c r="E200" s="25"/>
      <c r="F200" s="25"/>
    </row>
  </sheetData>
  <dataValidations count="9">
    <dataValidation type="list" allowBlank="1" showInputMessage="1" showErrorMessage="1" sqref="B2:B1048576" xr:uid="{C7D39D74-11A7-4203-8383-522FFBD611E8}">
      <formula1>"Oil,Gas"</formula1>
    </dataValidation>
    <dataValidation type="whole" allowBlank="1" showInputMessage="1" showErrorMessage="1" errorTitle="Data Type Error" error="The Year should be in Integer not String" sqref="A2:A1048576" xr:uid="{E2C6F16F-B840-48E8-AE01-5D08908C9FA0}">
      <formula1>0</formula1>
      <formula2>9999</formula2>
    </dataValidation>
    <dataValidation type="whole" allowBlank="1" showInputMessage="1" showErrorMessage="1" errorTitle="Data Type Error" error="Cost Data should be in Integer not String_x000a_" sqref="C201:C1048576" xr:uid="{0F0297ED-AF99-48BF-B0E5-8AB2C6199B9C}">
      <formula1>-9999999</formula1>
      <formula2>9999999</formula2>
    </dataValidation>
    <dataValidation type="whole" operator="greaterThan" allowBlank="1" showInputMessage="1" showErrorMessage="1" errorTitle="Data Type Error" error="The PPN portion should be in Integer or Float not String" sqref="D201:E1048576" xr:uid="{CE30951F-4309-49AB-8E09-C199EE825507}">
      <formula1>0</formula1>
    </dataValidation>
    <dataValidation type="whole" operator="greaterThan" allowBlank="1" showInputMessage="1" showErrorMessage="1" errorTitle="Data Type Error" error="The PDRI Portion should be in Integer or Float not String" sqref="F201:F1048576" xr:uid="{8C1BE538-9828-497F-8974-1EF45DE2C5A2}">
      <formula1>0</formula1>
    </dataValidation>
    <dataValidation allowBlank="1" showInputMessage="1" showErrorMessage="1" errorTitle="Cost Category Error" error="Please check the category of the cost" sqref="A1:F1" xr:uid="{587C7E7A-7A6A-4E2D-9238-1BEE1547036A}"/>
    <dataValidation type="decimal" operator="greaterThanOrEqual" allowBlank="1" showInputMessage="1" showErrorMessage="1" errorTitle="Data Type Error" error="Cost Data should be in Integer not String_x000a_" sqref="C2:C200" xr:uid="{7B5F7F40-D3B4-4CB1-8E6C-CEA4020FC5D7}">
      <formula1>0</formula1>
    </dataValidation>
    <dataValidation type="decimal" allowBlank="1" showInputMessage="1" showErrorMessage="1" errorTitle="Data Type Error" error="Should be between 0 and 1" sqref="D2:E200" xr:uid="{10438725-6E2D-48D2-927A-7642F495BFA3}">
      <formula1>0</formula1>
      <formula2>1</formula2>
    </dataValidation>
    <dataValidation operator="greaterThan" allowBlank="1" showInputMessage="1" showErrorMessage="1" errorTitle="Data Type Error" error="The PDRI Portion should be in Integer or Float not String" sqref="F2:F200" xr:uid="{B27D3180-69D8-4596-99F6-C487FDA13BBA}"/>
  </dataValidations>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CA363-75AD-4D3D-B5B7-017E89AC7A03}">
  <sheetPr codeName="Sheet14">
    <tabColor rgb="FFA3B8BA"/>
  </sheetPr>
  <dimension ref="A1:F200"/>
  <sheetViews>
    <sheetView workbookViewId="0">
      <selection activeCell="D18" sqref="D18"/>
    </sheetView>
  </sheetViews>
  <sheetFormatPr defaultColWidth="0" defaultRowHeight="15" zeroHeight="1" x14ac:dyDescent="0.25"/>
  <cols>
    <col min="1" max="1" width="11.140625" customWidth="1"/>
    <col min="2" max="2" width="19" bestFit="1" customWidth="1"/>
    <col min="3" max="3" width="16.28515625" bestFit="1" customWidth="1"/>
    <col min="4" max="4" width="15.7109375" bestFit="1" customWidth="1"/>
    <col min="5" max="5" width="15.7109375" customWidth="1"/>
    <col min="6" max="6" width="13.85546875" bestFit="1" customWidth="1"/>
    <col min="7" max="16384" width="8.85546875" hidden="1"/>
  </cols>
  <sheetData>
    <row r="1" spans="1:6" s="61" customFormat="1" x14ac:dyDescent="0.25">
      <c r="A1" s="69" t="s">
        <v>0</v>
      </c>
      <c r="B1" s="69" t="s">
        <v>17</v>
      </c>
      <c r="C1" s="69" t="s">
        <v>18</v>
      </c>
      <c r="D1" s="69" t="s">
        <v>268</v>
      </c>
      <c r="E1" s="69" t="s">
        <v>265</v>
      </c>
      <c r="F1" s="69" t="s">
        <v>253</v>
      </c>
    </row>
    <row r="2" spans="1:6" x14ac:dyDescent="0.25">
      <c r="A2" s="25">
        <v>2023</v>
      </c>
      <c r="B2" s="25" t="s">
        <v>305</v>
      </c>
      <c r="C2" s="25">
        <v>100</v>
      </c>
      <c r="D2" s="25">
        <v>1</v>
      </c>
      <c r="E2" s="25">
        <v>1</v>
      </c>
      <c r="F2" s="25"/>
    </row>
    <row r="3" spans="1:6" x14ac:dyDescent="0.25">
      <c r="A3" s="25">
        <v>2023</v>
      </c>
      <c r="B3" s="25" t="s">
        <v>305</v>
      </c>
      <c r="C3" s="25">
        <v>100</v>
      </c>
      <c r="D3" s="25">
        <v>1</v>
      </c>
      <c r="E3" s="25">
        <v>1</v>
      </c>
      <c r="F3" s="25"/>
    </row>
    <row r="4" spans="1:6" x14ac:dyDescent="0.25">
      <c r="A4" s="25">
        <v>2025</v>
      </c>
      <c r="B4" s="25" t="s">
        <v>305</v>
      </c>
      <c r="C4" s="25">
        <v>100</v>
      </c>
      <c r="D4" s="25">
        <v>1</v>
      </c>
      <c r="E4" s="25">
        <v>1</v>
      </c>
      <c r="F4" s="25"/>
    </row>
    <row r="5" spans="1:6" x14ac:dyDescent="0.25">
      <c r="A5" s="25">
        <v>2025</v>
      </c>
      <c r="B5" s="25" t="s">
        <v>305</v>
      </c>
      <c r="C5" s="25">
        <v>100</v>
      </c>
      <c r="D5" s="25">
        <v>1</v>
      </c>
      <c r="E5" s="25">
        <v>1</v>
      </c>
      <c r="F5" s="25"/>
    </row>
    <row r="6" spans="1:6" x14ac:dyDescent="0.25">
      <c r="A6" s="25">
        <v>2030</v>
      </c>
      <c r="B6" s="25" t="s">
        <v>306</v>
      </c>
      <c r="C6" s="25">
        <v>25</v>
      </c>
      <c r="D6" s="25">
        <v>1</v>
      </c>
      <c r="E6" s="25">
        <v>1</v>
      </c>
      <c r="F6" s="25"/>
    </row>
    <row r="7" spans="1:6" x14ac:dyDescent="0.25">
      <c r="A7" s="25">
        <v>2030</v>
      </c>
      <c r="B7" s="25" t="s">
        <v>306</v>
      </c>
      <c r="C7" s="25">
        <v>25</v>
      </c>
      <c r="D7" s="25">
        <v>1</v>
      </c>
      <c r="E7" s="25">
        <v>1</v>
      </c>
      <c r="F7" s="25"/>
    </row>
    <row r="8" spans="1:6" x14ac:dyDescent="0.25">
      <c r="A8" s="25">
        <v>2031</v>
      </c>
      <c r="B8" s="25" t="s">
        <v>305</v>
      </c>
      <c r="C8" s="25">
        <v>67</v>
      </c>
      <c r="D8" s="25">
        <v>1</v>
      </c>
      <c r="E8" s="25">
        <v>1</v>
      </c>
      <c r="F8" s="25"/>
    </row>
    <row r="9" spans="1:6" x14ac:dyDescent="0.25">
      <c r="A9" s="25">
        <v>2035</v>
      </c>
      <c r="B9" s="25" t="s">
        <v>305</v>
      </c>
      <c r="C9" s="25">
        <v>50</v>
      </c>
      <c r="D9" s="25">
        <v>1</v>
      </c>
      <c r="E9" s="25">
        <v>1</v>
      </c>
      <c r="F9" s="25"/>
    </row>
    <row r="10" spans="1:6" x14ac:dyDescent="0.25">
      <c r="A10" s="25">
        <v>2030</v>
      </c>
      <c r="B10" s="25" t="s">
        <v>306</v>
      </c>
      <c r="C10" s="25">
        <v>25</v>
      </c>
      <c r="D10" s="25">
        <v>1</v>
      </c>
      <c r="E10" s="25">
        <v>1</v>
      </c>
      <c r="F10" s="25"/>
    </row>
    <row r="11" spans="1:6" x14ac:dyDescent="0.25">
      <c r="A11" s="25">
        <v>2030</v>
      </c>
      <c r="B11" s="25" t="s">
        <v>306</v>
      </c>
      <c r="C11" s="25">
        <v>25</v>
      </c>
      <c r="D11" s="25">
        <v>1</v>
      </c>
      <c r="E11" s="25">
        <v>1</v>
      </c>
      <c r="F11" s="25"/>
    </row>
    <row r="12" spans="1:6" x14ac:dyDescent="0.25">
      <c r="A12" s="25">
        <v>2031</v>
      </c>
      <c r="B12" s="25" t="s">
        <v>305</v>
      </c>
      <c r="C12" s="25">
        <v>67</v>
      </c>
      <c r="D12" s="25">
        <v>1</v>
      </c>
      <c r="E12" s="25">
        <v>1</v>
      </c>
      <c r="F12" s="25"/>
    </row>
    <row r="13" spans="1:6" x14ac:dyDescent="0.25">
      <c r="A13" s="25">
        <v>2031</v>
      </c>
      <c r="B13" s="25" t="s">
        <v>305</v>
      </c>
      <c r="C13" s="25">
        <v>67</v>
      </c>
      <c r="D13" s="25">
        <v>1</v>
      </c>
      <c r="E13" s="25">
        <v>1</v>
      </c>
      <c r="F13" s="25"/>
    </row>
    <row r="14" spans="1:6" x14ac:dyDescent="0.25">
      <c r="A14" s="25">
        <v>2035</v>
      </c>
      <c r="B14" s="25" t="s">
        <v>305</v>
      </c>
      <c r="C14" s="25">
        <v>50</v>
      </c>
      <c r="D14" s="25">
        <v>1</v>
      </c>
      <c r="E14" s="25">
        <v>1</v>
      </c>
      <c r="F14" s="25"/>
    </row>
    <row r="15" spans="1:6" x14ac:dyDescent="0.25">
      <c r="A15" s="25">
        <v>2035</v>
      </c>
      <c r="B15" s="25" t="s">
        <v>305</v>
      </c>
      <c r="C15" s="25">
        <v>50</v>
      </c>
      <c r="D15" s="25">
        <v>1</v>
      </c>
      <c r="E15" s="25">
        <v>1</v>
      </c>
      <c r="F15" s="25"/>
    </row>
    <row r="16" spans="1:6" x14ac:dyDescent="0.25">
      <c r="A16" s="25"/>
      <c r="B16" s="25"/>
      <c r="C16" s="25"/>
      <c r="D16" s="25"/>
      <c r="E16" s="25"/>
      <c r="F16" s="25"/>
    </row>
    <row r="17" spans="1:6" x14ac:dyDescent="0.25">
      <c r="A17" s="25"/>
      <c r="B17" s="25"/>
      <c r="C17" s="25"/>
      <c r="D17" s="25"/>
      <c r="E17" s="25"/>
      <c r="F17" s="25"/>
    </row>
    <row r="18" spans="1:6" x14ac:dyDescent="0.25">
      <c r="A18" s="25"/>
      <c r="B18" s="25"/>
      <c r="C18" s="25"/>
      <c r="D18" s="25"/>
      <c r="E18" s="25"/>
      <c r="F18" s="25"/>
    </row>
    <row r="19" spans="1:6" x14ac:dyDescent="0.25">
      <c r="A19" s="25"/>
      <c r="B19" s="25"/>
      <c r="C19" s="25"/>
      <c r="D19" s="25"/>
      <c r="E19" s="25"/>
      <c r="F19" s="25"/>
    </row>
    <row r="20" spans="1:6" x14ac:dyDescent="0.25">
      <c r="A20" s="25"/>
      <c r="B20" s="25"/>
      <c r="C20" s="25"/>
      <c r="D20" s="25"/>
      <c r="E20" s="25"/>
      <c r="F20" s="25"/>
    </row>
    <row r="21" spans="1:6" x14ac:dyDescent="0.25">
      <c r="A21" s="25"/>
      <c r="B21" s="25"/>
      <c r="C21" s="25"/>
      <c r="D21" s="25"/>
      <c r="E21" s="25"/>
      <c r="F21" s="25"/>
    </row>
    <row r="22" spans="1:6" x14ac:dyDescent="0.25">
      <c r="A22" s="25"/>
      <c r="B22" s="25"/>
      <c r="C22" s="25"/>
      <c r="D22" s="25"/>
      <c r="E22" s="25"/>
      <c r="F22" s="25"/>
    </row>
    <row r="23" spans="1:6" x14ac:dyDescent="0.25">
      <c r="A23" s="25"/>
      <c r="B23" s="25"/>
      <c r="C23" s="25"/>
      <c r="D23" s="25"/>
      <c r="E23" s="25"/>
      <c r="F23" s="25"/>
    </row>
    <row r="24" spans="1:6" x14ac:dyDescent="0.25">
      <c r="A24" s="25"/>
      <c r="B24" s="25"/>
      <c r="C24" s="25"/>
      <c r="D24" s="25"/>
      <c r="E24" s="25"/>
      <c r="F24" s="25"/>
    </row>
    <row r="25" spans="1:6" x14ac:dyDescent="0.25">
      <c r="A25" s="25"/>
      <c r="B25" s="25"/>
      <c r="C25" s="25"/>
      <c r="D25" s="25"/>
      <c r="E25" s="25"/>
      <c r="F25" s="25"/>
    </row>
    <row r="26" spans="1:6" x14ac:dyDescent="0.25">
      <c r="A26" s="25"/>
      <c r="B26" s="25"/>
      <c r="C26" s="25"/>
      <c r="D26" s="25"/>
      <c r="E26" s="25"/>
      <c r="F26" s="25"/>
    </row>
    <row r="27" spans="1:6" x14ac:dyDescent="0.25">
      <c r="A27" s="25"/>
      <c r="B27" s="25"/>
      <c r="C27" s="25"/>
      <c r="D27" s="25"/>
      <c r="E27" s="25"/>
      <c r="F27" s="25"/>
    </row>
    <row r="28" spans="1:6" x14ac:dyDescent="0.25">
      <c r="A28" s="25"/>
      <c r="B28" s="25"/>
      <c r="C28" s="25"/>
      <c r="D28" s="25"/>
      <c r="E28" s="25"/>
      <c r="F28" s="25"/>
    </row>
    <row r="29" spans="1:6" x14ac:dyDescent="0.25">
      <c r="A29" s="25"/>
      <c r="B29" s="25"/>
      <c r="C29" s="25"/>
      <c r="D29" s="25"/>
      <c r="E29" s="25"/>
      <c r="F29" s="25"/>
    </row>
    <row r="30" spans="1:6" x14ac:dyDescent="0.25">
      <c r="A30" s="25"/>
      <c r="B30" s="25"/>
      <c r="C30" s="25"/>
      <c r="D30" s="25"/>
      <c r="E30" s="25"/>
      <c r="F30" s="25"/>
    </row>
    <row r="31" spans="1:6" x14ac:dyDescent="0.25">
      <c r="A31" s="25"/>
      <c r="B31" s="25"/>
      <c r="C31" s="25"/>
      <c r="D31" s="25"/>
      <c r="E31" s="25"/>
      <c r="F31" s="25"/>
    </row>
    <row r="32" spans="1:6" x14ac:dyDescent="0.25">
      <c r="A32" s="25"/>
      <c r="B32" s="25"/>
      <c r="C32" s="25"/>
      <c r="D32" s="25"/>
      <c r="E32" s="25"/>
      <c r="F32" s="25"/>
    </row>
    <row r="33" spans="1:6" x14ac:dyDescent="0.25">
      <c r="A33" s="25"/>
      <c r="B33" s="25"/>
      <c r="C33" s="25"/>
      <c r="D33" s="25"/>
      <c r="E33" s="25"/>
      <c r="F33" s="25"/>
    </row>
    <row r="34" spans="1:6" x14ac:dyDescent="0.25">
      <c r="A34" s="25"/>
      <c r="B34" s="25"/>
      <c r="C34" s="25"/>
      <c r="D34" s="25"/>
      <c r="E34" s="25"/>
      <c r="F34" s="25"/>
    </row>
    <row r="35" spans="1:6" x14ac:dyDescent="0.25">
      <c r="A35" s="25"/>
      <c r="B35" s="25"/>
      <c r="C35" s="25"/>
      <c r="D35" s="25"/>
      <c r="E35" s="25"/>
      <c r="F35" s="25"/>
    </row>
    <row r="36" spans="1:6" x14ac:dyDescent="0.25">
      <c r="A36" s="25"/>
      <c r="B36" s="25"/>
      <c r="C36" s="25"/>
      <c r="D36" s="25"/>
      <c r="E36" s="25"/>
      <c r="F36" s="25"/>
    </row>
    <row r="37" spans="1:6" x14ac:dyDescent="0.25">
      <c r="A37" s="25"/>
      <c r="B37" s="25"/>
      <c r="C37" s="25"/>
      <c r="D37" s="25"/>
      <c r="E37" s="25"/>
      <c r="F37" s="25"/>
    </row>
    <row r="38" spans="1:6" x14ac:dyDescent="0.25">
      <c r="A38" s="25"/>
      <c r="B38" s="25"/>
      <c r="C38" s="25"/>
      <c r="D38" s="25"/>
      <c r="E38" s="25"/>
      <c r="F38" s="25"/>
    </row>
    <row r="39" spans="1:6" x14ac:dyDescent="0.25">
      <c r="A39" s="25"/>
      <c r="B39" s="25"/>
      <c r="C39" s="25"/>
      <c r="D39" s="25"/>
      <c r="E39" s="25"/>
      <c r="F39" s="25"/>
    </row>
    <row r="40" spans="1:6" x14ac:dyDescent="0.25">
      <c r="A40" s="25"/>
      <c r="B40" s="25"/>
      <c r="C40" s="25"/>
      <c r="D40" s="25"/>
      <c r="E40" s="25"/>
      <c r="F40" s="25"/>
    </row>
    <row r="41" spans="1:6" x14ac:dyDescent="0.25">
      <c r="A41" s="25"/>
      <c r="B41" s="25"/>
      <c r="C41" s="25"/>
      <c r="D41" s="25"/>
      <c r="E41" s="25"/>
      <c r="F41" s="25"/>
    </row>
    <row r="42" spans="1:6" x14ac:dyDescent="0.25">
      <c r="A42" s="25"/>
      <c r="B42" s="25"/>
      <c r="C42" s="25"/>
      <c r="D42" s="25"/>
      <c r="E42" s="25"/>
      <c r="F42" s="25"/>
    </row>
    <row r="43" spans="1:6" x14ac:dyDescent="0.25">
      <c r="A43" s="25"/>
      <c r="B43" s="25"/>
      <c r="C43" s="25"/>
      <c r="D43" s="25"/>
      <c r="E43" s="25"/>
      <c r="F43" s="25"/>
    </row>
    <row r="44" spans="1:6" x14ac:dyDescent="0.25">
      <c r="A44" s="25"/>
      <c r="B44" s="25"/>
      <c r="C44" s="25"/>
      <c r="D44" s="25"/>
      <c r="E44" s="25"/>
      <c r="F44" s="25"/>
    </row>
    <row r="45" spans="1:6" x14ac:dyDescent="0.25">
      <c r="A45" s="25"/>
      <c r="B45" s="25"/>
      <c r="C45" s="25"/>
      <c r="D45" s="25"/>
      <c r="E45" s="25"/>
      <c r="F45" s="25"/>
    </row>
    <row r="46" spans="1:6" x14ac:dyDescent="0.25">
      <c r="A46" s="25"/>
      <c r="B46" s="25"/>
      <c r="C46" s="25"/>
      <c r="D46" s="25"/>
      <c r="E46" s="25"/>
      <c r="F46" s="25"/>
    </row>
    <row r="47" spans="1:6" x14ac:dyDescent="0.25">
      <c r="A47" s="25"/>
      <c r="B47" s="25"/>
      <c r="C47" s="25"/>
      <c r="D47" s="25"/>
      <c r="E47" s="25"/>
      <c r="F47" s="25"/>
    </row>
    <row r="48" spans="1:6" x14ac:dyDescent="0.25">
      <c r="A48" s="25"/>
      <c r="B48" s="25"/>
      <c r="C48" s="25"/>
      <c r="D48" s="25"/>
      <c r="E48" s="25"/>
      <c r="F48" s="25"/>
    </row>
    <row r="49" spans="1:6" x14ac:dyDescent="0.25">
      <c r="A49" s="25"/>
      <c r="B49" s="25"/>
      <c r="C49" s="25"/>
      <c r="D49" s="25"/>
      <c r="E49" s="25"/>
      <c r="F49" s="25"/>
    </row>
    <row r="50" spans="1:6" x14ac:dyDescent="0.25">
      <c r="A50" s="25"/>
      <c r="B50" s="25"/>
      <c r="C50" s="25"/>
      <c r="D50" s="25"/>
      <c r="E50" s="25"/>
      <c r="F50" s="25"/>
    </row>
    <row r="51" spans="1:6" x14ac:dyDescent="0.25">
      <c r="A51" s="25"/>
      <c r="B51" s="25"/>
      <c r="C51" s="25"/>
      <c r="D51" s="25"/>
      <c r="E51" s="25"/>
      <c r="F51" s="25"/>
    </row>
    <row r="52" spans="1:6" x14ac:dyDescent="0.25">
      <c r="A52" s="25"/>
      <c r="B52" s="25"/>
      <c r="C52" s="25"/>
      <c r="D52" s="25"/>
      <c r="E52" s="25"/>
      <c r="F52" s="25"/>
    </row>
    <row r="53" spans="1:6" x14ac:dyDescent="0.25">
      <c r="A53" s="25"/>
      <c r="B53" s="25"/>
      <c r="C53" s="25"/>
      <c r="D53" s="25"/>
      <c r="E53" s="25"/>
      <c r="F53" s="25"/>
    </row>
    <row r="54" spans="1:6" x14ac:dyDescent="0.25">
      <c r="A54" s="25"/>
      <c r="B54" s="25"/>
      <c r="C54" s="25"/>
      <c r="D54" s="25"/>
      <c r="E54" s="25"/>
      <c r="F54" s="25"/>
    </row>
    <row r="55" spans="1:6" x14ac:dyDescent="0.25">
      <c r="A55" s="25"/>
      <c r="B55" s="25"/>
      <c r="C55" s="25"/>
      <c r="D55" s="25"/>
      <c r="E55" s="25"/>
      <c r="F55" s="25"/>
    </row>
    <row r="56" spans="1:6" x14ac:dyDescent="0.25">
      <c r="A56" s="25"/>
      <c r="B56" s="25"/>
      <c r="C56" s="25"/>
      <c r="D56" s="25"/>
      <c r="E56" s="25"/>
      <c r="F56" s="25"/>
    </row>
    <row r="57" spans="1:6" x14ac:dyDescent="0.25">
      <c r="A57" s="25"/>
      <c r="B57" s="25"/>
      <c r="C57" s="25"/>
      <c r="D57" s="25"/>
      <c r="E57" s="25"/>
      <c r="F57" s="25"/>
    </row>
    <row r="58" spans="1:6" x14ac:dyDescent="0.25">
      <c r="A58" s="25"/>
      <c r="B58" s="25"/>
      <c r="C58" s="25"/>
      <c r="D58" s="25"/>
      <c r="E58" s="25"/>
      <c r="F58" s="25"/>
    </row>
    <row r="59" spans="1:6" x14ac:dyDescent="0.25">
      <c r="A59" s="25"/>
      <c r="B59" s="25"/>
      <c r="C59" s="25"/>
      <c r="D59" s="25"/>
      <c r="E59" s="25"/>
      <c r="F59" s="25"/>
    </row>
    <row r="60" spans="1:6" x14ac:dyDescent="0.25">
      <c r="A60" s="25"/>
      <c r="B60" s="25"/>
      <c r="C60" s="25"/>
      <c r="D60" s="25"/>
      <c r="E60" s="25"/>
      <c r="F60" s="25"/>
    </row>
    <row r="61" spans="1:6" x14ac:dyDescent="0.25">
      <c r="A61" s="25"/>
      <c r="B61" s="25"/>
      <c r="C61" s="25"/>
      <c r="D61" s="25"/>
      <c r="E61" s="25"/>
      <c r="F61" s="25"/>
    </row>
    <row r="62" spans="1:6" x14ac:dyDescent="0.25">
      <c r="A62" s="25"/>
      <c r="B62" s="25"/>
      <c r="C62" s="25"/>
      <c r="D62" s="25"/>
      <c r="E62" s="25"/>
      <c r="F62" s="25"/>
    </row>
    <row r="63" spans="1:6" x14ac:dyDescent="0.25">
      <c r="A63" s="25"/>
      <c r="B63" s="25"/>
      <c r="C63" s="25"/>
      <c r="D63" s="25"/>
      <c r="E63" s="25"/>
      <c r="F63" s="25"/>
    </row>
    <row r="64" spans="1:6" x14ac:dyDescent="0.25">
      <c r="A64" s="25"/>
      <c r="B64" s="25"/>
      <c r="C64" s="25"/>
      <c r="D64" s="25"/>
      <c r="E64" s="25"/>
      <c r="F64" s="25"/>
    </row>
    <row r="65" spans="1:6" x14ac:dyDescent="0.25">
      <c r="A65" s="25"/>
      <c r="B65" s="25"/>
      <c r="C65" s="25"/>
      <c r="D65" s="25"/>
      <c r="E65" s="25"/>
      <c r="F65" s="25"/>
    </row>
    <row r="66" spans="1:6" x14ac:dyDescent="0.25">
      <c r="A66" s="25"/>
      <c r="B66" s="25"/>
      <c r="C66" s="25"/>
      <c r="D66" s="25"/>
      <c r="E66" s="25"/>
      <c r="F66" s="25"/>
    </row>
    <row r="67" spans="1:6" x14ac:dyDescent="0.25">
      <c r="A67" s="25"/>
      <c r="B67" s="25"/>
      <c r="C67" s="25"/>
      <c r="D67" s="25"/>
      <c r="E67" s="25"/>
      <c r="F67" s="25"/>
    </row>
    <row r="68" spans="1:6" x14ac:dyDescent="0.25">
      <c r="A68" s="25"/>
      <c r="B68" s="25"/>
      <c r="C68" s="25"/>
      <c r="D68" s="25"/>
      <c r="E68" s="25"/>
      <c r="F68" s="25"/>
    </row>
    <row r="69" spans="1:6" x14ac:dyDescent="0.25">
      <c r="A69" s="25"/>
      <c r="B69" s="25"/>
      <c r="C69" s="25"/>
      <c r="D69" s="25"/>
      <c r="E69" s="25"/>
      <c r="F69" s="25"/>
    </row>
    <row r="70" spans="1:6" x14ac:dyDescent="0.25">
      <c r="A70" s="25"/>
      <c r="B70" s="25"/>
      <c r="C70" s="25"/>
      <c r="D70" s="25"/>
      <c r="E70" s="25"/>
      <c r="F70" s="25"/>
    </row>
    <row r="71" spans="1:6" x14ac:dyDescent="0.25">
      <c r="A71" s="25"/>
      <c r="B71" s="25"/>
      <c r="C71" s="25"/>
      <c r="D71" s="25"/>
      <c r="E71" s="25"/>
      <c r="F71" s="25"/>
    </row>
    <row r="72" spans="1:6" x14ac:dyDescent="0.25">
      <c r="A72" s="25"/>
      <c r="B72" s="25"/>
      <c r="C72" s="25"/>
      <c r="D72" s="25"/>
      <c r="E72" s="25"/>
      <c r="F72" s="25"/>
    </row>
    <row r="73" spans="1:6" x14ac:dyDescent="0.25">
      <c r="A73" s="25"/>
      <c r="B73" s="25"/>
      <c r="C73" s="25"/>
      <c r="D73" s="25"/>
      <c r="E73" s="25"/>
      <c r="F73" s="25"/>
    </row>
    <row r="74" spans="1:6" x14ac:dyDescent="0.25">
      <c r="A74" s="25"/>
      <c r="B74" s="25"/>
      <c r="C74" s="25"/>
      <c r="D74" s="25"/>
      <c r="E74" s="25"/>
      <c r="F74" s="25"/>
    </row>
    <row r="75" spans="1:6" x14ac:dyDescent="0.25">
      <c r="A75" s="25"/>
      <c r="B75" s="25"/>
      <c r="C75" s="25"/>
      <c r="D75" s="25"/>
      <c r="E75" s="25"/>
      <c r="F75" s="25"/>
    </row>
    <row r="76" spans="1:6" x14ac:dyDescent="0.25">
      <c r="A76" s="25"/>
      <c r="B76" s="25"/>
      <c r="C76" s="25"/>
      <c r="D76" s="25"/>
      <c r="E76" s="25"/>
      <c r="F76" s="25"/>
    </row>
    <row r="77" spans="1:6" x14ac:dyDescent="0.25">
      <c r="A77" s="25"/>
      <c r="B77" s="25"/>
      <c r="C77" s="25"/>
      <c r="D77" s="25"/>
      <c r="E77" s="25"/>
      <c r="F77" s="25"/>
    </row>
    <row r="78" spans="1:6" x14ac:dyDescent="0.25">
      <c r="A78" s="25"/>
      <c r="B78" s="25"/>
      <c r="C78" s="25"/>
      <c r="D78" s="25"/>
      <c r="E78" s="25"/>
      <c r="F78" s="25"/>
    </row>
    <row r="79" spans="1:6" x14ac:dyDescent="0.25">
      <c r="A79" s="25"/>
      <c r="B79" s="25"/>
      <c r="C79" s="25"/>
      <c r="D79" s="25"/>
      <c r="E79" s="25"/>
      <c r="F79" s="25"/>
    </row>
    <row r="80" spans="1:6" x14ac:dyDescent="0.25">
      <c r="A80" s="25"/>
      <c r="B80" s="25"/>
      <c r="C80" s="25"/>
      <c r="D80" s="25"/>
      <c r="E80" s="25"/>
      <c r="F80" s="25"/>
    </row>
    <row r="81" spans="1:6" x14ac:dyDescent="0.25">
      <c r="A81" s="25"/>
      <c r="B81" s="25"/>
      <c r="C81" s="25"/>
      <c r="D81" s="25"/>
      <c r="E81" s="25"/>
      <c r="F81" s="25"/>
    </row>
    <row r="82" spans="1:6" x14ac:dyDescent="0.25">
      <c r="A82" s="25"/>
      <c r="B82" s="25"/>
      <c r="C82" s="25"/>
      <c r="D82" s="25"/>
      <c r="E82" s="25"/>
      <c r="F82" s="25"/>
    </row>
    <row r="83" spans="1:6" x14ac:dyDescent="0.25">
      <c r="A83" s="25"/>
      <c r="B83" s="25"/>
      <c r="C83" s="25"/>
      <c r="D83" s="25"/>
      <c r="E83" s="25"/>
      <c r="F83" s="25"/>
    </row>
    <row r="84" spans="1:6" x14ac:dyDescent="0.25">
      <c r="A84" s="25"/>
      <c r="B84" s="25"/>
      <c r="C84" s="25"/>
      <c r="D84" s="25"/>
      <c r="E84" s="25"/>
      <c r="F84" s="25"/>
    </row>
    <row r="85" spans="1:6" x14ac:dyDescent="0.25">
      <c r="A85" s="25"/>
      <c r="B85" s="25"/>
      <c r="C85" s="25"/>
      <c r="D85" s="25"/>
      <c r="E85" s="25"/>
      <c r="F85" s="25"/>
    </row>
    <row r="86" spans="1:6" x14ac:dyDescent="0.25">
      <c r="A86" s="25"/>
      <c r="B86" s="25"/>
      <c r="C86" s="25"/>
      <c r="D86" s="25"/>
      <c r="E86" s="25"/>
      <c r="F86" s="25"/>
    </row>
    <row r="87" spans="1:6" x14ac:dyDescent="0.25">
      <c r="A87" s="25"/>
      <c r="B87" s="25"/>
      <c r="C87" s="25"/>
      <c r="D87" s="25"/>
      <c r="E87" s="25"/>
      <c r="F87" s="25"/>
    </row>
    <row r="88" spans="1:6" x14ac:dyDescent="0.25">
      <c r="A88" s="25"/>
      <c r="B88" s="25"/>
      <c r="C88" s="25"/>
      <c r="D88" s="25"/>
      <c r="E88" s="25"/>
      <c r="F88" s="25"/>
    </row>
    <row r="89" spans="1:6" x14ac:dyDescent="0.25">
      <c r="A89" s="25"/>
      <c r="B89" s="25"/>
      <c r="C89" s="25"/>
      <c r="D89" s="25"/>
      <c r="E89" s="25"/>
      <c r="F89" s="25"/>
    </row>
    <row r="90" spans="1:6" x14ac:dyDescent="0.25">
      <c r="A90" s="25"/>
      <c r="B90" s="25"/>
      <c r="C90" s="25"/>
      <c r="D90" s="25"/>
      <c r="E90" s="25"/>
      <c r="F90" s="25"/>
    </row>
    <row r="91" spans="1:6" x14ac:dyDescent="0.25">
      <c r="A91" s="25"/>
      <c r="B91" s="25"/>
      <c r="C91" s="25"/>
      <c r="D91" s="25"/>
      <c r="E91" s="25"/>
      <c r="F91" s="25"/>
    </row>
    <row r="92" spans="1:6" x14ac:dyDescent="0.25">
      <c r="A92" s="25"/>
      <c r="B92" s="25"/>
      <c r="C92" s="25"/>
      <c r="D92" s="25"/>
      <c r="E92" s="25"/>
      <c r="F92" s="25"/>
    </row>
    <row r="93" spans="1:6" x14ac:dyDescent="0.25">
      <c r="A93" s="25"/>
      <c r="B93" s="25"/>
      <c r="C93" s="25"/>
      <c r="D93" s="25"/>
      <c r="E93" s="25"/>
      <c r="F93" s="25"/>
    </row>
    <row r="94" spans="1:6" x14ac:dyDescent="0.25">
      <c r="A94" s="25"/>
      <c r="B94" s="25"/>
      <c r="C94" s="25"/>
      <c r="D94" s="25"/>
      <c r="E94" s="25"/>
      <c r="F94" s="25"/>
    </row>
    <row r="95" spans="1:6" x14ac:dyDescent="0.25">
      <c r="A95" s="25"/>
      <c r="B95" s="25"/>
      <c r="C95" s="25"/>
      <c r="D95" s="25"/>
      <c r="E95" s="25"/>
      <c r="F95" s="25"/>
    </row>
    <row r="96" spans="1:6" x14ac:dyDescent="0.25">
      <c r="A96" s="25"/>
      <c r="B96" s="25"/>
      <c r="C96" s="25"/>
      <c r="D96" s="25"/>
      <c r="E96" s="25"/>
      <c r="F96" s="25"/>
    </row>
    <row r="97" spans="1:6" x14ac:dyDescent="0.25">
      <c r="A97" s="25"/>
      <c r="B97" s="25"/>
      <c r="C97" s="25"/>
      <c r="D97" s="25"/>
      <c r="E97" s="25"/>
      <c r="F97" s="25"/>
    </row>
    <row r="98" spans="1:6" x14ac:dyDescent="0.25">
      <c r="A98" s="25"/>
      <c r="B98" s="25"/>
      <c r="C98" s="25"/>
      <c r="D98" s="25"/>
      <c r="E98" s="25"/>
      <c r="F98" s="25"/>
    </row>
    <row r="99" spans="1:6" x14ac:dyDescent="0.25">
      <c r="A99" s="25"/>
      <c r="B99" s="25"/>
      <c r="C99" s="25"/>
      <c r="D99" s="25"/>
      <c r="E99" s="25"/>
      <c r="F99" s="25"/>
    </row>
    <row r="100" spans="1:6" x14ac:dyDescent="0.25">
      <c r="A100" s="25"/>
      <c r="B100" s="25"/>
      <c r="C100" s="25"/>
      <c r="D100" s="25"/>
      <c r="E100" s="25"/>
      <c r="F100" s="25"/>
    </row>
    <row r="101" spans="1:6" x14ac:dyDescent="0.25">
      <c r="A101" s="25"/>
      <c r="B101" s="25"/>
      <c r="C101" s="25"/>
      <c r="D101" s="25"/>
      <c r="E101" s="25"/>
      <c r="F101" s="25"/>
    </row>
    <row r="102" spans="1:6" x14ac:dyDescent="0.25">
      <c r="A102" s="25"/>
      <c r="B102" s="25"/>
      <c r="C102" s="25"/>
      <c r="D102" s="25"/>
      <c r="E102" s="25"/>
      <c r="F102" s="25"/>
    </row>
    <row r="103" spans="1:6" x14ac:dyDescent="0.25">
      <c r="A103" s="25"/>
      <c r="B103" s="25"/>
      <c r="C103" s="25"/>
      <c r="D103" s="25"/>
      <c r="E103" s="25"/>
      <c r="F103" s="25"/>
    </row>
    <row r="104" spans="1:6" x14ac:dyDescent="0.25">
      <c r="A104" s="25"/>
      <c r="B104" s="25"/>
      <c r="C104" s="25"/>
      <c r="D104" s="25"/>
      <c r="E104" s="25"/>
      <c r="F104" s="25"/>
    </row>
    <row r="105" spans="1:6" x14ac:dyDescent="0.25">
      <c r="A105" s="25"/>
      <c r="B105" s="25"/>
      <c r="C105" s="25"/>
      <c r="D105" s="25"/>
      <c r="E105" s="25"/>
      <c r="F105" s="25"/>
    </row>
    <row r="106" spans="1:6" x14ac:dyDescent="0.25">
      <c r="A106" s="25"/>
      <c r="B106" s="25"/>
      <c r="C106" s="25"/>
      <c r="D106" s="25"/>
      <c r="E106" s="25"/>
      <c r="F106" s="25"/>
    </row>
    <row r="107" spans="1:6" x14ac:dyDescent="0.25">
      <c r="A107" s="25"/>
      <c r="B107" s="25"/>
      <c r="C107" s="25"/>
      <c r="D107" s="25"/>
      <c r="E107" s="25"/>
      <c r="F107" s="25"/>
    </row>
    <row r="108" spans="1:6" x14ac:dyDescent="0.25">
      <c r="A108" s="25"/>
      <c r="B108" s="25"/>
      <c r="C108" s="25"/>
      <c r="D108" s="25"/>
      <c r="E108" s="25"/>
      <c r="F108" s="25"/>
    </row>
    <row r="109" spans="1:6" x14ac:dyDescent="0.25">
      <c r="A109" s="25"/>
      <c r="B109" s="25"/>
      <c r="C109" s="25"/>
      <c r="D109" s="25"/>
      <c r="E109" s="25"/>
      <c r="F109" s="25"/>
    </row>
    <row r="110" spans="1:6" x14ac:dyDescent="0.25">
      <c r="A110" s="25"/>
      <c r="B110" s="25"/>
      <c r="C110" s="25"/>
      <c r="D110" s="25"/>
      <c r="E110" s="25"/>
      <c r="F110" s="25"/>
    </row>
    <row r="111" spans="1:6" x14ac:dyDescent="0.25">
      <c r="A111" s="25"/>
      <c r="B111" s="25"/>
      <c r="C111" s="25"/>
      <c r="D111" s="25"/>
      <c r="E111" s="25"/>
      <c r="F111" s="25"/>
    </row>
    <row r="112" spans="1:6" x14ac:dyDescent="0.25">
      <c r="A112" s="25"/>
      <c r="B112" s="25"/>
      <c r="C112" s="25"/>
      <c r="D112" s="25"/>
      <c r="E112" s="25"/>
      <c r="F112" s="25"/>
    </row>
    <row r="113" spans="1:6" x14ac:dyDescent="0.25">
      <c r="A113" s="25"/>
      <c r="B113" s="25"/>
      <c r="C113" s="25"/>
      <c r="D113" s="25"/>
      <c r="E113" s="25"/>
      <c r="F113" s="25"/>
    </row>
    <row r="114" spans="1:6" x14ac:dyDescent="0.25">
      <c r="A114" s="25"/>
      <c r="B114" s="25"/>
      <c r="C114" s="25"/>
      <c r="D114" s="25"/>
      <c r="E114" s="25"/>
      <c r="F114" s="25"/>
    </row>
    <row r="115" spans="1:6" x14ac:dyDescent="0.25">
      <c r="A115" s="25"/>
      <c r="B115" s="25"/>
      <c r="C115" s="25"/>
      <c r="D115" s="25"/>
      <c r="E115" s="25"/>
      <c r="F115" s="25"/>
    </row>
    <row r="116" spans="1:6" x14ac:dyDescent="0.25">
      <c r="A116" s="25"/>
      <c r="B116" s="25"/>
      <c r="C116" s="25"/>
      <c r="D116" s="25"/>
      <c r="E116" s="25"/>
      <c r="F116" s="25"/>
    </row>
    <row r="117" spans="1:6" x14ac:dyDescent="0.25">
      <c r="A117" s="25"/>
      <c r="B117" s="25"/>
      <c r="C117" s="25"/>
      <c r="D117" s="25"/>
      <c r="E117" s="25"/>
      <c r="F117" s="25"/>
    </row>
    <row r="118" spans="1:6" x14ac:dyDescent="0.25">
      <c r="A118" s="25"/>
      <c r="B118" s="25"/>
      <c r="C118" s="25"/>
      <c r="D118" s="25"/>
      <c r="E118" s="25"/>
      <c r="F118" s="25"/>
    </row>
    <row r="119" spans="1:6" x14ac:dyDescent="0.25">
      <c r="A119" s="25"/>
      <c r="B119" s="25"/>
      <c r="C119" s="25"/>
      <c r="D119" s="25"/>
      <c r="E119" s="25"/>
      <c r="F119" s="25"/>
    </row>
    <row r="120" spans="1:6" x14ac:dyDescent="0.25">
      <c r="A120" s="25"/>
      <c r="B120" s="25"/>
      <c r="C120" s="25"/>
      <c r="D120" s="25"/>
      <c r="E120" s="25"/>
      <c r="F120" s="25"/>
    </row>
    <row r="121" spans="1:6" x14ac:dyDescent="0.25">
      <c r="A121" s="25"/>
      <c r="B121" s="25"/>
      <c r="C121" s="25"/>
      <c r="D121" s="25"/>
      <c r="E121" s="25"/>
      <c r="F121" s="25"/>
    </row>
    <row r="122" spans="1:6" x14ac:dyDescent="0.25">
      <c r="A122" s="25"/>
      <c r="B122" s="25"/>
      <c r="C122" s="25"/>
      <c r="D122" s="25"/>
      <c r="E122" s="25"/>
      <c r="F122" s="25"/>
    </row>
    <row r="123" spans="1:6" x14ac:dyDescent="0.25">
      <c r="A123" s="25"/>
      <c r="B123" s="25"/>
      <c r="C123" s="25"/>
      <c r="D123" s="25"/>
      <c r="E123" s="25"/>
      <c r="F123" s="25"/>
    </row>
    <row r="124" spans="1:6" x14ac:dyDescent="0.25">
      <c r="A124" s="25"/>
      <c r="B124" s="25"/>
      <c r="C124" s="25"/>
      <c r="D124" s="25"/>
      <c r="E124" s="25"/>
      <c r="F124" s="25"/>
    </row>
    <row r="125" spans="1:6" x14ac:dyDescent="0.25">
      <c r="A125" s="25"/>
      <c r="B125" s="25"/>
      <c r="C125" s="25"/>
      <c r="D125" s="25"/>
      <c r="E125" s="25"/>
      <c r="F125" s="25"/>
    </row>
    <row r="126" spans="1:6" x14ac:dyDescent="0.25">
      <c r="A126" s="25"/>
      <c r="B126" s="25"/>
      <c r="C126" s="25"/>
      <c r="D126" s="25"/>
      <c r="E126" s="25"/>
      <c r="F126" s="25"/>
    </row>
    <row r="127" spans="1:6" x14ac:dyDescent="0.25">
      <c r="A127" s="25"/>
      <c r="B127" s="25"/>
      <c r="C127" s="25"/>
      <c r="D127" s="25"/>
      <c r="E127" s="25"/>
      <c r="F127" s="25"/>
    </row>
    <row r="128" spans="1:6" x14ac:dyDescent="0.25">
      <c r="A128" s="25"/>
      <c r="B128" s="25"/>
      <c r="C128" s="25"/>
      <c r="D128" s="25"/>
      <c r="E128" s="25"/>
      <c r="F128" s="25"/>
    </row>
    <row r="129" spans="1:6" x14ac:dyDescent="0.25">
      <c r="A129" s="25"/>
      <c r="B129" s="25"/>
      <c r="C129" s="25"/>
      <c r="D129" s="25"/>
      <c r="E129" s="25"/>
      <c r="F129" s="25"/>
    </row>
    <row r="130" spans="1:6" x14ac:dyDescent="0.25">
      <c r="A130" s="25"/>
      <c r="B130" s="25"/>
      <c r="C130" s="25"/>
      <c r="D130" s="25"/>
      <c r="E130" s="25"/>
      <c r="F130" s="25"/>
    </row>
    <row r="131" spans="1:6" x14ac:dyDescent="0.25">
      <c r="A131" s="25"/>
      <c r="B131" s="25"/>
      <c r="C131" s="25"/>
      <c r="D131" s="25"/>
      <c r="E131" s="25"/>
      <c r="F131" s="25"/>
    </row>
    <row r="132" spans="1:6" x14ac:dyDescent="0.25">
      <c r="A132" s="25"/>
      <c r="B132" s="25"/>
      <c r="C132" s="25"/>
      <c r="D132" s="25"/>
      <c r="E132" s="25"/>
      <c r="F132" s="25"/>
    </row>
    <row r="133" spans="1:6" x14ac:dyDescent="0.25">
      <c r="A133" s="25"/>
      <c r="B133" s="25"/>
      <c r="C133" s="25"/>
      <c r="D133" s="25"/>
      <c r="E133" s="25"/>
      <c r="F133" s="25"/>
    </row>
    <row r="134" spans="1:6" x14ac:dyDescent="0.25">
      <c r="A134" s="25"/>
      <c r="B134" s="25"/>
      <c r="C134" s="25"/>
      <c r="D134" s="25"/>
      <c r="E134" s="25"/>
      <c r="F134" s="25"/>
    </row>
    <row r="135" spans="1:6" x14ac:dyDescent="0.25">
      <c r="A135" s="25"/>
      <c r="B135" s="25"/>
      <c r="C135" s="25"/>
      <c r="D135" s="25"/>
      <c r="E135" s="25"/>
      <c r="F135" s="25"/>
    </row>
    <row r="136" spans="1:6" x14ac:dyDescent="0.25">
      <c r="A136" s="25"/>
      <c r="B136" s="25"/>
      <c r="C136" s="25"/>
      <c r="D136" s="25"/>
      <c r="E136" s="25"/>
      <c r="F136" s="25"/>
    </row>
    <row r="137" spans="1:6" x14ac:dyDescent="0.25">
      <c r="A137" s="25"/>
      <c r="B137" s="25"/>
      <c r="C137" s="25"/>
      <c r="D137" s="25"/>
      <c r="E137" s="25"/>
      <c r="F137" s="25"/>
    </row>
    <row r="138" spans="1:6" x14ac:dyDescent="0.25">
      <c r="A138" s="25"/>
      <c r="B138" s="25"/>
      <c r="C138" s="25"/>
      <c r="D138" s="25"/>
      <c r="E138" s="25"/>
      <c r="F138" s="25"/>
    </row>
    <row r="139" spans="1:6" x14ac:dyDescent="0.25">
      <c r="A139" s="25"/>
      <c r="B139" s="25"/>
      <c r="C139" s="25"/>
      <c r="D139" s="25"/>
      <c r="E139" s="25"/>
      <c r="F139" s="25"/>
    </row>
    <row r="140" spans="1:6" x14ac:dyDescent="0.25">
      <c r="A140" s="25"/>
      <c r="B140" s="25"/>
      <c r="C140" s="25"/>
      <c r="D140" s="25"/>
      <c r="E140" s="25"/>
      <c r="F140" s="25"/>
    </row>
    <row r="141" spans="1:6" x14ac:dyDescent="0.25">
      <c r="A141" s="25"/>
      <c r="B141" s="25"/>
      <c r="C141" s="25"/>
      <c r="D141" s="25"/>
      <c r="E141" s="25"/>
      <c r="F141" s="25"/>
    </row>
    <row r="142" spans="1:6" x14ac:dyDescent="0.25">
      <c r="A142" s="25"/>
      <c r="B142" s="25"/>
      <c r="C142" s="25"/>
      <c r="D142" s="25"/>
      <c r="E142" s="25"/>
      <c r="F142" s="25"/>
    </row>
    <row r="143" spans="1:6" x14ac:dyDescent="0.25">
      <c r="A143" s="25"/>
      <c r="B143" s="25"/>
      <c r="C143" s="25"/>
      <c r="D143" s="25"/>
      <c r="E143" s="25"/>
      <c r="F143" s="25"/>
    </row>
    <row r="144" spans="1:6" x14ac:dyDescent="0.25">
      <c r="A144" s="25"/>
      <c r="B144" s="25"/>
      <c r="C144" s="25"/>
      <c r="D144" s="25"/>
      <c r="E144" s="25"/>
      <c r="F144" s="25"/>
    </row>
    <row r="145" spans="1:6" x14ac:dyDescent="0.25">
      <c r="A145" s="25"/>
      <c r="B145" s="25"/>
      <c r="C145" s="25"/>
      <c r="D145" s="25"/>
      <c r="E145" s="25"/>
      <c r="F145" s="25"/>
    </row>
    <row r="146" spans="1:6" x14ac:dyDescent="0.25">
      <c r="A146" s="25"/>
      <c r="B146" s="25"/>
      <c r="C146" s="25"/>
      <c r="D146" s="25"/>
      <c r="E146" s="25"/>
      <c r="F146" s="25"/>
    </row>
    <row r="147" spans="1:6" x14ac:dyDescent="0.25">
      <c r="A147" s="25"/>
      <c r="B147" s="25"/>
      <c r="C147" s="25"/>
      <c r="D147" s="25"/>
      <c r="E147" s="25"/>
      <c r="F147" s="25"/>
    </row>
    <row r="148" spans="1:6" x14ac:dyDescent="0.25">
      <c r="A148" s="25"/>
      <c r="B148" s="25"/>
      <c r="C148" s="25"/>
      <c r="D148" s="25"/>
      <c r="E148" s="25"/>
      <c r="F148" s="25"/>
    </row>
    <row r="149" spans="1:6" x14ac:dyDescent="0.25">
      <c r="A149" s="25"/>
      <c r="B149" s="25"/>
      <c r="C149" s="25"/>
      <c r="D149" s="25"/>
      <c r="E149" s="25"/>
      <c r="F149" s="25"/>
    </row>
    <row r="150" spans="1:6" x14ac:dyDescent="0.25">
      <c r="A150" s="25"/>
      <c r="B150" s="25"/>
      <c r="C150" s="25"/>
      <c r="D150" s="25"/>
      <c r="E150" s="25"/>
      <c r="F150" s="25"/>
    </row>
    <row r="151" spans="1:6" x14ac:dyDescent="0.25">
      <c r="A151" s="25"/>
      <c r="B151" s="25"/>
      <c r="C151" s="25"/>
      <c r="D151" s="25"/>
      <c r="E151" s="25"/>
      <c r="F151" s="25"/>
    </row>
    <row r="152" spans="1:6" x14ac:dyDescent="0.25">
      <c r="A152" s="25"/>
      <c r="B152" s="25"/>
      <c r="C152" s="25"/>
      <c r="D152" s="25"/>
      <c r="E152" s="25"/>
      <c r="F152" s="25"/>
    </row>
    <row r="153" spans="1:6" x14ac:dyDescent="0.25">
      <c r="A153" s="25"/>
      <c r="B153" s="25"/>
      <c r="C153" s="25"/>
      <c r="D153" s="25"/>
      <c r="E153" s="25"/>
      <c r="F153" s="25"/>
    </row>
    <row r="154" spans="1:6" x14ac:dyDescent="0.25">
      <c r="A154" s="25"/>
      <c r="B154" s="25"/>
      <c r="C154" s="25"/>
      <c r="D154" s="25"/>
      <c r="E154" s="25"/>
      <c r="F154" s="25"/>
    </row>
    <row r="155" spans="1:6" x14ac:dyDescent="0.25">
      <c r="A155" s="25"/>
      <c r="B155" s="25"/>
      <c r="C155" s="25"/>
      <c r="D155" s="25"/>
      <c r="E155" s="25"/>
      <c r="F155" s="25"/>
    </row>
    <row r="156" spans="1:6" x14ac:dyDescent="0.25">
      <c r="A156" s="25"/>
      <c r="B156" s="25"/>
      <c r="C156" s="25"/>
      <c r="D156" s="25"/>
      <c r="E156" s="25"/>
      <c r="F156" s="25"/>
    </row>
    <row r="157" spans="1:6" x14ac:dyDescent="0.25">
      <c r="A157" s="25"/>
      <c r="B157" s="25"/>
      <c r="C157" s="25"/>
      <c r="D157" s="25"/>
      <c r="E157" s="25"/>
      <c r="F157" s="25"/>
    </row>
    <row r="158" spans="1:6" x14ac:dyDescent="0.25">
      <c r="A158" s="25"/>
      <c r="B158" s="25"/>
      <c r="C158" s="25"/>
      <c r="D158" s="25"/>
      <c r="E158" s="25"/>
      <c r="F158" s="25"/>
    </row>
    <row r="159" spans="1:6" x14ac:dyDescent="0.25">
      <c r="A159" s="25"/>
      <c r="B159" s="25"/>
      <c r="C159" s="25"/>
      <c r="D159" s="25"/>
      <c r="E159" s="25"/>
      <c r="F159" s="25"/>
    </row>
    <row r="160" spans="1:6" x14ac:dyDescent="0.25">
      <c r="A160" s="25"/>
      <c r="B160" s="25"/>
      <c r="C160" s="25"/>
      <c r="D160" s="25"/>
      <c r="E160" s="25"/>
      <c r="F160" s="25"/>
    </row>
    <row r="161" spans="1:6" x14ac:dyDescent="0.25">
      <c r="A161" s="25"/>
      <c r="B161" s="25"/>
      <c r="C161" s="25"/>
      <c r="D161" s="25"/>
      <c r="E161" s="25"/>
      <c r="F161" s="25"/>
    </row>
    <row r="162" spans="1:6" x14ac:dyDescent="0.25">
      <c r="A162" s="25"/>
      <c r="B162" s="25"/>
      <c r="C162" s="25"/>
      <c r="D162" s="25"/>
      <c r="E162" s="25"/>
      <c r="F162" s="25"/>
    </row>
    <row r="163" spans="1:6" x14ac:dyDescent="0.25">
      <c r="A163" s="25"/>
      <c r="B163" s="25"/>
      <c r="C163" s="25"/>
      <c r="D163" s="25"/>
      <c r="E163" s="25"/>
      <c r="F163" s="25"/>
    </row>
    <row r="164" spans="1:6" x14ac:dyDescent="0.25">
      <c r="A164" s="25"/>
      <c r="B164" s="25"/>
      <c r="C164" s="25"/>
      <c r="D164" s="25"/>
      <c r="E164" s="25"/>
      <c r="F164" s="25"/>
    </row>
    <row r="165" spans="1:6" x14ac:dyDescent="0.25">
      <c r="A165" s="25"/>
      <c r="B165" s="25"/>
      <c r="C165" s="25"/>
      <c r="D165" s="25"/>
      <c r="E165" s="25"/>
      <c r="F165" s="25"/>
    </row>
    <row r="166" spans="1:6" x14ac:dyDescent="0.25">
      <c r="A166" s="25"/>
      <c r="B166" s="25"/>
      <c r="C166" s="25"/>
      <c r="D166" s="25"/>
      <c r="E166" s="25"/>
      <c r="F166" s="25"/>
    </row>
    <row r="167" spans="1:6" x14ac:dyDescent="0.25">
      <c r="A167" s="25"/>
      <c r="B167" s="25"/>
      <c r="C167" s="25"/>
      <c r="D167" s="25"/>
      <c r="E167" s="25"/>
      <c r="F167" s="25"/>
    </row>
    <row r="168" spans="1:6" x14ac:dyDescent="0.25">
      <c r="A168" s="25"/>
      <c r="B168" s="25"/>
      <c r="C168" s="25"/>
      <c r="D168" s="25"/>
      <c r="E168" s="25"/>
      <c r="F168" s="25"/>
    </row>
    <row r="169" spans="1:6" x14ac:dyDescent="0.25">
      <c r="A169" s="25"/>
      <c r="B169" s="25"/>
      <c r="C169" s="25"/>
      <c r="D169" s="25"/>
      <c r="E169" s="25"/>
      <c r="F169" s="25"/>
    </row>
    <row r="170" spans="1:6" x14ac:dyDescent="0.25">
      <c r="A170" s="25"/>
      <c r="B170" s="25"/>
      <c r="C170" s="25"/>
      <c r="D170" s="25"/>
      <c r="E170" s="25"/>
      <c r="F170" s="25"/>
    </row>
    <row r="171" spans="1:6" x14ac:dyDescent="0.25">
      <c r="A171" s="25"/>
      <c r="B171" s="25"/>
      <c r="C171" s="25"/>
      <c r="D171" s="25"/>
      <c r="E171" s="25"/>
      <c r="F171" s="25"/>
    </row>
    <row r="172" spans="1:6" x14ac:dyDescent="0.25">
      <c r="A172" s="25"/>
      <c r="B172" s="25"/>
      <c r="C172" s="25"/>
      <c r="D172" s="25"/>
      <c r="E172" s="25"/>
      <c r="F172" s="25"/>
    </row>
    <row r="173" spans="1:6" x14ac:dyDescent="0.25">
      <c r="A173" s="25"/>
      <c r="B173" s="25"/>
      <c r="C173" s="25"/>
      <c r="D173" s="25"/>
      <c r="E173" s="25"/>
      <c r="F173" s="25"/>
    </row>
    <row r="174" spans="1:6" x14ac:dyDescent="0.25">
      <c r="A174" s="25"/>
      <c r="B174" s="25"/>
      <c r="C174" s="25"/>
      <c r="D174" s="25"/>
      <c r="E174" s="25"/>
      <c r="F174" s="25"/>
    </row>
    <row r="175" spans="1:6" x14ac:dyDescent="0.25">
      <c r="A175" s="25"/>
      <c r="B175" s="25"/>
      <c r="C175" s="25"/>
      <c r="D175" s="25"/>
      <c r="E175" s="25"/>
      <c r="F175" s="25"/>
    </row>
    <row r="176" spans="1:6" x14ac:dyDescent="0.25">
      <c r="A176" s="25"/>
      <c r="B176" s="25"/>
      <c r="C176" s="25"/>
      <c r="D176" s="25"/>
      <c r="E176" s="25"/>
      <c r="F176" s="25"/>
    </row>
    <row r="177" spans="1:6" x14ac:dyDescent="0.25">
      <c r="A177" s="25"/>
      <c r="B177" s="25"/>
      <c r="C177" s="25"/>
      <c r="D177" s="25"/>
      <c r="E177" s="25"/>
      <c r="F177" s="25"/>
    </row>
    <row r="178" spans="1:6" x14ac:dyDescent="0.25">
      <c r="A178" s="25"/>
      <c r="B178" s="25"/>
      <c r="C178" s="25"/>
      <c r="D178" s="25"/>
      <c r="E178" s="25"/>
      <c r="F178" s="25"/>
    </row>
    <row r="179" spans="1:6" x14ac:dyDescent="0.25">
      <c r="A179" s="25"/>
      <c r="B179" s="25"/>
      <c r="C179" s="25"/>
      <c r="D179" s="25"/>
      <c r="E179" s="25"/>
      <c r="F179" s="25"/>
    </row>
    <row r="180" spans="1:6" x14ac:dyDescent="0.25">
      <c r="A180" s="25"/>
      <c r="B180" s="25"/>
      <c r="C180" s="25"/>
      <c r="D180" s="25"/>
      <c r="E180" s="25"/>
      <c r="F180" s="25"/>
    </row>
    <row r="181" spans="1:6" x14ac:dyDescent="0.25">
      <c r="A181" s="25"/>
      <c r="B181" s="25"/>
      <c r="C181" s="25"/>
      <c r="D181" s="25"/>
      <c r="E181" s="25"/>
      <c r="F181" s="25"/>
    </row>
    <row r="182" spans="1:6" x14ac:dyDescent="0.25">
      <c r="A182" s="25"/>
      <c r="B182" s="25"/>
      <c r="C182" s="25"/>
      <c r="D182" s="25"/>
      <c r="E182" s="25"/>
      <c r="F182" s="25"/>
    </row>
    <row r="183" spans="1:6" x14ac:dyDescent="0.25">
      <c r="A183" s="25"/>
      <c r="B183" s="25"/>
      <c r="C183" s="25"/>
      <c r="D183" s="25"/>
      <c r="E183" s="25"/>
      <c r="F183" s="25"/>
    </row>
    <row r="184" spans="1:6" x14ac:dyDescent="0.25">
      <c r="A184" s="25"/>
      <c r="B184" s="25"/>
      <c r="C184" s="25"/>
      <c r="D184" s="25"/>
      <c r="E184" s="25"/>
      <c r="F184" s="25"/>
    </row>
    <row r="185" spans="1:6" x14ac:dyDescent="0.25">
      <c r="A185" s="25"/>
      <c r="B185" s="25"/>
      <c r="C185" s="25"/>
      <c r="D185" s="25"/>
      <c r="E185" s="25"/>
      <c r="F185" s="25"/>
    </row>
    <row r="186" spans="1:6" x14ac:dyDescent="0.25">
      <c r="A186" s="25"/>
      <c r="B186" s="25"/>
      <c r="C186" s="25"/>
      <c r="D186" s="25"/>
      <c r="E186" s="25"/>
      <c r="F186" s="25"/>
    </row>
    <row r="187" spans="1:6" x14ac:dyDescent="0.25">
      <c r="A187" s="25"/>
      <c r="B187" s="25"/>
      <c r="C187" s="25"/>
      <c r="D187" s="25"/>
      <c r="E187" s="25"/>
      <c r="F187" s="25"/>
    </row>
    <row r="188" spans="1:6" x14ac:dyDescent="0.25">
      <c r="A188" s="25"/>
      <c r="B188" s="25"/>
      <c r="C188" s="25"/>
      <c r="D188" s="25"/>
      <c r="E188" s="25"/>
      <c r="F188" s="25"/>
    </row>
    <row r="189" spans="1:6" x14ac:dyDescent="0.25">
      <c r="A189" s="25"/>
      <c r="B189" s="25"/>
      <c r="C189" s="25"/>
      <c r="D189" s="25"/>
      <c r="E189" s="25"/>
      <c r="F189" s="25"/>
    </row>
    <row r="190" spans="1:6" x14ac:dyDescent="0.25">
      <c r="A190" s="25"/>
      <c r="B190" s="25"/>
      <c r="C190" s="25"/>
      <c r="D190" s="25"/>
      <c r="E190" s="25"/>
      <c r="F190" s="25"/>
    </row>
    <row r="191" spans="1:6" x14ac:dyDescent="0.25">
      <c r="A191" s="25"/>
      <c r="B191" s="25"/>
      <c r="C191" s="25"/>
      <c r="D191" s="25"/>
      <c r="E191" s="25"/>
      <c r="F191" s="25"/>
    </row>
    <row r="192" spans="1:6" x14ac:dyDescent="0.25">
      <c r="A192" s="25"/>
      <c r="B192" s="25"/>
      <c r="C192" s="25"/>
      <c r="D192" s="25"/>
      <c r="E192" s="25"/>
      <c r="F192" s="25"/>
    </row>
    <row r="193" spans="1:6" x14ac:dyDescent="0.25">
      <c r="A193" s="25"/>
      <c r="B193" s="25"/>
      <c r="C193" s="25"/>
      <c r="D193" s="25"/>
      <c r="E193" s="25"/>
      <c r="F193" s="25"/>
    </row>
    <row r="194" spans="1:6" x14ac:dyDescent="0.25">
      <c r="A194" s="25"/>
      <c r="B194" s="25"/>
      <c r="C194" s="25"/>
      <c r="D194" s="25"/>
      <c r="E194" s="25"/>
      <c r="F194" s="25"/>
    </row>
    <row r="195" spans="1:6" x14ac:dyDescent="0.25">
      <c r="A195" s="25"/>
      <c r="B195" s="25"/>
      <c r="C195" s="25"/>
      <c r="D195" s="25"/>
      <c r="E195" s="25"/>
      <c r="F195" s="25"/>
    </row>
    <row r="196" spans="1:6" x14ac:dyDescent="0.25">
      <c r="A196" s="25"/>
      <c r="B196" s="25"/>
      <c r="C196" s="25"/>
      <c r="D196" s="25"/>
      <c r="E196" s="25"/>
      <c r="F196" s="25"/>
    </row>
    <row r="197" spans="1:6" x14ac:dyDescent="0.25">
      <c r="A197" s="25"/>
      <c r="B197" s="25"/>
      <c r="C197" s="25"/>
      <c r="D197" s="25"/>
      <c r="E197" s="25"/>
      <c r="F197" s="25"/>
    </row>
    <row r="198" spans="1:6" x14ac:dyDescent="0.25">
      <c r="A198" s="25"/>
      <c r="B198" s="25"/>
      <c r="C198" s="25"/>
      <c r="D198" s="25"/>
      <c r="E198" s="25"/>
      <c r="F198" s="25"/>
    </row>
    <row r="199" spans="1:6" x14ac:dyDescent="0.25">
      <c r="A199" s="25"/>
      <c r="B199" s="25"/>
      <c r="C199" s="25"/>
      <c r="D199" s="25"/>
      <c r="E199" s="25"/>
      <c r="F199" s="25"/>
    </row>
    <row r="200" spans="1:6" x14ac:dyDescent="0.25">
      <c r="A200" s="25"/>
      <c r="B200" s="25"/>
      <c r="C200" s="25"/>
      <c r="D200" s="25"/>
      <c r="E200" s="25"/>
      <c r="F200" s="25"/>
    </row>
  </sheetData>
  <dataValidations count="8">
    <dataValidation operator="greaterThan" allowBlank="1" showInputMessage="1" showErrorMessage="1" sqref="C201:C1048576" xr:uid="{5BCCE960-18E6-4C83-BB26-0A13093ED7FD}"/>
    <dataValidation type="whole" operator="greaterThan" allowBlank="1" showInputMessage="1" showErrorMessage="1" errorTitle="Data Type Error" error="The PDRI Portion should be in Integer or Float not String" sqref="F201:F1048576" xr:uid="{8722536D-716B-4E96-A826-80CF0CD4DCA4}">
      <formula1>0</formula1>
    </dataValidation>
    <dataValidation type="whole" operator="greaterThan" allowBlank="1" showInputMessage="1" showErrorMessage="1" errorTitle="Data Type Error" error="The PPN portion should be in Integer or Float not String" sqref="D201:E1048576" xr:uid="{B35242D3-F07B-4E84-A5F0-760276B36CF5}">
      <formula1>0</formula1>
    </dataValidation>
    <dataValidation type="whole" allowBlank="1" showInputMessage="1" showErrorMessage="1" errorTitle="Data Type Error" error="The Year should be in Integer not String" sqref="A2:A1048576" xr:uid="{F295CFAE-C6C8-48D3-AA85-E3795EE31C06}">
      <formula1>0</formula1>
      <formula2>9999</formula2>
    </dataValidation>
    <dataValidation type="list" allowBlank="1" showInputMessage="1" showErrorMessage="1" sqref="B2:B1048576" xr:uid="{75902F9C-3017-4780-9C4D-245C4165608E}">
      <formula1>"Oil,Gas"</formula1>
    </dataValidation>
    <dataValidation type="decimal" operator="greaterThanOrEqual" allowBlank="1" showInputMessage="1" showErrorMessage="1" errorTitle="Data Type" error="Should be more than or equal to 0" sqref="C2:C200" xr:uid="{02BECE29-BFFC-4415-8B68-A0B32DD70F1C}">
      <formula1>0</formula1>
    </dataValidation>
    <dataValidation type="decimal" allowBlank="1" showInputMessage="1" showErrorMessage="1" errorTitle="Data Type Error" error="Should be between 0 and 1" sqref="D2:E200" xr:uid="{90696346-FFF0-4E48-8F77-F90728843BFD}">
      <formula1>0</formula1>
      <formula2>1</formula2>
    </dataValidation>
    <dataValidation operator="greaterThan" allowBlank="1" showInputMessage="1" showErrorMessage="1" errorTitle="Data Type Error" error="The PDRI Portion should be in Integer or Float not String" sqref="F2:F200" xr:uid="{4695060E-0407-432B-9423-3590BA516A94}"/>
  </dataValidations>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22178F-6D0F-4611-97F2-36CC981F3275}">
  <sheetPr codeName="Sheet34">
    <tabColor rgb="FFA3B8BA"/>
  </sheetPr>
  <dimension ref="A1:C50"/>
  <sheetViews>
    <sheetView workbookViewId="0">
      <selection activeCell="A2" sqref="A2:C14"/>
    </sheetView>
  </sheetViews>
  <sheetFormatPr defaultColWidth="0" defaultRowHeight="15" zeroHeight="1" x14ac:dyDescent="0.25"/>
  <cols>
    <col min="1" max="1" width="8.85546875" customWidth="1"/>
    <col min="2" max="2" width="18" bestFit="1" customWidth="1"/>
    <col min="3" max="3" width="20.28515625" customWidth="1"/>
    <col min="4" max="16384" width="8.85546875" hidden="1"/>
  </cols>
  <sheetData>
    <row r="1" spans="1:3" x14ac:dyDescent="0.25">
      <c r="A1" s="11" t="s">
        <v>0</v>
      </c>
      <c r="B1" s="11" t="s">
        <v>16</v>
      </c>
      <c r="C1" s="11" t="s">
        <v>14</v>
      </c>
    </row>
    <row r="2" spans="1:3" x14ac:dyDescent="0.25">
      <c r="A2" s="25">
        <v>2023</v>
      </c>
      <c r="B2" s="25">
        <v>100</v>
      </c>
      <c r="C2" s="25">
        <v>100</v>
      </c>
    </row>
    <row r="3" spans="1:3" x14ac:dyDescent="0.25">
      <c r="A3" s="25">
        <v>2024</v>
      </c>
      <c r="B3" s="25">
        <v>100</v>
      </c>
      <c r="C3" s="25">
        <v>100</v>
      </c>
    </row>
    <row r="4" spans="1:3" x14ac:dyDescent="0.25">
      <c r="A4" s="25">
        <v>2025</v>
      </c>
      <c r="B4" s="25">
        <v>100</v>
      </c>
      <c r="C4" s="25">
        <v>100</v>
      </c>
    </row>
    <row r="5" spans="1:3" x14ac:dyDescent="0.25">
      <c r="A5" s="25">
        <v>2026</v>
      </c>
      <c r="B5" s="25">
        <v>100</v>
      </c>
      <c r="C5" s="25">
        <v>100</v>
      </c>
    </row>
    <row r="6" spans="1:3" x14ac:dyDescent="0.25">
      <c r="A6" s="25">
        <v>2027</v>
      </c>
      <c r="B6" s="25">
        <v>100</v>
      </c>
      <c r="C6" s="25">
        <v>100</v>
      </c>
    </row>
    <row r="7" spans="1:3" x14ac:dyDescent="0.25">
      <c r="A7" s="25">
        <v>2028</v>
      </c>
      <c r="B7" s="25">
        <v>100</v>
      </c>
      <c r="C7" s="25">
        <v>100</v>
      </c>
    </row>
    <row r="8" spans="1:3" x14ac:dyDescent="0.25">
      <c r="A8" s="25">
        <v>2029</v>
      </c>
      <c r="B8" s="25">
        <v>100</v>
      </c>
      <c r="C8" s="25">
        <v>100</v>
      </c>
    </row>
    <row r="9" spans="1:3" x14ac:dyDescent="0.25">
      <c r="A9" s="25">
        <v>2030</v>
      </c>
      <c r="B9" s="25">
        <v>100</v>
      </c>
      <c r="C9" s="25">
        <v>100</v>
      </c>
    </row>
    <row r="10" spans="1:3" x14ac:dyDescent="0.25">
      <c r="A10" s="25">
        <v>2031</v>
      </c>
      <c r="B10" s="25">
        <v>12.5</v>
      </c>
      <c r="C10" s="25">
        <v>12.5</v>
      </c>
    </row>
    <row r="11" spans="1:3" x14ac:dyDescent="0.25">
      <c r="A11" s="25">
        <v>2032</v>
      </c>
      <c r="B11" s="25">
        <v>12.5</v>
      </c>
      <c r="C11" s="25">
        <v>12.5</v>
      </c>
    </row>
    <row r="12" spans="1:3" x14ac:dyDescent="0.25">
      <c r="A12" s="25">
        <v>2033</v>
      </c>
      <c r="B12" s="25">
        <v>12.5</v>
      </c>
      <c r="C12" s="25">
        <v>12.5</v>
      </c>
    </row>
    <row r="13" spans="1:3" x14ac:dyDescent="0.25">
      <c r="A13" s="25">
        <v>2034</v>
      </c>
      <c r="B13" s="25">
        <v>12.5</v>
      </c>
      <c r="C13" s="25">
        <v>12.5</v>
      </c>
    </row>
    <row r="14" spans="1:3" x14ac:dyDescent="0.25">
      <c r="A14" s="25">
        <v>2035</v>
      </c>
      <c r="B14" s="25">
        <v>12.5</v>
      </c>
      <c r="C14" s="25">
        <v>12.5</v>
      </c>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type="decimal" operator="greaterThanOrEqual" allowBlank="1" showInputMessage="1" showErrorMessage="1" errorTitle="Data Type Error" error="Should be greater than or equal to 0" sqref="B2:C50" xr:uid="{299CC82D-7C3B-42C8-B675-361065E0CE6F}">
      <formula1>0</formula1>
    </dataValidation>
    <dataValidation type="decimal" operator="greaterThan" allowBlank="1" showInputMessage="1" showErrorMessage="1" errorTitle="Data Type Error" error="Should be Number not Text" sqref="B51:C1048576" xr:uid="{C12FA6F9-DD72-42F9-A4FD-5363BD362756}">
      <formula1>0</formula1>
    </dataValidation>
    <dataValidation type="whole" operator="greaterThan" allowBlank="1" showInputMessage="1" showErrorMessage="1" errorTitle="Data Type Error" error="Should be Number not Text" sqref="A2:A1048576" xr:uid="{A12B35AF-3814-42B0-B15A-D23AF4C25E20}">
      <formula1>0</formula1>
    </dataValidation>
    <dataValidation operator="greaterThan" allowBlank="1" showInputMessage="1" showErrorMessage="1" errorTitle="Data Type Error" error="Should be Number not Text." sqref="D1:XFD1" xr:uid="{98D18614-ABD2-4B5D-BC39-20C6E2EA8FC9}"/>
  </dataValidations>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EF3290-6EC9-4D99-851C-A680A1CE4A32}">
  <sheetPr codeName="Sheet10">
    <tabColor rgb="FFA3B8BA"/>
  </sheetPr>
  <dimension ref="A1:C50"/>
  <sheetViews>
    <sheetView workbookViewId="0">
      <selection activeCell="A2" sqref="A2:C14"/>
    </sheetView>
  </sheetViews>
  <sheetFormatPr defaultColWidth="0" defaultRowHeight="15" zeroHeight="1" x14ac:dyDescent="0.25"/>
  <cols>
    <col min="1" max="1" width="8.85546875" customWidth="1"/>
    <col min="2" max="2" width="16.42578125" bestFit="1" customWidth="1"/>
    <col min="3" max="3" width="20.85546875" bestFit="1" customWidth="1"/>
    <col min="4" max="16384" width="8.85546875" hidden="1"/>
  </cols>
  <sheetData>
    <row r="1" spans="1:3" x14ac:dyDescent="0.25">
      <c r="A1" s="12" t="s">
        <v>0</v>
      </c>
      <c r="B1" s="13" t="s">
        <v>15</v>
      </c>
      <c r="C1" s="14" t="s">
        <v>14</v>
      </c>
    </row>
    <row r="2" spans="1:3" x14ac:dyDescent="0.25">
      <c r="A2" s="25">
        <v>2023</v>
      </c>
      <c r="B2" s="25">
        <v>100</v>
      </c>
      <c r="C2" s="25">
        <v>100</v>
      </c>
    </row>
    <row r="3" spans="1:3" x14ac:dyDescent="0.25">
      <c r="A3" s="25">
        <v>2024</v>
      </c>
      <c r="B3" s="25">
        <v>100</v>
      </c>
      <c r="C3" s="25">
        <v>100</v>
      </c>
    </row>
    <row r="4" spans="1:3" x14ac:dyDescent="0.25">
      <c r="A4" s="25">
        <v>2025</v>
      </c>
      <c r="B4" s="25">
        <v>100</v>
      </c>
      <c r="C4" s="25">
        <v>100</v>
      </c>
    </row>
    <row r="5" spans="1:3" x14ac:dyDescent="0.25">
      <c r="A5" s="25">
        <v>2026</v>
      </c>
      <c r="B5" s="25">
        <v>100</v>
      </c>
      <c r="C5" s="25">
        <v>100</v>
      </c>
    </row>
    <row r="6" spans="1:3" x14ac:dyDescent="0.25">
      <c r="A6" s="25">
        <v>2027</v>
      </c>
      <c r="B6" s="25">
        <v>100</v>
      </c>
      <c r="C6" s="25">
        <v>100</v>
      </c>
    </row>
    <row r="7" spans="1:3" x14ac:dyDescent="0.25">
      <c r="A7" s="25">
        <v>2028</v>
      </c>
      <c r="B7" s="25">
        <v>100</v>
      </c>
      <c r="C7" s="25">
        <v>100</v>
      </c>
    </row>
    <row r="8" spans="1:3" x14ac:dyDescent="0.25">
      <c r="A8" s="25">
        <v>2029</v>
      </c>
      <c r="B8" s="25">
        <v>100</v>
      </c>
      <c r="C8" s="25">
        <v>100</v>
      </c>
    </row>
    <row r="9" spans="1:3" x14ac:dyDescent="0.25">
      <c r="A9" s="25">
        <v>2030</v>
      </c>
      <c r="B9" s="25">
        <v>100</v>
      </c>
      <c r="C9" s="25">
        <v>100</v>
      </c>
    </row>
    <row r="10" spans="1:3" x14ac:dyDescent="0.25">
      <c r="A10" s="25">
        <v>2031</v>
      </c>
      <c r="B10" s="25">
        <v>12.5</v>
      </c>
      <c r="C10" s="25">
        <v>12.5</v>
      </c>
    </row>
    <row r="11" spans="1:3" x14ac:dyDescent="0.25">
      <c r="A11" s="25">
        <v>2032</v>
      </c>
      <c r="B11" s="25">
        <v>12.5</v>
      </c>
      <c r="C11" s="25">
        <v>12.5</v>
      </c>
    </row>
    <row r="12" spans="1:3" x14ac:dyDescent="0.25">
      <c r="A12" s="25">
        <v>2033</v>
      </c>
      <c r="B12" s="25">
        <v>12.5</v>
      </c>
      <c r="C12" s="25">
        <v>12.5</v>
      </c>
    </row>
    <row r="13" spans="1:3" x14ac:dyDescent="0.25">
      <c r="A13" s="25">
        <v>2034</v>
      </c>
      <c r="B13" s="25">
        <v>12.5</v>
      </c>
      <c r="C13" s="25">
        <v>12.5</v>
      </c>
    </row>
    <row r="14" spans="1:3" x14ac:dyDescent="0.25">
      <c r="A14" s="25">
        <v>2035</v>
      </c>
      <c r="B14" s="25">
        <v>12.5</v>
      </c>
      <c r="C14" s="25">
        <v>12.5</v>
      </c>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operator="greaterThan" allowBlank="1" showInputMessage="1" showErrorMessage="1" errorTitle="Data Type Error" error="Should be Number not Text." sqref="D1:XFD1" xr:uid="{BBEF799B-07FF-4562-AC92-2D09A2A72B9F}"/>
    <dataValidation type="whole" operator="greaterThan" allowBlank="1" showInputMessage="1" showErrorMessage="1" errorTitle="Data Type Error" error="Should be Number not Text" sqref="A2:A1048576" xr:uid="{9AFF3502-45DD-4F3C-BCA4-084E5CEDD7EF}">
      <formula1>0</formula1>
    </dataValidation>
    <dataValidation type="decimal" operator="greaterThan" allowBlank="1" showInputMessage="1" showErrorMessage="1" errorTitle="Data Type Error" error="Should be Number not Text" sqref="B51:C1048576" xr:uid="{961AB627-15E6-4DCD-9752-42AD98E37A19}">
      <formula1>0</formula1>
    </dataValidation>
    <dataValidation type="decimal" operator="greaterThanOrEqual" allowBlank="1" showInputMessage="1" showErrorMessage="1" errorTitle="Data Type Error" error="Should be greater than or equal to 0" sqref="B2:C50" xr:uid="{183C1CFC-E773-4DF0-ABD5-7D128E2465A4}">
      <formula1>0</formula1>
    </dataValidation>
  </dataValidations>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9BA898-4E38-484D-A98D-D30CD20AF89E}">
  <sheetPr codeName="Sheet24">
    <tabColor rgb="FF435259"/>
  </sheetPr>
  <dimension ref="A1:O71"/>
  <sheetViews>
    <sheetView showGridLines="0" showRowColHeaders="0" zoomScaleNormal="100" workbookViewId="0">
      <selection activeCell="C8" sqref="C8"/>
    </sheetView>
  </sheetViews>
  <sheetFormatPr defaultColWidth="0" defaultRowHeight="15" zeroHeight="1" x14ac:dyDescent="0.25"/>
  <cols>
    <col min="1" max="1" width="6.28515625" customWidth="1"/>
    <col min="2" max="2" width="16.7109375" customWidth="1"/>
    <col min="3" max="5" width="8.85546875" customWidth="1"/>
    <col min="6" max="6" width="6.5703125" customWidth="1"/>
    <col min="7" max="14" width="8.85546875" customWidth="1"/>
    <col min="15" max="15" width="9" customWidth="1"/>
    <col min="16" max="16384" width="8.85546875" hidden="1"/>
  </cols>
  <sheetData>
    <row r="1" spans="1:14" x14ac:dyDescent="0.25">
      <c r="A1" s="9" t="s">
        <v>343</v>
      </c>
      <c r="F1" s="9" t="s">
        <v>347</v>
      </c>
    </row>
    <row r="2" spans="1:14" x14ac:dyDescent="0.25">
      <c r="B2" t="s">
        <v>344</v>
      </c>
      <c r="C2" s="29">
        <v>0.2</v>
      </c>
      <c r="G2" s="9" t="s">
        <v>348</v>
      </c>
    </row>
    <row r="3" spans="1:14" x14ac:dyDescent="0.25">
      <c r="B3" t="s">
        <v>345</v>
      </c>
      <c r="C3" s="29">
        <v>0.2</v>
      </c>
      <c r="G3" s="78"/>
      <c r="H3" s="78"/>
      <c r="I3" s="78"/>
      <c r="J3" s="78"/>
      <c r="K3" s="78"/>
      <c r="L3" s="78"/>
      <c r="M3" s="78"/>
      <c r="N3" s="78"/>
    </row>
    <row r="4" spans="1:14" x14ac:dyDescent="0.25">
      <c r="B4" t="s">
        <v>346</v>
      </c>
      <c r="C4" s="77">
        <v>5</v>
      </c>
      <c r="G4" s="78"/>
      <c r="H4" s="78"/>
      <c r="I4" s="78"/>
      <c r="J4" s="78"/>
      <c r="K4" s="78"/>
      <c r="L4" s="78"/>
      <c r="M4" s="78"/>
      <c r="N4" s="78"/>
    </row>
    <row r="5" spans="1:14" x14ac:dyDescent="0.25">
      <c r="G5" s="78"/>
      <c r="H5" s="78"/>
      <c r="I5" s="78"/>
      <c r="J5" s="78"/>
      <c r="K5" s="78"/>
      <c r="L5" s="78"/>
      <c r="M5" s="78"/>
      <c r="N5" s="78"/>
    </row>
    <row r="6" spans="1:14" x14ac:dyDescent="0.25">
      <c r="B6" s="81" t="s">
        <v>49</v>
      </c>
      <c r="C6" s="81" t="s">
        <v>333</v>
      </c>
      <c r="D6" s="81" t="s">
        <v>334</v>
      </c>
      <c r="E6" s="81" t="s">
        <v>335</v>
      </c>
      <c r="G6" s="78"/>
      <c r="H6" s="78"/>
      <c r="I6" s="78"/>
      <c r="J6" s="78"/>
      <c r="K6" s="78"/>
      <c r="L6" s="78"/>
      <c r="M6" s="78"/>
      <c r="N6" s="78"/>
    </row>
    <row r="7" spans="1:14" x14ac:dyDescent="0.25">
      <c r="B7" t="s">
        <v>358</v>
      </c>
      <c r="C7" s="25">
        <f>D7-$C$2*D7</f>
        <v>53.076923076923073</v>
      </c>
      <c r="D7" s="25">
        <f>IFERROR(AVERAGE(tbl_prod_oil[Oil Price (USD/BBL)]),0)</f>
        <v>66.34615384615384</v>
      </c>
      <c r="E7" s="25">
        <f>D7+$C$3*D7</f>
        <v>79.615384615384613</v>
      </c>
      <c r="G7" s="78"/>
      <c r="H7" s="78"/>
      <c r="I7" s="78"/>
      <c r="J7" s="78"/>
      <c r="K7" s="78"/>
      <c r="L7" s="78"/>
      <c r="M7" s="78"/>
      <c r="N7" s="78"/>
    </row>
    <row r="8" spans="1:14" x14ac:dyDescent="0.25">
      <c r="B8" t="s">
        <v>359</v>
      </c>
      <c r="C8" s="25">
        <f>D8-$C$2*D8</f>
        <v>56.923076923076927</v>
      </c>
      <c r="D8" s="25">
        <f>IFERROR(AVERAGE(tbl_prod_gas[GSA 1 Price (USD/MMBTU)]),0)</f>
        <v>71.15384615384616</v>
      </c>
      <c r="E8" s="25">
        <f>D8+$C$3*D8</f>
        <v>85.384615384615387</v>
      </c>
      <c r="G8" s="78"/>
      <c r="H8" s="78"/>
      <c r="I8" s="78"/>
      <c r="J8" s="78"/>
      <c r="K8" s="78"/>
      <c r="L8" s="78"/>
      <c r="M8" s="78"/>
      <c r="N8" s="78"/>
    </row>
    <row r="9" spans="1:14" x14ac:dyDescent="0.25">
      <c r="B9" t="s">
        <v>228</v>
      </c>
      <c r="C9" s="25">
        <f>D9-$C$2*D9</f>
        <v>580.79999999999995</v>
      </c>
      <c r="D9" s="25">
        <f>SUM(tbl_cost_opex[Fixed Cost (MUSD)])</f>
        <v>726</v>
      </c>
      <c r="E9" s="25">
        <f>D9+$C$3*D9</f>
        <v>871.2</v>
      </c>
      <c r="G9" s="78"/>
      <c r="H9" s="78"/>
      <c r="I9" s="78"/>
      <c r="J9" s="78"/>
      <c r="K9" s="78"/>
      <c r="L9" s="78"/>
      <c r="M9" s="78"/>
      <c r="N9" s="78"/>
    </row>
    <row r="10" spans="1:14" x14ac:dyDescent="0.25">
      <c r="B10" t="s">
        <v>254</v>
      </c>
      <c r="C10" s="25">
        <f>D10-$C$2*D10</f>
        <v>680.8</v>
      </c>
      <c r="D10" s="25">
        <f>SUM(tbl_cost_tangible[Cost (MUSD)])</f>
        <v>851</v>
      </c>
      <c r="E10" s="25">
        <f>D10+$C$3*D10</f>
        <v>1021.2</v>
      </c>
      <c r="G10" s="78"/>
      <c r="H10" s="78"/>
      <c r="I10" s="78"/>
      <c r="J10" s="78"/>
      <c r="K10" s="78"/>
      <c r="L10" s="78"/>
      <c r="M10" s="78"/>
      <c r="N10" s="78"/>
    </row>
    <row r="11" spans="1:14" x14ac:dyDescent="0.25">
      <c r="B11" t="s">
        <v>360</v>
      </c>
      <c r="C11" s="25">
        <f>D11-$C$2*D11</f>
        <v>1430</v>
      </c>
      <c r="D11" s="25">
        <f>SUM(tbl_prod_oil[Oil Sales (MMBOPY)]) + SUM(tbl_prod_gas[Gas Production (BSCF)])</f>
        <v>1787.5</v>
      </c>
      <c r="E11" s="25">
        <f>D11+$C$3*D11</f>
        <v>2145</v>
      </c>
      <c r="G11" s="78"/>
      <c r="H11" s="78"/>
      <c r="I11" s="78"/>
      <c r="J11" s="78"/>
      <c r="K11" s="78"/>
      <c r="L11" s="78"/>
      <c r="M11" s="78"/>
      <c r="N11" s="78"/>
    </row>
    <row r="12" spans="1:14" x14ac:dyDescent="0.25">
      <c r="G12" s="78"/>
      <c r="H12" s="78"/>
      <c r="I12" s="78"/>
      <c r="J12" s="78"/>
      <c r="K12" s="78"/>
      <c r="L12" s="78"/>
      <c r="M12" s="78"/>
      <c r="N12" s="78"/>
    </row>
    <row r="13" spans="1:14" x14ac:dyDescent="0.25">
      <c r="G13" s="78"/>
      <c r="H13" s="78"/>
      <c r="I13" s="78"/>
      <c r="J13" s="78"/>
      <c r="K13" s="78"/>
      <c r="L13" s="78"/>
      <c r="M13" s="78"/>
      <c r="N13" s="78"/>
    </row>
    <row r="14" spans="1:14" x14ac:dyDescent="0.25">
      <c r="G14" s="78"/>
      <c r="H14" s="78"/>
      <c r="I14" s="78"/>
      <c r="J14" s="78"/>
      <c r="K14" s="78"/>
      <c r="L14" s="78"/>
      <c r="M14" s="78"/>
      <c r="N14" s="78"/>
    </row>
    <row r="15" spans="1:14" x14ac:dyDescent="0.25"/>
    <row r="16" spans="1:14" x14ac:dyDescent="0.25">
      <c r="G16" s="9" t="s">
        <v>338</v>
      </c>
    </row>
    <row r="17" spans="7:14" x14ac:dyDescent="0.25">
      <c r="G17" s="78"/>
      <c r="H17" s="78"/>
      <c r="I17" s="78"/>
      <c r="J17" s="78"/>
      <c r="K17" s="78"/>
      <c r="L17" s="78"/>
      <c r="M17" s="78"/>
      <c r="N17" s="78"/>
    </row>
    <row r="18" spans="7:14" x14ac:dyDescent="0.25">
      <c r="G18" s="78"/>
      <c r="H18" s="78"/>
      <c r="I18" s="78"/>
      <c r="J18" s="78"/>
      <c r="K18" s="78"/>
      <c r="L18" s="78"/>
      <c r="M18" s="78"/>
      <c r="N18" s="78"/>
    </row>
    <row r="19" spans="7:14" x14ac:dyDescent="0.25">
      <c r="G19" s="78"/>
      <c r="H19" s="78"/>
      <c r="I19" s="78"/>
      <c r="J19" s="78"/>
      <c r="K19" s="78"/>
      <c r="L19" s="78"/>
      <c r="M19" s="78"/>
      <c r="N19" s="78"/>
    </row>
    <row r="20" spans="7:14" x14ac:dyDescent="0.25">
      <c r="G20" s="78"/>
      <c r="H20" s="78"/>
      <c r="I20" s="78"/>
      <c r="J20" s="78"/>
      <c r="K20" s="78"/>
      <c r="L20" s="78"/>
      <c r="M20" s="78"/>
      <c r="N20" s="78"/>
    </row>
    <row r="21" spans="7:14" x14ac:dyDescent="0.25">
      <c r="G21" s="78"/>
      <c r="H21" s="78"/>
      <c r="I21" s="78"/>
      <c r="J21" s="78"/>
      <c r="K21" s="78"/>
      <c r="L21" s="78"/>
      <c r="M21" s="78"/>
      <c r="N21" s="78"/>
    </row>
    <row r="22" spans="7:14" x14ac:dyDescent="0.25">
      <c r="G22" s="78"/>
      <c r="H22" s="78"/>
      <c r="I22" s="78"/>
      <c r="J22" s="78"/>
      <c r="K22" s="78"/>
      <c r="L22" s="78"/>
      <c r="M22" s="78"/>
      <c r="N22" s="78"/>
    </row>
    <row r="23" spans="7:14" x14ac:dyDescent="0.25">
      <c r="G23" s="78"/>
      <c r="H23" s="78"/>
      <c r="I23" s="78"/>
      <c r="J23" s="78"/>
      <c r="K23" s="78"/>
      <c r="L23" s="78"/>
      <c r="M23" s="78"/>
      <c r="N23" s="78"/>
    </row>
    <row r="24" spans="7:14" x14ac:dyDescent="0.25">
      <c r="G24" s="78"/>
      <c r="H24" s="78"/>
      <c r="I24" s="78"/>
      <c r="J24" s="78"/>
      <c r="K24" s="78"/>
      <c r="L24" s="78"/>
      <c r="M24" s="78"/>
      <c r="N24" s="78"/>
    </row>
    <row r="25" spans="7:14" x14ac:dyDescent="0.25">
      <c r="G25" s="78"/>
      <c r="H25" s="78"/>
      <c r="I25" s="78"/>
      <c r="J25" s="78"/>
      <c r="K25" s="78"/>
      <c r="L25" s="78"/>
      <c r="M25" s="78"/>
      <c r="N25" s="78"/>
    </row>
    <row r="26" spans="7:14" x14ac:dyDescent="0.25">
      <c r="G26" s="78"/>
      <c r="H26" s="78"/>
      <c r="I26" s="78"/>
      <c r="J26" s="78"/>
      <c r="K26" s="78"/>
      <c r="L26" s="78"/>
      <c r="M26" s="78"/>
      <c r="N26" s="78"/>
    </row>
    <row r="27" spans="7:14" x14ac:dyDescent="0.25">
      <c r="G27" s="78"/>
      <c r="H27" s="78"/>
      <c r="I27" s="78"/>
      <c r="J27" s="78"/>
      <c r="K27" s="78"/>
      <c r="L27" s="78"/>
      <c r="M27" s="78"/>
      <c r="N27" s="78"/>
    </row>
    <row r="28" spans="7:14" x14ac:dyDescent="0.25">
      <c r="G28" s="78"/>
      <c r="H28" s="78"/>
      <c r="I28" s="78"/>
      <c r="J28" s="78"/>
      <c r="K28" s="78"/>
      <c r="L28" s="78"/>
      <c r="M28" s="78"/>
      <c r="N28" s="78"/>
    </row>
    <row r="29" spans="7:14" x14ac:dyDescent="0.25"/>
    <row r="30" spans="7:14" x14ac:dyDescent="0.25">
      <c r="G30" s="9" t="s">
        <v>349</v>
      </c>
    </row>
    <row r="31" spans="7:14" x14ac:dyDescent="0.25">
      <c r="G31" s="78"/>
      <c r="H31" s="78"/>
      <c r="I31" s="78"/>
      <c r="J31" s="78"/>
      <c r="K31" s="78"/>
      <c r="L31" s="78"/>
      <c r="M31" s="78"/>
      <c r="N31" s="78"/>
    </row>
    <row r="32" spans="7:14" x14ac:dyDescent="0.25">
      <c r="G32" s="78"/>
      <c r="H32" s="78"/>
      <c r="I32" s="78"/>
      <c r="J32" s="78"/>
      <c r="K32" s="78"/>
      <c r="L32" s="78"/>
      <c r="M32" s="78"/>
      <c r="N32" s="78"/>
    </row>
    <row r="33" spans="7:14" x14ac:dyDescent="0.25">
      <c r="G33" s="78"/>
      <c r="H33" s="78"/>
      <c r="I33" s="78"/>
      <c r="J33" s="78"/>
      <c r="K33" s="78"/>
      <c r="L33" s="78"/>
      <c r="M33" s="78"/>
      <c r="N33" s="78"/>
    </row>
    <row r="34" spans="7:14" x14ac:dyDescent="0.25">
      <c r="G34" s="78"/>
      <c r="H34" s="78"/>
      <c r="I34" s="78"/>
      <c r="J34" s="78"/>
      <c r="K34" s="78"/>
      <c r="L34" s="78"/>
      <c r="M34" s="78"/>
      <c r="N34" s="78"/>
    </row>
    <row r="35" spans="7:14" x14ac:dyDescent="0.25">
      <c r="G35" s="78"/>
      <c r="H35" s="78"/>
      <c r="I35" s="78"/>
      <c r="J35" s="78"/>
      <c r="K35" s="78"/>
      <c r="L35" s="78"/>
      <c r="M35" s="78"/>
      <c r="N35" s="78"/>
    </row>
    <row r="36" spans="7:14" x14ac:dyDescent="0.25">
      <c r="G36" s="78"/>
      <c r="H36" s="78"/>
      <c r="I36" s="78"/>
      <c r="J36" s="78"/>
      <c r="K36" s="78"/>
      <c r="L36" s="78"/>
      <c r="M36" s="78"/>
      <c r="N36" s="78"/>
    </row>
    <row r="37" spans="7:14" x14ac:dyDescent="0.25">
      <c r="G37" s="78"/>
      <c r="H37" s="78"/>
      <c r="I37" s="78"/>
      <c r="J37" s="78"/>
      <c r="K37" s="78"/>
      <c r="L37" s="78"/>
      <c r="M37" s="78"/>
      <c r="N37" s="78"/>
    </row>
    <row r="38" spans="7:14" x14ac:dyDescent="0.25">
      <c r="G38" s="78"/>
      <c r="H38" s="78"/>
      <c r="I38" s="78"/>
      <c r="J38" s="78"/>
      <c r="K38" s="78"/>
      <c r="L38" s="78"/>
      <c r="M38" s="78"/>
      <c r="N38" s="78"/>
    </row>
    <row r="39" spans="7:14" x14ac:dyDescent="0.25">
      <c r="G39" s="78"/>
      <c r="H39" s="78"/>
      <c r="I39" s="78"/>
      <c r="J39" s="78"/>
      <c r="K39" s="78"/>
      <c r="L39" s="78"/>
      <c r="M39" s="78"/>
      <c r="N39" s="78"/>
    </row>
    <row r="40" spans="7:14" x14ac:dyDescent="0.25">
      <c r="G40" s="78"/>
      <c r="H40" s="78"/>
      <c r="I40" s="78"/>
      <c r="J40" s="78"/>
      <c r="K40" s="78"/>
      <c r="L40" s="78"/>
      <c r="M40" s="78"/>
      <c r="N40" s="78"/>
    </row>
    <row r="41" spans="7:14" x14ac:dyDescent="0.25">
      <c r="G41" s="78"/>
      <c r="H41" s="78"/>
      <c r="I41" s="78"/>
      <c r="J41" s="78"/>
      <c r="K41" s="78"/>
      <c r="L41" s="78"/>
      <c r="M41" s="78"/>
      <c r="N41" s="78"/>
    </row>
    <row r="42" spans="7:14" x14ac:dyDescent="0.25">
      <c r="G42" s="78"/>
      <c r="H42" s="78"/>
      <c r="I42" s="78"/>
      <c r="J42" s="78"/>
      <c r="K42" s="78"/>
      <c r="L42" s="78"/>
      <c r="M42" s="78"/>
      <c r="N42" s="78"/>
    </row>
    <row r="43" spans="7:14" x14ac:dyDescent="0.25"/>
    <row r="44" spans="7:14" x14ac:dyDescent="0.25">
      <c r="G44" s="9" t="s">
        <v>323</v>
      </c>
    </row>
    <row r="45" spans="7:14" x14ac:dyDescent="0.25">
      <c r="G45" s="78"/>
      <c r="H45" s="78"/>
      <c r="I45" s="78"/>
      <c r="J45" s="78"/>
      <c r="K45" s="78"/>
      <c r="L45" s="78"/>
      <c r="M45" s="78"/>
      <c r="N45" s="78"/>
    </row>
    <row r="46" spans="7:14" x14ac:dyDescent="0.25">
      <c r="G46" s="78"/>
      <c r="H46" s="78"/>
      <c r="I46" s="78"/>
      <c r="J46" s="78"/>
      <c r="K46" s="78"/>
      <c r="L46" s="78"/>
      <c r="M46" s="78"/>
      <c r="N46" s="78"/>
    </row>
    <row r="47" spans="7:14" x14ac:dyDescent="0.25">
      <c r="G47" s="78"/>
      <c r="H47" s="78"/>
      <c r="I47" s="78"/>
      <c r="J47" s="78"/>
      <c r="K47" s="78"/>
      <c r="L47" s="78"/>
      <c r="M47" s="78"/>
      <c r="N47" s="78"/>
    </row>
    <row r="48" spans="7:14" x14ac:dyDescent="0.25">
      <c r="G48" s="78"/>
      <c r="H48" s="78"/>
      <c r="I48" s="78"/>
      <c r="J48" s="78"/>
      <c r="K48" s="78"/>
      <c r="L48" s="78"/>
      <c r="M48" s="78"/>
      <c r="N48" s="78"/>
    </row>
    <row r="49" spans="7:14" x14ac:dyDescent="0.25">
      <c r="G49" s="78"/>
      <c r="H49" s="78"/>
      <c r="I49" s="78"/>
      <c r="J49" s="78"/>
      <c r="K49" s="78"/>
      <c r="L49" s="78"/>
      <c r="M49" s="78"/>
      <c r="N49" s="78"/>
    </row>
    <row r="50" spans="7:14" x14ac:dyDescent="0.25">
      <c r="G50" s="78"/>
      <c r="H50" s="78"/>
      <c r="I50" s="78"/>
      <c r="J50" s="78"/>
      <c r="K50" s="78"/>
      <c r="L50" s="78"/>
      <c r="M50" s="78"/>
      <c r="N50" s="78"/>
    </row>
    <row r="51" spans="7:14" x14ac:dyDescent="0.25">
      <c r="G51" s="78"/>
      <c r="H51" s="78"/>
      <c r="I51" s="78"/>
      <c r="J51" s="78"/>
      <c r="K51" s="78"/>
      <c r="L51" s="78"/>
      <c r="M51" s="78"/>
      <c r="N51" s="78"/>
    </row>
    <row r="52" spans="7:14" x14ac:dyDescent="0.25">
      <c r="G52" s="78"/>
      <c r="H52" s="78"/>
      <c r="I52" s="78"/>
      <c r="J52" s="78"/>
      <c r="K52" s="78"/>
      <c r="L52" s="78"/>
      <c r="M52" s="78"/>
      <c r="N52" s="78"/>
    </row>
    <row r="53" spans="7:14" x14ac:dyDescent="0.25">
      <c r="G53" s="78"/>
      <c r="H53" s="78"/>
      <c r="I53" s="78"/>
      <c r="J53" s="78"/>
      <c r="K53" s="78"/>
      <c r="L53" s="78"/>
      <c r="M53" s="78"/>
      <c r="N53" s="78"/>
    </row>
    <row r="54" spans="7:14" x14ac:dyDescent="0.25">
      <c r="G54" s="78"/>
      <c r="H54" s="78"/>
      <c r="I54" s="78"/>
      <c r="J54" s="78"/>
      <c r="K54" s="78"/>
      <c r="L54" s="78"/>
      <c r="M54" s="78"/>
      <c r="N54" s="78"/>
    </row>
    <row r="55" spans="7:14" x14ac:dyDescent="0.25">
      <c r="G55" s="78"/>
      <c r="H55" s="78"/>
      <c r="I55" s="78"/>
      <c r="J55" s="78"/>
      <c r="K55" s="78"/>
      <c r="L55" s="78"/>
      <c r="M55" s="78"/>
      <c r="N55" s="78"/>
    </row>
    <row r="56" spans="7:14" x14ac:dyDescent="0.25">
      <c r="G56" s="78"/>
      <c r="H56" s="78"/>
      <c r="I56" s="78"/>
      <c r="J56" s="78"/>
      <c r="K56" s="78"/>
      <c r="L56" s="78"/>
      <c r="M56" s="78"/>
      <c r="N56" s="78"/>
    </row>
    <row r="57" spans="7:14" x14ac:dyDescent="0.25"/>
    <row r="58" spans="7:14" x14ac:dyDescent="0.25">
      <c r="G58" s="9" t="s">
        <v>302</v>
      </c>
    </row>
    <row r="59" spans="7:14" x14ac:dyDescent="0.25">
      <c r="G59" s="78"/>
      <c r="H59" s="78"/>
      <c r="I59" s="78"/>
      <c r="J59" s="78"/>
      <c r="K59" s="78"/>
      <c r="L59" s="78"/>
      <c r="M59" s="78"/>
      <c r="N59" s="78"/>
    </row>
    <row r="60" spans="7:14" x14ac:dyDescent="0.25">
      <c r="G60" s="78"/>
      <c r="H60" s="78"/>
      <c r="I60" s="78"/>
      <c r="J60" s="78"/>
      <c r="K60" s="78"/>
      <c r="L60" s="78"/>
      <c r="M60" s="78"/>
      <c r="N60" s="78"/>
    </row>
    <row r="61" spans="7:14" x14ac:dyDescent="0.25">
      <c r="G61" s="78"/>
      <c r="H61" s="78"/>
      <c r="I61" s="78"/>
      <c r="J61" s="78"/>
      <c r="K61" s="78"/>
      <c r="L61" s="78"/>
      <c r="M61" s="78"/>
      <c r="N61" s="78"/>
    </row>
    <row r="62" spans="7:14" x14ac:dyDescent="0.25">
      <c r="G62" s="78"/>
      <c r="H62" s="78"/>
      <c r="I62" s="78"/>
      <c r="J62" s="78"/>
      <c r="K62" s="78"/>
      <c r="L62" s="78"/>
      <c r="M62" s="78"/>
      <c r="N62" s="78"/>
    </row>
    <row r="63" spans="7:14" x14ac:dyDescent="0.25">
      <c r="G63" s="78"/>
      <c r="H63" s="78"/>
      <c r="I63" s="78"/>
      <c r="J63" s="78"/>
      <c r="K63" s="78"/>
      <c r="L63" s="78"/>
      <c r="M63" s="78"/>
      <c r="N63" s="78"/>
    </row>
    <row r="64" spans="7:14" x14ac:dyDescent="0.25">
      <c r="G64" s="78"/>
      <c r="H64" s="78"/>
      <c r="I64" s="78"/>
      <c r="J64" s="78"/>
      <c r="K64" s="78"/>
      <c r="L64" s="78"/>
      <c r="M64" s="78"/>
      <c r="N64" s="78"/>
    </row>
    <row r="65" spans="7:14" x14ac:dyDescent="0.25">
      <c r="G65" s="78"/>
      <c r="H65" s="78"/>
      <c r="I65" s="78"/>
      <c r="J65" s="78"/>
      <c r="K65" s="78"/>
      <c r="L65" s="78"/>
      <c r="M65" s="78"/>
      <c r="N65" s="78"/>
    </row>
    <row r="66" spans="7:14" x14ac:dyDescent="0.25">
      <c r="G66" s="78"/>
      <c r="H66" s="78"/>
      <c r="I66" s="78"/>
      <c r="J66" s="78"/>
      <c r="K66" s="78"/>
      <c r="L66" s="78"/>
      <c r="M66" s="78"/>
      <c r="N66" s="78"/>
    </row>
    <row r="67" spans="7:14" x14ac:dyDescent="0.25">
      <c r="G67" s="78"/>
      <c r="H67" s="78"/>
      <c r="I67" s="78"/>
      <c r="J67" s="78"/>
      <c r="K67" s="78"/>
      <c r="L67" s="78"/>
      <c r="M67" s="78"/>
      <c r="N67" s="78"/>
    </row>
    <row r="68" spans="7:14" x14ac:dyDescent="0.25">
      <c r="G68" s="78"/>
      <c r="H68" s="78"/>
      <c r="I68" s="78"/>
      <c r="J68" s="78"/>
      <c r="K68" s="78"/>
      <c r="L68" s="78"/>
      <c r="M68" s="78"/>
      <c r="N68" s="78"/>
    </row>
    <row r="69" spans="7:14" x14ac:dyDescent="0.25">
      <c r="G69" s="78"/>
      <c r="H69" s="78"/>
      <c r="I69" s="78"/>
      <c r="J69" s="78"/>
      <c r="K69" s="78"/>
      <c r="L69" s="78"/>
      <c r="M69" s="78"/>
      <c r="N69" s="78"/>
    </row>
    <row r="70" spans="7:14" x14ac:dyDescent="0.25">
      <c r="G70" s="78"/>
      <c r="H70" s="78"/>
      <c r="I70" s="78"/>
      <c r="J70" s="78"/>
      <c r="K70" s="78"/>
      <c r="L70" s="78"/>
      <c r="M70" s="78"/>
      <c r="N70" s="78"/>
    </row>
    <row r="71" spans="7:14" x14ac:dyDescent="0.25"/>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4117D0-4A73-4F34-B452-F681AEED2A7A}">
  <sheetPr codeName="Sheet11">
    <tabColor rgb="FFA3B8BA"/>
  </sheetPr>
  <dimension ref="A1:K200"/>
  <sheetViews>
    <sheetView workbookViewId="0">
      <selection activeCell="B21" sqref="B21"/>
    </sheetView>
  </sheetViews>
  <sheetFormatPr defaultColWidth="0" defaultRowHeight="15" zeroHeight="1" x14ac:dyDescent="0.25"/>
  <cols>
    <col min="1" max="1" width="11.140625" customWidth="1"/>
    <col min="2" max="2" width="16.7109375" bestFit="1" customWidth="1"/>
    <col min="3" max="3" width="14" bestFit="1" customWidth="1"/>
    <col min="4" max="4" width="10" bestFit="1" customWidth="1"/>
    <col min="5" max="5" width="18.28515625" bestFit="1" customWidth="1"/>
    <col min="6" max="6" width="19.7109375" bestFit="1" customWidth="1"/>
    <col min="7" max="7" width="14.85546875" bestFit="1" customWidth="1"/>
    <col min="8" max="8" width="14.28515625" bestFit="1" customWidth="1"/>
    <col min="9" max="9" width="13.42578125" bestFit="1" customWidth="1"/>
    <col min="10" max="10" width="13.42578125" customWidth="1"/>
    <col min="11" max="11" width="18.7109375" bestFit="1" customWidth="1"/>
    <col min="12" max="16384" width="8.85546875" hidden="1"/>
  </cols>
  <sheetData>
    <row r="1" spans="1:11" x14ac:dyDescent="0.25">
      <c r="A1" s="69" t="s">
        <v>0</v>
      </c>
      <c r="B1" s="69" t="s">
        <v>17</v>
      </c>
      <c r="C1" s="69" t="s">
        <v>18</v>
      </c>
      <c r="D1" s="69" t="s">
        <v>22</v>
      </c>
      <c r="E1" s="69" t="s">
        <v>23</v>
      </c>
      <c r="F1" s="69" t="s">
        <v>24</v>
      </c>
      <c r="G1" s="69" t="s">
        <v>264</v>
      </c>
      <c r="H1" s="69" t="s">
        <v>25</v>
      </c>
      <c r="I1" s="69" t="s">
        <v>268</v>
      </c>
      <c r="J1" s="69" t="s">
        <v>265</v>
      </c>
      <c r="K1" s="69" t="s">
        <v>253</v>
      </c>
    </row>
    <row r="2" spans="1:11" x14ac:dyDescent="0.25">
      <c r="A2" s="25">
        <v>2023</v>
      </c>
      <c r="B2" s="25" t="s">
        <v>305</v>
      </c>
      <c r="C2" s="25">
        <v>100</v>
      </c>
      <c r="D2" s="25">
        <v>2023</v>
      </c>
      <c r="E2" s="25">
        <v>5</v>
      </c>
      <c r="F2" s="25">
        <v>0.5</v>
      </c>
      <c r="G2" s="25">
        <v>0</v>
      </c>
      <c r="H2" s="25" t="s">
        <v>120</v>
      </c>
      <c r="I2" s="25">
        <v>1</v>
      </c>
      <c r="J2" s="25">
        <v>1</v>
      </c>
      <c r="K2" s="25"/>
    </row>
    <row r="3" spans="1:11" x14ac:dyDescent="0.25">
      <c r="A3" s="25">
        <v>2023</v>
      </c>
      <c r="B3" s="25" t="s">
        <v>305</v>
      </c>
      <c r="C3" s="25">
        <v>100</v>
      </c>
      <c r="D3" s="25">
        <v>2023</v>
      </c>
      <c r="E3" s="25">
        <v>5</v>
      </c>
      <c r="F3" s="25">
        <v>0.5</v>
      </c>
      <c r="G3" s="25">
        <v>0</v>
      </c>
      <c r="H3" s="25" t="s">
        <v>120</v>
      </c>
      <c r="I3" s="25">
        <v>1</v>
      </c>
      <c r="J3" s="25">
        <v>1</v>
      </c>
      <c r="K3" s="25"/>
    </row>
    <row r="4" spans="1:11" x14ac:dyDescent="0.25">
      <c r="A4" s="25">
        <v>2025</v>
      </c>
      <c r="B4" s="25" t="s">
        <v>305</v>
      </c>
      <c r="C4" s="25">
        <v>100</v>
      </c>
      <c r="D4" s="25">
        <v>2025</v>
      </c>
      <c r="E4" s="25">
        <v>5</v>
      </c>
      <c r="F4" s="25">
        <v>0.5</v>
      </c>
      <c r="G4" s="25">
        <v>0</v>
      </c>
      <c r="H4" s="25" t="s">
        <v>120</v>
      </c>
      <c r="I4" s="25">
        <v>1</v>
      </c>
      <c r="J4" s="25">
        <v>1</v>
      </c>
      <c r="K4" s="25"/>
    </row>
    <row r="5" spans="1:11" x14ac:dyDescent="0.25">
      <c r="A5" s="25">
        <v>2025</v>
      </c>
      <c r="B5" s="25" t="s">
        <v>305</v>
      </c>
      <c r="C5" s="25">
        <v>100</v>
      </c>
      <c r="D5" s="25">
        <v>2025</v>
      </c>
      <c r="E5" s="25">
        <v>5</v>
      </c>
      <c r="F5" s="25">
        <v>0.5</v>
      </c>
      <c r="G5" s="25">
        <v>0</v>
      </c>
      <c r="H5" s="25" t="s">
        <v>120</v>
      </c>
      <c r="I5" s="25">
        <v>1</v>
      </c>
      <c r="J5" s="25">
        <v>1</v>
      </c>
      <c r="K5" s="25"/>
    </row>
    <row r="6" spans="1:11" x14ac:dyDescent="0.25">
      <c r="A6" s="25">
        <v>2030</v>
      </c>
      <c r="B6" s="25" t="s">
        <v>306</v>
      </c>
      <c r="C6" s="25">
        <v>25</v>
      </c>
      <c r="D6" s="25">
        <v>2030</v>
      </c>
      <c r="E6" s="25">
        <v>5</v>
      </c>
      <c r="F6" s="25">
        <v>0.5</v>
      </c>
      <c r="G6" s="25">
        <v>0</v>
      </c>
      <c r="H6" s="25" t="s">
        <v>120</v>
      </c>
      <c r="I6" s="25">
        <v>1</v>
      </c>
      <c r="J6" s="25">
        <v>1</v>
      </c>
      <c r="K6" s="25"/>
    </row>
    <row r="7" spans="1:11" x14ac:dyDescent="0.25">
      <c r="A7" s="25">
        <v>2030</v>
      </c>
      <c r="B7" s="25" t="s">
        <v>306</v>
      </c>
      <c r="C7" s="25">
        <v>25</v>
      </c>
      <c r="D7" s="25">
        <v>2030</v>
      </c>
      <c r="E7" s="25">
        <v>5</v>
      </c>
      <c r="F7" s="25">
        <v>0.5</v>
      </c>
      <c r="G7" s="25">
        <v>0</v>
      </c>
      <c r="H7" s="25" t="s">
        <v>120</v>
      </c>
      <c r="I7" s="25">
        <v>1</v>
      </c>
      <c r="J7" s="25">
        <v>1</v>
      </c>
      <c r="K7" s="25"/>
    </row>
    <row r="8" spans="1:11" x14ac:dyDescent="0.25">
      <c r="A8" s="25">
        <v>2031</v>
      </c>
      <c r="B8" s="25" t="s">
        <v>305</v>
      </c>
      <c r="C8" s="25">
        <v>67</v>
      </c>
      <c r="D8" s="25">
        <v>2031</v>
      </c>
      <c r="E8" s="25">
        <v>5</v>
      </c>
      <c r="F8" s="25">
        <v>0.5</v>
      </c>
      <c r="G8" s="25">
        <v>0</v>
      </c>
      <c r="H8" s="25" t="s">
        <v>120</v>
      </c>
      <c r="I8" s="25">
        <v>1</v>
      </c>
      <c r="J8" s="25">
        <v>1</v>
      </c>
      <c r="K8" s="25"/>
    </row>
    <row r="9" spans="1:11" x14ac:dyDescent="0.25">
      <c r="A9" s="25">
        <v>2035</v>
      </c>
      <c r="B9" s="25" t="s">
        <v>305</v>
      </c>
      <c r="C9" s="25">
        <v>50</v>
      </c>
      <c r="D9" s="25">
        <v>2035</v>
      </c>
      <c r="E9" s="25">
        <v>5</v>
      </c>
      <c r="F9" s="25">
        <v>0.5</v>
      </c>
      <c r="G9" s="25">
        <v>0</v>
      </c>
      <c r="H9" s="25" t="s">
        <v>120</v>
      </c>
      <c r="I9" s="25">
        <v>1</v>
      </c>
      <c r="J9" s="25">
        <v>1</v>
      </c>
      <c r="K9" s="25"/>
    </row>
    <row r="10" spans="1:11" x14ac:dyDescent="0.25">
      <c r="A10" s="25">
        <v>2030</v>
      </c>
      <c r="B10" s="25" t="s">
        <v>306</v>
      </c>
      <c r="C10" s="25">
        <v>25</v>
      </c>
      <c r="D10" s="25">
        <v>2030</v>
      </c>
      <c r="E10" s="25">
        <v>5</v>
      </c>
      <c r="F10" s="25">
        <v>0.5</v>
      </c>
      <c r="G10" s="25">
        <v>0</v>
      </c>
      <c r="H10" s="25" t="s">
        <v>120</v>
      </c>
      <c r="I10" s="25">
        <v>1</v>
      </c>
      <c r="J10" s="25">
        <v>1</v>
      </c>
      <c r="K10" s="25"/>
    </row>
    <row r="11" spans="1:11" x14ac:dyDescent="0.25">
      <c r="A11" s="25">
        <v>2030</v>
      </c>
      <c r="B11" s="25" t="s">
        <v>306</v>
      </c>
      <c r="C11" s="25">
        <v>25</v>
      </c>
      <c r="D11" s="25">
        <v>2030</v>
      </c>
      <c r="E11" s="25">
        <v>5</v>
      </c>
      <c r="F11" s="25">
        <v>0.5</v>
      </c>
      <c r="G11" s="25">
        <v>0</v>
      </c>
      <c r="H11" s="25" t="s">
        <v>120</v>
      </c>
      <c r="I11" s="25">
        <v>1</v>
      </c>
      <c r="J11" s="25">
        <v>1</v>
      </c>
      <c r="K11" s="25"/>
    </row>
    <row r="12" spans="1:11" x14ac:dyDescent="0.25">
      <c r="A12" s="25">
        <v>2031</v>
      </c>
      <c r="B12" s="25" t="s">
        <v>305</v>
      </c>
      <c r="C12" s="25">
        <v>67</v>
      </c>
      <c r="D12" s="25">
        <v>2031</v>
      </c>
      <c r="E12" s="25">
        <v>5</v>
      </c>
      <c r="F12" s="25">
        <v>0.5</v>
      </c>
      <c r="G12" s="25">
        <v>0</v>
      </c>
      <c r="H12" s="25" t="s">
        <v>120</v>
      </c>
      <c r="I12" s="25">
        <v>1</v>
      </c>
      <c r="J12" s="25">
        <v>1</v>
      </c>
      <c r="K12" s="25"/>
    </row>
    <row r="13" spans="1:11" x14ac:dyDescent="0.25">
      <c r="A13" s="25">
        <v>2031</v>
      </c>
      <c r="B13" s="25" t="s">
        <v>305</v>
      </c>
      <c r="C13" s="25">
        <v>67</v>
      </c>
      <c r="D13" s="25">
        <v>2031</v>
      </c>
      <c r="E13" s="25">
        <v>5</v>
      </c>
      <c r="F13" s="25">
        <v>0.5</v>
      </c>
      <c r="G13" s="25">
        <v>0</v>
      </c>
      <c r="H13" s="25" t="s">
        <v>120</v>
      </c>
      <c r="I13" s="25">
        <v>1</v>
      </c>
      <c r="J13" s="25">
        <v>1</v>
      </c>
      <c r="K13" s="25"/>
    </row>
    <row r="14" spans="1:11" x14ac:dyDescent="0.25">
      <c r="A14" s="25">
        <v>2035</v>
      </c>
      <c r="B14" s="25" t="s">
        <v>305</v>
      </c>
      <c r="C14" s="25">
        <v>50</v>
      </c>
      <c r="D14" s="25">
        <v>2035</v>
      </c>
      <c r="E14" s="25">
        <v>5</v>
      </c>
      <c r="F14" s="25">
        <v>0.5</v>
      </c>
      <c r="G14" s="25">
        <v>0</v>
      </c>
      <c r="H14" s="25" t="s">
        <v>120</v>
      </c>
      <c r="I14" s="25">
        <v>1</v>
      </c>
      <c r="J14" s="25">
        <v>1</v>
      </c>
      <c r="K14" s="25"/>
    </row>
    <row r="15" spans="1:11" x14ac:dyDescent="0.25">
      <c r="A15" s="25">
        <v>2035</v>
      </c>
      <c r="B15" s="25" t="s">
        <v>305</v>
      </c>
      <c r="C15" s="25">
        <v>50</v>
      </c>
      <c r="D15" s="25">
        <v>2035</v>
      </c>
      <c r="E15" s="25">
        <v>5</v>
      </c>
      <c r="F15" s="25">
        <v>0.5</v>
      </c>
      <c r="G15" s="25">
        <v>0</v>
      </c>
      <c r="H15" s="25" t="s">
        <v>120</v>
      </c>
      <c r="I15" s="25">
        <v>1</v>
      </c>
      <c r="J15" s="25">
        <v>1</v>
      </c>
      <c r="K15" s="25"/>
    </row>
    <row r="16" spans="1:11" x14ac:dyDescent="0.25">
      <c r="A16" s="25"/>
      <c r="B16" s="25"/>
      <c r="C16" s="25"/>
      <c r="D16" s="25"/>
      <c r="E16" s="25"/>
      <c r="F16" s="25"/>
      <c r="G16" s="25"/>
      <c r="H16" s="25"/>
      <c r="I16" s="25"/>
      <c r="J16" s="25"/>
      <c r="K16" s="25"/>
    </row>
    <row r="17" spans="1:11" x14ac:dyDescent="0.25">
      <c r="A17" s="25"/>
      <c r="B17" s="25"/>
      <c r="C17" s="25"/>
      <c r="D17" s="25"/>
      <c r="E17" s="25"/>
      <c r="F17" s="25"/>
      <c r="G17" s="25"/>
      <c r="H17" s="25"/>
      <c r="I17" s="25"/>
      <c r="J17" s="25"/>
      <c r="K17" s="25"/>
    </row>
    <row r="18" spans="1:11" x14ac:dyDescent="0.25">
      <c r="A18" s="25"/>
      <c r="B18" s="25"/>
      <c r="C18" s="25"/>
      <c r="D18" s="25"/>
      <c r="E18" s="25"/>
      <c r="F18" s="25"/>
      <c r="G18" s="25"/>
      <c r="H18" s="25"/>
      <c r="I18" s="25"/>
      <c r="J18" s="25"/>
      <c r="K18" s="25"/>
    </row>
    <row r="19" spans="1:11" x14ac:dyDescent="0.25">
      <c r="A19" s="25"/>
      <c r="B19" s="25"/>
      <c r="C19" s="25"/>
      <c r="D19" s="25"/>
      <c r="E19" s="25"/>
      <c r="F19" s="25"/>
      <c r="G19" s="25"/>
      <c r="H19" s="25"/>
      <c r="I19" s="25"/>
      <c r="J19" s="25"/>
      <c r="K19" s="25"/>
    </row>
    <row r="20" spans="1:11" x14ac:dyDescent="0.25">
      <c r="A20" s="25"/>
      <c r="B20" s="25"/>
      <c r="C20" s="25"/>
      <c r="D20" s="25"/>
      <c r="E20" s="25"/>
      <c r="F20" s="25"/>
      <c r="G20" s="25"/>
      <c r="H20" s="25"/>
      <c r="I20" s="25"/>
      <c r="J20" s="25"/>
      <c r="K20" s="25"/>
    </row>
    <row r="21" spans="1:11" x14ac:dyDescent="0.25">
      <c r="A21" s="25"/>
      <c r="B21" s="25"/>
      <c r="C21" s="25"/>
      <c r="D21" s="25"/>
      <c r="E21" s="25"/>
      <c r="F21" s="25"/>
      <c r="G21" s="25"/>
      <c r="H21" s="25"/>
      <c r="I21" s="25"/>
      <c r="J21" s="25"/>
      <c r="K21" s="25"/>
    </row>
    <row r="22" spans="1:11" x14ac:dyDescent="0.25">
      <c r="A22" s="25"/>
      <c r="B22" s="25"/>
      <c r="C22" s="25"/>
      <c r="D22" s="25"/>
      <c r="E22" s="25"/>
      <c r="F22" s="25"/>
      <c r="G22" s="25"/>
      <c r="H22" s="25"/>
      <c r="I22" s="25"/>
      <c r="J22" s="25"/>
      <c r="K22" s="25"/>
    </row>
    <row r="23" spans="1:11" x14ac:dyDescent="0.25">
      <c r="A23" s="25"/>
      <c r="B23" s="25"/>
      <c r="C23" s="25"/>
      <c r="D23" s="25"/>
      <c r="E23" s="25"/>
      <c r="F23" s="25"/>
      <c r="G23" s="25"/>
      <c r="H23" s="25"/>
      <c r="I23" s="25"/>
      <c r="J23" s="25"/>
      <c r="K23" s="25"/>
    </row>
    <row r="24" spans="1:11" x14ac:dyDescent="0.25">
      <c r="A24" s="25"/>
      <c r="B24" s="25"/>
      <c r="C24" s="25"/>
      <c r="D24" s="25"/>
      <c r="E24" s="25"/>
      <c r="F24" s="25"/>
      <c r="G24" s="25"/>
      <c r="H24" s="25"/>
      <c r="I24" s="25"/>
      <c r="J24" s="25"/>
      <c r="K24" s="25"/>
    </row>
    <row r="25" spans="1:11" x14ac:dyDescent="0.25">
      <c r="A25" s="25"/>
      <c r="B25" s="25"/>
      <c r="C25" s="25"/>
      <c r="D25" s="25"/>
      <c r="E25" s="25"/>
      <c r="F25" s="25"/>
      <c r="G25" s="25"/>
      <c r="H25" s="25"/>
      <c r="I25" s="25"/>
      <c r="J25" s="25"/>
      <c r="K25" s="25"/>
    </row>
    <row r="26" spans="1:11" x14ac:dyDescent="0.25">
      <c r="A26" s="25"/>
      <c r="B26" s="25"/>
      <c r="C26" s="25"/>
      <c r="D26" s="25"/>
      <c r="E26" s="25"/>
      <c r="F26" s="25"/>
      <c r="G26" s="25"/>
      <c r="H26" s="25"/>
      <c r="I26" s="25"/>
      <c r="J26" s="25"/>
      <c r="K26" s="25"/>
    </row>
    <row r="27" spans="1:11" x14ac:dyDescent="0.25">
      <c r="A27" s="25"/>
      <c r="B27" s="25"/>
      <c r="C27" s="25"/>
      <c r="D27" s="25"/>
      <c r="E27" s="25"/>
      <c r="F27" s="25"/>
      <c r="G27" s="25"/>
      <c r="H27" s="25"/>
      <c r="I27" s="25"/>
      <c r="J27" s="25"/>
      <c r="K27" s="25"/>
    </row>
    <row r="28" spans="1:11" x14ac:dyDescent="0.25">
      <c r="A28" s="25"/>
      <c r="B28" s="25"/>
      <c r="C28" s="25"/>
      <c r="D28" s="25"/>
      <c r="E28" s="25"/>
      <c r="F28" s="25"/>
      <c r="G28" s="25"/>
      <c r="H28" s="25"/>
      <c r="I28" s="25"/>
      <c r="J28" s="25"/>
      <c r="K28" s="25"/>
    </row>
    <row r="29" spans="1:11" x14ac:dyDescent="0.25">
      <c r="A29" s="25"/>
      <c r="B29" s="25"/>
      <c r="C29" s="25"/>
      <c r="D29" s="25"/>
      <c r="E29" s="25"/>
      <c r="F29" s="25"/>
      <c r="G29" s="25"/>
      <c r="H29" s="25"/>
      <c r="I29" s="25"/>
      <c r="J29" s="25"/>
      <c r="K29" s="25"/>
    </row>
    <row r="30" spans="1:11" x14ac:dyDescent="0.25">
      <c r="A30" s="25"/>
      <c r="B30" s="25"/>
      <c r="C30" s="25"/>
      <c r="D30" s="25"/>
      <c r="E30" s="25"/>
      <c r="F30" s="25"/>
      <c r="G30" s="25"/>
      <c r="H30" s="25"/>
      <c r="I30" s="25"/>
      <c r="J30" s="25"/>
      <c r="K30" s="25"/>
    </row>
    <row r="31" spans="1:11" x14ac:dyDescent="0.25">
      <c r="A31" s="25"/>
      <c r="B31" s="25"/>
      <c r="C31" s="25"/>
      <c r="D31" s="25"/>
      <c r="E31" s="25"/>
      <c r="F31" s="25"/>
      <c r="G31" s="25"/>
      <c r="H31" s="25"/>
      <c r="I31" s="25"/>
      <c r="J31" s="25"/>
      <c r="K31" s="25"/>
    </row>
    <row r="32" spans="1:11" x14ac:dyDescent="0.25">
      <c r="A32" s="25"/>
      <c r="B32" s="25"/>
      <c r="C32" s="25"/>
      <c r="D32" s="25"/>
      <c r="E32" s="25"/>
      <c r="F32" s="25"/>
      <c r="G32" s="25"/>
      <c r="H32" s="25"/>
      <c r="I32" s="25"/>
      <c r="J32" s="25"/>
      <c r="K32" s="25"/>
    </row>
    <row r="33" spans="1:11" x14ac:dyDescent="0.25">
      <c r="A33" s="25"/>
      <c r="B33" s="25"/>
      <c r="C33" s="25"/>
      <c r="D33" s="25"/>
      <c r="E33" s="25"/>
      <c r="F33" s="25"/>
      <c r="G33" s="25"/>
      <c r="H33" s="25"/>
      <c r="I33" s="25"/>
      <c r="J33" s="25"/>
      <c r="K33" s="25"/>
    </row>
    <row r="34" spans="1:11" x14ac:dyDescent="0.25">
      <c r="A34" s="25"/>
      <c r="B34" s="25"/>
      <c r="C34" s="25"/>
      <c r="D34" s="25"/>
      <c r="E34" s="25"/>
      <c r="F34" s="25"/>
      <c r="G34" s="25"/>
      <c r="H34" s="25"/>
      <c r="I34" s="25"/>
      <c r="J34" s="25"/>
      <c r="K34" s="25"/>
    </row>
    <row r="35" spans="1:11" x14ac:dyDescent="0.25">
      <c r="A35" s="25"/>
      <c r="B35" s="25"/>
      <c r="C35" s="25"/>
      <c r="D35" s="25"/>
      <c r="E35" s="25"/>
      <c r="F35" s="25"/>
      <c r="G35" s="25"/>
      <c r="H35" s="25"/>
      <c r="I35" s="25"/>
      <c r="J35" s="25"/>
      <c r="K35" s="25"/>
    </row>
    <row r="36" spans="1:11" x14ac:dyDescent="0.25">
      <c r="A36" s="25"/>
      <c r="B36" s="25"/>
      <c r="C36" s="25"/>
      <c r="D36" s="25"/>
      <c r="E36" s="25"/>
      <c r="F36" s="25"/>
      <c r="G36" s="25"/>
      <c r="H36" s="25"/>
      <c r="I36" s="25"/>
      <c r="J36" s="25"/>
      <c r="K36" s="25"/>
    </row>
    <row r="37" spans="1:11" x14ac:dyDescent="0.25">
      <c r="A37" s="25"/>
      <c r="B37" s="25"/>
      <c r="C37" s="25"/>
      <c r="D37" s="25"/>
      <c r="E37" s="25"/>
      <c r="F37" s="25"/>
      <c r="G37" s="25"/>
      <c r="H37" s="25"/>
      <c r="I37" s="25"/>
      <c r="J37" s="25"/>
      <c r="K37" s="25"/>
    </row>
    <row r="38" spans="1:11" x14ac:dyDescent="0.25">
      <c r="A38" s="25"/>
      <c r="B38" s="25"/>
      <c r="C38" s="25"/>
      <c r="D38" s="25"/>
      <c r="E38" s="25"/>
      <c r="F38" s="25"/>
      <c r="G38" s="25"/>
      <c r="H38" s="25"/>
      <c r="I38" s="25"/>
      <c r="J38" s="25"/>
      <c r="K38" s="25"/>
    </row>
    <row r="39" spans="1:11" x14ac:dyDescent="0.25">
      <c r="A39" s="25"/>
      <c r="B39" s="25"/>
      <c r="C39" s="25"/>
      <c r="D39" s="25"/>
      <c r="E39" s="25"/>
      <c r="F39" s="25"/>
      <c r="G39" s="25"/>
      <c r="H39" s="25"/>
      <c r="I39" s="25"/>
      <c r="J39" s="25"/>
      <c r="K39" s="25"/>
    </row>
    <row r="40" spans="1:11" x14ac:dyDescent="0.25">
      <c r="A40" s="25"/>
      <c r="B40" s="25"/>
      <c r="C40" s="25"/>
      <c r="D40" s="25"/>
      <c r="E40" s="25"/>
      <c r="F40" s="25"/>
      <c r="G40" s="25"/>
      <c r="H40" s="25"/>
      <c r="I40" s="25"/>
      <c r="J40" s="25"/>
      <c r="K40" s="25"/>
    </row>
    <row r="41" spans="1:11" x14ac:dyDescent="0.25">
      <c r="A41" s="25"/>
      <c r="B41" s="25"/>
      <c r="C41" s="25"/>
      <c r="D41" s="25"/>
      <c r="E41" s="25"/>
      <c r="F41" s="25"/>
      <c r="G41" s="25"/>
      <c r="H41" s="25"/>
      <c r="I41" s="25"/>
      <c r="J41" s="25"/>
      <c r="K41" s="25"/>
    </row>
    <row r="42" spans="1:11" x14ac:dyDescent="0.25">
      <c r="A42" s="25"/>
      <c r="B42" s="25"/>
      <c r="C42" s="25"/>
      <c r="D42" s="25"/>
      <c r="E42" s="25"/>
      <c r="F42" s="25"/>
      <c r="G42" s="25"/>
      <c r="H42" s="25"/>
      <c r="I42" s="25"/>
      <c r="J42" s="25"/>
      <c r="K42" s="25"/>
    </row>
    <row r="43" spans="1:11" x14ac:dyDescent="0.25">
      <c r="A43" s="25"/>
      <c r="B43" s="25"/>
      <c r="C43" s="25"/>
      <c r="D43" s="25"/>
      <c r="E43" s="25"/>
      <c r="F43" s="25"/>
      <c r="G43" s="25"/>
      <c r="H43" s="25"/>
      <c r="I43" s="25"/>
      <c r="J43" s="25"/>
      <c r="K43" s="25"/>
    </row>
    <row r="44" spans="1:11" x14ac:dyDescent="0.25">
      <c r="A44" s="25"/>
      <c r="B44" s="25"/>
      <c r="C44" s="25"/>
      <c r="D44" s="25"/>
      <c r="E44" s="25"/>
      <c r="F44" s="25"/>
      <c r="G44" s="25"/>
      <c r="H44" s="25"/>
      <c r="I44" s="25"/>
      <c r="J44" s="25"/>
      <c r="K44" s="25"/>
    </row>
    <row r="45" spans="1:11" x14ac:dyDescent="0.25">
      <c r="A45" s="25"/>
      <c r="B45" s="25"/>
      <c r="C45" s="25"/>
      <c r="D45" s="25"/>
      <c r="E45" s="25"/>
      <c r="F45" s="25"/>
      <c r="G45" s="25"/>
      <c r="H45" s="25"/>
      <c r="I45" s="25"/>
      <c r="J45" s="25"/>
      <c r="K45" s="25"/>
    </row>
    <row r="46" spans="1:11" x14ac:dyDescent="0.25">
      <c r="A46" s="25"/>
      <c r="B46" s="25"/>
      <c r="C46" s="25"/>
      <c r="D46" s="25"/>
      <c r="E46" s="25"/>
      <c r="F46" s="25"/>
      <c r="G46" s="25"/>
      <c r="H46" s="25"/>
      <c r="I46" s="25"/>
      <c r="J46" s="25"/>
      <c r="K46" s="25"/>
    </row>
    <row r="47" spans="1:11" x14ac:dyDescent="0.25">
      <c r="A47" s="25"/>
      <c r="B47" s="25"/>
      <c r="C47" s="25"/>
      <c r="D47" s="25"/>
      <c r="E47" s="25"/>
      <c r="F47" s="25"/>
      <c r="G47" s="25"/>
      <c r="H47" s="25"/>
      <c r="I47" s="25"/>
      <c r="J47" s="25"/>
      <c r="K47" s="25"/>
    </row>
    <row r="48" spans="1:11" x14ac:dyDescent="0.25">
      <c r="A48" s="25"/>
      <c r="B48" s="25"/>
      <c r="C48" s="25"/>
      <c r="D48" s="25"/>
      <c r="E48" s="25"/>
      <c r="F48" s="25"/>
      <c r="G48" s="25"/>
      <c r="H48" s="25"/>
      <c r="I48" s="25"/>
      <c r="J48" s="25"/>
      <c r="K48" s="25"/>
    </row>
    <row r="49" spans="1:11" x14ac:dyDescent="0.25">
      <c r="A49" s="25"/>
      <c r="B49" s="25"/>
      <c r="C49" s="25"/>
      <c r="D49" s="25"/>
      <c r="E49" s="25"/>
      <c r="F49" s="25"/>
      <c r="G49" s="25"/>
      <c r="H49" s="25"/>
      <c r="I49" s="25"/>
      <c r="J49" s="25"/>
      <c r="K49" s="25"/>
    </row>
    <row r="50" spans="1:11" x14ac:dyDescent="0.25">
      <c r="A50" s="25"/>
      <c r="B50" s="25"/>
      <c r="C50" s="25"/>
      <c r="D50" s="25"/>
      <c r="E50" s="25"/>
      <c r="F50" s="25"/>
      <c r="G50" s="25"/>
      <c r="H50" s="25"/>
      <c r="I50" s="25"/>
      <c r="J50" s="25"/>
      <c r="K50" s="25"/>
    </row>
    <row r="51" spans="1:11" x14ac:dyDescent="0.25">
      <c r="A51" s="25"/>
      <c r="B51" s="25"/>
      <c r="C51" s="25"/>
      <c r="D51" s="25"/>
      <c r="E51" s="25"/>
      <c r="F51" s="25"/>
      <c r="G51" s="25"/>
      <c r="H51" s="25"/>
      <c r="I51" s="25"/>
      <c r="J51" s="25"/>
      <c r="K51" s="25"/>
    </row>
    <row r="52" spans="1:11" x14ac:dyDescent="0.25">
      <c r="A52" s="25"/>
      <c r="B52" s="25"/>
      <c r="C52" s="25"/>
      <c r="D52" s="25"/>
      <c r="E52" s="25"/>
      <c r="F52" s="25"/>
      <c r="G52" s="25"/>
      <c r="H52" s="25"/>
      <c r="I52" s="25"/>
      <c r="J52" s="25"/>
      <c r="K52" s="25"/>
    </row>
    <row r="53" spans="1:11" x14ac:dyDescent="0.25">
      <c r="A53" s="25"/>
      <c r="B53" s="25"/>
      <c r="C53" s="25"/>
      <c r="D53" s="25"/>
      <c r="E53" s="25"/>
      <c r="F53" s="25"/>
      <c r="G53" s="25"/>
      <c r="H53" s="25"/>
      <c r="I53" s="25"/>
      <c r="J53" s="25"/>
      <c r="K53" s="25"/>
    </row>
    <row r="54" spans="1:11" x14ac:dyDescent="0.25">
      <c r="A54" s="25"/>
      <c r="B54" s="25"/>
      <c r="C54" s="25"/>
      <c r="D54" s="25"/>
      <c r="E54" s="25"/>
      <c r="F54" s="25"/>
      <c r="G54" s="25"/>
      <c r="H54" s="25"/>
      <c r="I54" s="25"/>
      <c r="J54" s="25"/>
      <c r="K54" s="25"/>
    </row>
    <row r="55" spans="1:11" x14ac:dyDescent="0.25">
      <c r="A55" s="25"/>
      <c r="B55" s="25"/>
      <c r="C55" s="25"/>
      <c r="D55" s="25"/>
      <c r="E55" s="25"/>
      <c r="F55" s="25"/>
      <c r="G55" s="25"/>
      <c r="H55" s="25"/>
      <c r="I55" s="25"/>
      <c r="J55" s="25"/>
      <c r="K55" s="25"/>
    </row>
    <row r="56" spans="1:11" x14ac:dyDescent="0.25">
      <c r="A56" s="25"/>
      <c r="B56" s="25"/>
      <c r="C56" s="25"/>
      <c r="D56" s="25"/>
      <c r="E56" s="25"/>
      <c r="F56" s="25"/>
      <c r="G56" s="25"/>
      <c r="H56" s="25"/>
      <c r="I56" s="25"/>
      <c r="J56" s="25"/>
      <c r="K56" s="25"/>
    </row>
    <row r="57" spans="1:11" x14ac:dyDescent="0.25">
      <c r="A57" s="25"/>
      <c r="B57" s="25"/>
      <c r="C57" s="25"/>
      <c r="D57" s="25"/>
      <c r="E57" s="25"/>
      <c r="F57" s="25"/>
      <c r="G57" s="25"/>
      <c r="H57" s="25"/>
      <c r="I57" s="25"/>
      <c r="J57" s="25"/>
      <c r="K57" s="25"/>
    </row>
    <row r="58" spans="1:11" x14ac:dyDescent="0.25">
      <c r="A58" s="25"/>
      <c r="B58" s="25"/>
      <c r="C58" s="25"/>
      <c r="D58" s="25"/>
      <c r="E58" s="25"/>
      <c r="F58" s="25"/>
      <c r="G58" s="25"/>
      <c r="H58" s="25"/>
      <c r="I58" s="25"/>
      <c r="J58" s="25"/>
      <c r="K58" s="25"/>
    </row>
    <row r="59" spans="1:11" x14ac:dyDescent="0.25">
      <c r="A59" s="25"/>
      <c r="B59" s="25"/>
      <c r="C59" s="25"/>
      <c r="D59" s="25"/>
      <c r="E59" s="25"/>
      <c r="F59" s="25"/>
      <c r="G59" s="25"/>
      <c r="H59" s="25"/>
      <c r="I59" s="25"/>
      <c r="J59" s="25"/>
      <c r="K59" s="25"/>
    </row>
    <row r="60" spans="1:11" x14ac:dyDescent="0.25">
      <c r="A60" s="25"/>
      <c r="B60" s="25"/>
      <c r="C60" s="25"/>
      <c r="D60" s="25"/>
      <c r="E60" s="25"/>
      <c r="F60" s="25"/>
      <c r="G60" s="25"/>
      <c r="H60" s="25"/>
      <c r="I60" s="25"/>
      <c r="J60" s="25"/>
      <c r="K60" s="25"/>
    </row>
    <row r="61" spans="1:11" x14ac:dyDescent="0.25">
      <c r="A61" s="25"/>
      <c r="B61" s="25"/>
      <c r="C61" s="25"/>
      <c r="D61" s="25"/>
      <c r="E61" s="25"/>
      <c r="F61" s="25"/>
      <c r="G61" s="25"/>
      <c r="H61" s="25"/>
      <c r="I61" s="25"/>
      <c r="J61" s="25"/>
      <c r="K61" s="25"/>
    </row>
    <row r="62" spans="1:11" x14ac:dyDescent="0.25">
      <c r="A62" s="25"/>
      <c r="B62" s="25"/>
      <c r="C62" s="25"/>
      <c r="D62" s="25"/>
      <c r="E62" s="25"/>
      <c r="F62" s="25"/>
      <c r="G62" s="25"/>
      <c r="H62" s="25"/>
      <c r="I62" s="25"/>
      <c r="J62" s="25"/>
      <c r="K62" s="25"/>
    </row>
    <row r="63" spans="1:11" x14ac:dyDescent="0.25">
      <c r="A63" s="25"/>
      <c r="B63" s="25"/>
      <c r="C63" s="25"/>
      <c r="D63" s="25"/>
      <c r="E63" s="25"/>
      <c r="F63" s="25"/>
      <c r="G63" s="25"/>
      <c r="H63" s="25"/>
      <c r="I63" s="25"/>
      <c r="J63" s="25"/>
      <c r="K63" s="25"/>
    </row>
    <row r="64" spans="1:11" x14ac:dyDescent="0.25">
      <c r="A64" s="25"/>
      <c r="B64" s="25"/>
      <c r="C64" s="25"/>
      <c r="D64" s="25"/>
      <c r="E64" s="25"/>
      <c r="F64" s="25"/>
      <c r="G64" s="25"/>
      <c r="H64" s="25"/>
      <c r="I64" s="25"/>
      <c r="J64" s="25"/>
      <c r="K64" s="25"/>
    </row>
    <row r="65" spans="1:11" x14ac:dyDescent="0.25">
      <c r="A65" s="25"/>
      <c r="B65" s="25"/>
      <c r="C65" s="25"/>
      <c r="D65" s="25"/>
      <c r="E65" s="25"/>
      <c r="F65" s="25"/>
      <c r="G65" s="25"/>
      <c r="H65" s="25"/>
      <c r="I65" s="25"/>
      <c r="J65" s="25"/>
      <c r="K65" s="25"/>
    </row>
    <row r="66" spans="1:11" x14ac:dyDescent="0.25">
      <c r="A66" s="25"/>
      <c r="B66" s="25"/>
      <c r="C66" s="25"/>
      <c r="D66" s="25"/>
      <c r="E66" s="25"/>
      <c r="F66" s="25"/>
      <c r="G66" s="25"/>
      <c r="H66" s="25"/>
      <c r="I66" s="25"/>
      <c r="J66" s="25"/>
      <c r="K66" s="25"/>
    </row>
    <row r="67" spans="1:11" x14ac:dyDescent="0.25">
      <c r="A67" s="25"/>
      <c r="B67" s="25"/>
      <c r="C67" s="25"/>
      <c r="D67" s="25"/>
      <c r="E67" s="25"/>
      <c r="F67" s="25"/>
      <c r="G67" s="25"/>
      <c r="H67" s="25"/>
      <c r="I67" s="25"/>
      <c r="J67" s="25"/>
      <c r="K67" s="25"/>
    </row>
    <row r="68" spans="1:11" x14ac:dyDescent="0.25">
      <c r="A68" s="25"/>
      <c r="B68" s="25"/>
      <c r="C68" s="25"/>
      <c r="D68" s="25"/>
      <c r="E68" s="25"/>
      <c r="F68" s="25"/>
      <c r="G68" s="25"/>
      <c r="H68" s="25"/>
      <c r="I68" s="25"/>
      <c r="J68" s="25"/>
      <c r="K68" s="25"/>
    </row>
    <row r="69" spans="1:11" x14ac:dyDescent="0.25">
      <c r="A69" s="25"/>
      <c r="B69" s="25"/>
      <c r="C69" s="25"/>
      <c r="D69" s="25"/>
      <c r="E69" s="25"/>
      <c r="F69" s="25"/>
      <c r="G69" s="25"/>
      <c r="H69" s="25"/>
      <c r="I69" s="25"/>
      <c r="J69" s="25"/>
      <c r="K69" s="25"/>
    </row>
    <row r="70" spans="1:11" x14ac:dyDescent="0.25">
      <c r="A70" s="25"/>
      <c r="B70" s="25"/>
      <c r="C70" s="25"/>
      <c r="D70" s="25"/>
      <c r="E70" s="25"/>
      <c r="F70" s="25"/>
      <c r="G70" s="25"/>
      <c r="H70" s="25"/>
      <c r="I70" s="25"/>
      <c r="J70" s="25"/>
      <c r="K70" s="25"/>
    </row>
    <row r="71" spans="1:11" x14ac:dyDescent="0.25">
      <c r="A71" s="25"/>
      <c r="B71" s="25"/>
      <c r="C71" s="25"/>
      <c r="D71" s="25"/>
      <c r="E71" s="25"/>
      <c r="F71" s="25"/>
      <c r="G71" s="25"/>
      <c r="H71" s="25"/>
      <c r="I71" s="25"/>
      <c r="J71" s="25"/>
      <c r="K71" s="25"/>
    </row>
    <row r="72" spans="1:11" x14ac:dyDescent="0.25">
      <c r="A72" s="25"/>
      <c r="B72" s="25"/>
      <c r="C72" s="25"/>
      <c r="D72" s="25"/>
      <c r="E72" s="25"/>
      <c r="F72" s="25"/>
      <c r="G72" s="25"/>
      <c r="H72" s="25"/>
      <c r="I72" s="25"/>
      <c r="J72" s="25"/>
      <c r="K72" s="25"/>
    </row>
    <row r="73" spans="1:11" x14ac:dyDescent="0.25">
      <c r="A73" s="25"/>
      <c r="B73" s="25"/>
      <c r="C73" s="25"/>
      <c r="D73" s="25"/>
      <c r="E73" s="25"/>
      <c r="F73" s="25"/>
      <c r="G73" s="25"/>
      <c r="H73" s="25"/>
      <c r="I73" s="25"/>
      <c r="J73" s="25"/>
      <c r="K73" s="25"/>
    </row>
    <row r="74" spans="1:11" x14ac:dyDescent="0.25">
      <c r="A74" s="25"/>
      <c r="B74" s="25"/>
      <c r="C74" s="25"/>
      <c r="D74" s="25"/>
      <c r="E74" s="25"/>
      <c r="F74" s="25"/>
      <c r="G74" s="25"/>
      <c r="H74" s="25"/>
      <c r="I74" s="25"/>
      <c r="J74" s="25"/>
      <c r="K74" s="25"/>
    </row>
    <row r="75" spans="1:11" x14ac:dyDescent="0.25">
      <c r="A75" s="25"/>
      <c r="B75" s="25"/>
      <c r="C75" s="25"/>
      <c r="D75" s="25"/>
      <c r="E75" s="25"/>
      <c r="F75" s="25"/>
      <c r="G75" s="25"/>
      <c r="H75" s="25"/>
      <c r="I75" s="25"/>
      <c r="J75" s="25"/>
      <c r="K75" s="25"/>
    </row>
    <row r="76" spans="1:11" x14ac:dyDescent="0.25">
      <c r="A76" s="25"/>
      <c r="B76" s="25"/>
      <c r="C76" s="25"/>
      <c r="D76" s="25"/>
      <c r="E76" s="25"/>
      <c r="F76" s="25"/>
      <c r="G76" s="25"/>
      <c r="H76" s="25"/>
      <c r="I76" s="25"/>
      <c r="J76" s="25"/>
      <c r="K76" s="25"/>
    </row>
    <row r="77" spans="1:11" x14ac:dyDescent="0.25">
      <c r="A77" s="25"/>
      <c r="B77" s="25"/>
      <c r="C77" s="25"/>
      <c r="D77" s="25"/>
      <c r="E77" s="25"/>
      <c r="F77" s="25"/>
      <c r="G77" s="25"/>
      <c r="H77" s="25"/>
      <c r="I77" s="25"/>
      <c r="J77" s="25"/>
      <c r="K77" s="25"/>
    </row>
    <row r="78" spans="1:11" x14ac:dyDescent="0.25">
      <c r="A78" s="25"/>
      <c r="B78" s="25"/>
      <c r="C78" s="25"/>
      <c r="D78" s="25"/>
      <c r="E78" s="25"/>
      <c r="F78" s="25"/>
      <c r="G78" s="25"/>
      <c r="H78" s="25"/>
      <c r="I78" s="25"/>
      <c r="J78" s="25"/>
      <c r="K78" s="25"/>
    </row>
    <row r="79" spans="1:11" x14ac:dyDescent="0.25">
      <c r="A79" s="25"/>
      <c r="B79" s="25"/>
      <c r="C79" s="25"/>
      <c r="D79" s="25"/>
      <c r="E79" s="25"/>
      <c r="F79" s="25"/>
      <c r="G79" s="25"/>
      <c r="H79" s="25"/>
      <c r="I79" s="25"/>
      <c r="J79" s="25"/>
      <c r="K79" s="25"/>
    </row>
    <row r="80" spans="1:11" x14ac:dyDescent="0.25">
      <c r="A80" s="25"/>
      <c r="B80" s="25"/>
      <c r="C80" s="25"/>
      <c r="D80" s="25"/>
      <c r="E80" s="25"/>
      <c r="F80" s="25"/>
      <c r="G80" s="25"/>
      <c r="H80" s="25"/>
      <c r="I80" s="25"/>
      <c r="J80" s="25"/>
      <c r="K80" s="25"/>
    </row>
    <row r="81" spans="1:11" x14ac:dyDescent="0.25">
      <c r="A81" s="25"/>
      <c r="B81" s="25"/>
      <c r="C81" s="25"/>
      <c r="D81" s="25"/>
      <c r="E81" s="25"/>
      <c r="F81" s="25"/>
      <c r="G81" s="25"/>
      <c r="H81" s="25"/>
      <c r="I81" s="25"/>
      <c r="J81" s="25"/>
      <c r="K81" s="25"/>
    </row>
    <row r="82" spans="1:11" x14ac:dyDescent="0.25">
      <c r="A82" s="25"/>
      <c r="B82" s="25"/>
      <c r="C82" s="25"/>
      <c r="D82" s="25"/>
      <c r="E82" s="25"/>
      <c r="F82" s="25"/>
      <c r="G82" s="25"/>
      <c r="H82" s="25"/>
      <c r="I82" s="25"/>
      <c r="J82" s="25"/>
      <c r="K82" s="25"/>
    </row>
    <row r="83" spans="1:11" x14ac:dyDescent="0.25">
      <c r="A83" s="25"/>
      <c r="B83" s="25"/>
      <c r="C83" s="25"/>
      <c r="D83" s="25"/>
      <c r="E83" s="25"/>
      <c r="F83" s="25"/>
      <c r="G83" s="25"/>
      <c r="H83" s="25"/>
      <c r="I83" s="25"/>
      <c r="J83" s="25"/>
      <c r="K83" s="25"/>
    </row>
    <row r="84" spans="1:11" x14ac:dyDescent="0.25">
      <c r="A84" s="25"/>
      <c r="B84" s="25"/>
      <c r="C84" s="25"/>
      <c r="D84" s="25"/>
      <c r="E84" s="25"/>
      <c r="F84" s="25"/>
      <c r="G84" s="25"/>
      <c r="H84" s="25"/>
      <c r="I84" s="25"/>
      <c r="J84" s="25"/>
      <c r="K84" s="25"/>
    </row>
    <row r="85" spans="1:11" x14ac:dyDescent="0.25">
      <c r="A85" s="25"/>
      <c r="B85" s="25"/>
      <c r="C85" s="25"/>
      <c r="D85" s="25"/>
      <c r="E85" s="25"/>
      <c r="F85" s="25"/>
      <c r="G85" s="25"/>
      <c r="H85" s="25"/>
      <c r="I85" s="25"/>
      <c r="J85" s="25"/>
      <c r="K85" s="25"/>
    </row>
    <row r="86" spans="1:11" x14ac:dyDescent="0.25">
      <c r="A86" s="25"/>
      <c r="B86" s="25"/>
      <c r="C86" s="25"/>
      <c r="D86" s="25"/>
      <c r="E86" s="25"/>
      <c r="F86" s="25"/>
      <c r="G86" s="25"/>
      <c r="H86" s="25"/>
      <c r="I86" s="25"/>
      <c r="J86" s="25"/>
      <c r="K86" s="25"/>
    </row>
    <row r="87" spans="1:11" x14ac:dyDescent="0.25">
      <c r="A87" s="25"/>
      <c r="B87" s="25"/>
      <c r="C87" s="25"/>
      <c r="D87" s="25"/>
      <c r="E87" s="25"/>
      <c r="F87" s="25"/>
      <c r="G87" s="25"/>
      <c r="H87" s="25"/>
      <c r="I87" s="25"/>
      <c r="J87" s="25"/>
      <c r="K87" s="25"/>
    </row>
    <row r="88" spans="1:11" x14ac:dyDescent="0.25">
      <c r="A88" s="25"/>
      <c r="B88" s="25"/>
      <c r="C88" s="25"/>
      <c r="D88" s="25"/>
      <c r="E88" s="25"/>
      <c r="F88" s="25"/>
      <c r="G88" s="25"/>
      <c r="H88" s="25"/>
      <c r="I88" s="25"/>
      <c r="J88" s="25"/>
      <c r="K88" s="25"/>
    </row>
    <row r="89" spans="1:11" x14ac:dyDescent="0.25">
      <c r="A89" s="25"/>
      <c r="B89" s="25"/>
      <c r="C89" s="25"/>
      <c r="D89" s="25"/>
      <c r="E89" s="25"/>
      <c r="F89" s="25"/>
      <c r="G89" s="25"/>
      <c r="H89" s="25"/>
      <c r="I89" s="25"/>
      <c r="J89" s="25"/>
      <c r="K89" s="25"/>
    </row>
    <row r="90" spans="1:11" x14ac:dyDescent="0.25">
      <c r="A90" s="25"/>
      <c r="B90" s="25"/>
      <c r="C90" s="25"/>
      <c r="D90" s="25"/>
      <c r="E90" s="25"/>
      <c r="F90" s="25"/>
      <c r="G90" s="25"/>
      <c r="H90" s="25"/>
      <c r="I90" s="25"/>
      <c r="J90" s="25"/>
      <c r="K90" s="25"/>
    </row>
    <row r="91" spans="1:11" x14ac:dyDescent="0.25">
      <c r="A91" s="25"/>
      <c r="B91" s="25"/>
      <c r="C91" s="25"/>
      <c r="D91" s="25"/>
      <c r="E91" s="25"/>
      <c r="F91" s="25"/>
      <c r="G91" s="25"/>
      <c r="H91" s="25"/>
      <c r="I91" s="25"/>
      <c r="J91" s="25"/>
      <c r="K91" s="25"/>
    </row>
    <row r="92" spans="1:11" x14ac:dyDescent="0.25">
      <c r="A92" s="25"/>
      <c r="B92" s="25"/>
      <c r="C92" s="25"/>
      <c r="D92" s="25"/>
      <c r="E92" s="25"/>
      <c r="F92" s="25"/>
      <c r="G92" s="25"/>
      <c r="H92" s="25"/>
      <c r="I92" s="25"/>
      <c r="J92" s="25"/>
      <c r="K92" s="25"/>
    </row>
    <row r="93" spans="1:11" x14ac:dyDescent="0.25">
      <c r="A93" s="25"/>
      <c r="B93" s="25"/>
      <c r="C93" s="25"/>
      <c r="D93" s="25"/>
      <c r="E93" s="25"/>
      <c r="F93" s="25"/>
      <c r="G93" s="25"/>
      <c r="H93" s="25"/>
      <c r="I93" s="25"/>
      <c r="J93" s="25"/>
      <c r="K93" s="25"/>
    </row>
    <row r="94" spans="1:11" x14ac:dyDescent="0.25">
      <c r="A94" s="25"/>
      <c r="B94" s="25"/>
      <c r="C94" s="25"/>
      <c r="D94" s="25"/>
      <c r="E94" s="25"/>
      <c r="F94" s="25"/>
      <c r="G94" s="25"/>
      <c r="H94" s="25"/>
      <c r="I94" s="25"/>
      <c r="J94" s="25"/>
      <c r="K94" s="25"/>
    </row>
    <row r="95" spans="1:11" x14ac:dyDescent="0.25">
      <c r="A95" s="25"/>
      <c r="B95" s="25"/>
      <c r="C95" s="25"/>
      <c r="D95" s="25"/>
      <c r="E95" s="25"/>
      <c r="F95" s="25"/>
      <c r="G95" s="25"/>
      <c r="H95" s="25"/>
      <c r="I95" s="25"/>
      <c r="J95" s="25"/>
      <c r="K95" s="25"/>
    </row>
    <row r="96" spans="1:11" x14ac:dyDescent="0.25">
      <c r="A96" s="25"/>
      <c r="B96" s="25"/>
      <c r="C96" s="25"/>
      <c r="D96" s="25"/>
      <c r="E96" s="25"/>
      <c r="F96" s="25"/>
      <c r="G96" s="25"/>
      <c r="H96" s="25"/>
      <c r="I96" s="25"/>
      <c r="J96" s="25"/>
      <c r="K96" s="25"/>
    </row>
    <row r="97" spans="1:11" x14ac:dyDescent="0.25">
      <c r="A97" s="25"/>
      <c r="B97" s="25"/>
      <c r="C97" s="25"/>
      <c r="D97" s="25"/>
      <c r="E97" s="25"/>
      <c r="F97" s="25"/>
      <c r="G97" s="25"/>
      <c r="H97" s="25"/>
      <c r="I97" s="25"/>
      <c r="J97" s="25"/>
      <c r="K97" s="25"/>
    </row>
    <row r="98" spans="1:11" x14ac:dyDescent="0.25">
      <c r="A98" s="25"/>
      <c r="B98" s="25"/>
      <c r="C98" s="25"/>
      <c r="D98" s="25"/>
      <c r="E98" s="25"/>
      <c r="F98" s="25"/>
      <c r="G98" s="25"/>
      <c r="H98" s="25"/>
      <c r="I98" s="25"/>
      <c r="J98" s="25"/>
      <c r="K98" s="25"/>
    </row>
    <row r="99" spans="1:11" x14ac:dyDescent="0.25">
      <c r="A99" s="25"/>
      <c r="B99" s="25"/>
      <c r="C99" s="25"/>
      <c r="D99" s="25"/>
      <c r="E99" s="25"/>
      <c r="F99" s="25"/>
      <c r="G99" s="25"/>
      <c r="H99" s="25"/>
      <c r="I99" s="25"/>
      <c r="J99" s="25"/>
      <c r="K99" s="25"/>
    </row>
    <row r="100" spans="1:11" x14ac:dyDescent="0.25">
      <c r="A100" s="25"/>
      <c r="B100" s="25"/>
      <c r="C100" s="25"/>
      <c r="D100" s="25"/>
      <c r="E100" s="25"/>
      <c r="F100" s="25"/>
      <c r="G100" s="25"/>
      <c r="H100" s="25"/>
      <c r="I100" s="25"/>
      <c r="J100" s="25"/>
      <c r="K100" s="25"/>
    </row>
    <row r="101" spans="1:11" x14ac:dyDescent="0.25">
      <c r="A101" s="25"/>
      <c r="B101" s="25"/>
      <c r="C101" s="25"/>
      <c r="D101" s="25"/>
      <c r="E101" s="25"/>
      <c r="F101" s="25"/>
      <c r="G101" s="25"/>
      <c r="H101" s="25"/>
      <c r="I101" s="25"/>
      <c r="J101" s="25"/>
      <c r="K101" s="25"/>
    </row>
    <row r="102" spans="1:11" x14ac:dyDescent="0.25">
      <c r="A102" s="25"/>
      <c r="B102" s="25"/>
      <c r="C102" s="25"/>
      <c r="D102" s="25"/>
      <c r="E102" s="25"/>
      <c r="F102" s="25"/>
      <c r="G102" s="25"/>
      <c r="H102" s="25"/>
      <c r="I102" s="25"/>
      <c r="J102" s="25"/>
      <c r="K102" s="25"/>
    </row>
    <row r="103" spans="1:11" x14ac:dyDescent="0.25">
      <c r="A103" s="25"/>
      <c r="B103" s="25"/>
      <c r="C103" s="25"/>
      <c r="D103" s="25"/>
      <c r="E103" s="25"/>
      <c r="F103" s="25"/>
      <c r="G103" s="25"/>
      <c r="H103" s="25"/>
      <c r="I103" s="25"/>
      <c r="J103" s="25"/>
      <c r="K103" s="25"/>
    </row>
    <row r="104" spans="1:11" x14ac:dyDescent="0.25">
      <c r="A104" s="25"/>
      <c r="B104" s="25"/>
      <c r="C104" s="25"/>
      <c r="D104" s="25"/>
      <c r="E104" s="25"/>
      <c r="F104" s="25"/>
      <c r="G104" s="25"/>
      <c r="H104" s="25"/>
      <c r="I104" s="25"/>
      <c r="J104" s="25"/>
      <c r="K104" s="25"/>
    </row>
    <row r="105" spans="1:11" x14ac:dyDescent="0.25">
      <c r="A105" s="25"/>
      <c r="B105" s="25"/>
      <c r="C105" s="25"/>
      <c r="D105" s="25"/>
      <c r="E105" s="25"/>
      <c r="F105" s="25"/>
      <c r="G105" s="25"/>
      <c r="H105" s="25"/>
      <c r="I105" s="25"/>
      <c r="J105" s="25"/>
      <c r="K105" s="25"/>
    </row>
    <row r="106" spans="1:11" x14ac:dyDescent="0.25">
      <c r="A106" s="25"/>
      <c r="B106" s="25"/>
      <c r="C106" s="25"/>
      <c r="D106" s="25"/>
      <c r="E106" s="25"/>
      <c r="F106" s="25"/>
      <c r="G106" s="25"/>
      <c r="H106" s="25"/>
      <c r="I106" s="25"/>
      <c r="J106" s="25"/>
      <c r="K106" s="25"/>
    </row>
    <row r="107" spans="1:11" x14ac:dyDescent="0.25">
      <c r="A107" s="25"/>
      <c r="B107" s="25"/>
      <c r="C107" s="25"/>
      <c r="D107" s="25"/>
      <c r="E107" s="25"/>
      <c r="F107" s="25"/>
      <c r="G107" s="25"/>
      <c r="H107" s="25"/>
      <c r="I107" s="25"/>
      <c r="J107" s="25"/>
      <c r="K107" s="25"/>
    </row>
    <row r="108" spans="1:11" x14ac:dyDescent="0.25">
      <c r="A108" s="25"/>
      <c r="B108" s="25"/>
      <c r="C108" s="25"/>
      <c r="D108" s="25"/>
      <c r="E108" s="25"/>
      <c r="F108" s="25"/>
      <c r="G108" s="25"/>
      <c r="H108" s="25"/>
      <c r="I108" s="25"/>
      <c r="J108" s="25"/>
      <c r="K108" s="25"/>
    </row>
    <row r="109" spans="1:11" x14ac:dyDescent="0.25">
      <c r="A109" s="25"/>
      <c r="B109" s="25"/>
      <c r="C109" s="25"/>
      <c r="D109" s="25"/>
      <c r="E109" s="25"/>
      <c r="F109" s="25"/>
      <c r="G109" s="25"/>
      <c r="H109" s="25"/>
      <c r="I109" s="25"/>
      <c r="J109" s="25"/>
      <c r="K109" s="25"/>
    </row>
    <row r="110" spans="1:11" x14ac:dyDescent="0.25">
      <c r="A110" s="25"/>
      <c r="B110" s="25"/>
      <c r="C110" s="25"/>
      <c r="D110" s="25"/>
      <c r="E110" s="25"/>
      <c r="F110" s="25"/>
      <c r="G110" s="25"/>
      <c r="H110" s="25"/>
      <c r="I110" s="25"/>
      <c r="J110" s="25"/>
      <c r="K110" s="25"/>
    </row>
    <row r="111" spans="1:11" x14ac:dyDescent="0.25">
      <c r="A111" s="25"/>
      <c r="B111" s="25"/>
      <c r="C111" s="25"/>
      <c r="D111" s="25"/>
      <c r="E111" s="25"/>
      <c r="F111" s="25"/>
      <c r="G111" s="25"/>
      <c r="H111" s="25"/>
      <c r="I111" s="25"/>
      <c r="J111" s="25"/>
      <c r="K111" s="25"/>
    </row>
    <row r="112" spans="1:11" x14ac:dyDescent="0.25">
      <c r="A112" s="25"/>
      <c r="B112" s="25"/>
      <c r="C112" s="25"/>
      <c r="D112" s="25"/>
      <c r="E112" s="25"/>
      <c r="F112" s="25"/>
      <c r="G112" s="25"/>
      <c r="H112" s="25"/>
      <c r="I112" s="25"/>
      <c r="J112" s="25"/>
      <c r="K112" s="25"/>
    </row>
    <row r="113" spans="1:11" x14ac:dyDescent="0.25">
      <c r="A113" s="25"/>
      <c r="B113" s="25"/>
      <c r="C113" s="25"/>
      <c r="D113" s="25"/>
      <c r="E113" s="25"/>
      <c r="F113" s="25"/>
      <c r="G113" s="25"/>
      <c r="H113" s="25"/>
      <c r="I113" s="25"/>
      <c r="J113" s="25"/>
      <c r="K113" s="25"/>
    </row>
    <row r="114" spans="1:11" x14ac:dyDescent="0.25">
      <c r="A114" s="25"/>
      <c r="B114" s="25"/>
      <c r="C114" s="25"/>
      <c r="D114" s="25"/>
      <c r="E114" s="25"/>
      <c r="F114" s="25"/>
      <c r="G114" s="25"/>
      <c r="H114" s="25"/>
      <c r="I114" s="25"/>
      <c r="J114" s="25"/>
      <c r="K114" s="25"/>
    </row>
    <row r="115" spans="1:11" x14ac:dyDescent="0.25">
      <c r="A115" s="25"/>
      <c r="B115" s="25"/>
      <c r="C115" s="25"/>
      <c r="D115" s="25"/>
      <c r="E115" s="25"/>
      <c r="F115" s="25"/>
      <c r="G115" s="25"/>
      <c r="H115" s="25"/>
      <c r="I115" s="25"/>
      <c r="J115" s="25"/>
      <c r="K115" s="25"/>
    </row>
    <row r="116" spans="1:11" x14ac:dyDescent="0.25">
      <c r="A116" s="25"/>
      <c r="B116" s="25"/>
      <c r="C116" s="25"/>
      <c r="D116" s="25"/>
      <c r="E116" s="25"/>
      <c r="F116" s="25"/>
      <c r="G116" s="25"/>
      <c r="H116" s="25"/>
      <c r="I116" s="25"/>
      <c r="J116" s="25"/>
      <c r="K116" s="25"/>
    </row>
    <row r="117" spans="1:11" x14ac:dyDescent="0.25">
      <c r="A117" s="25"/>
      <c r="B117" s="25"/>
      <c r="C117" s="25"/>
      <c r="D117" s="25"/>
      <c r="E117" s="25"/>
      <c r="F117" s="25"/>
      <c r="G117" s="25"/>
      <c r="H117" s="25"/>
      <c r="I117" s="25"/>
      <c r="J117" s="25"/>
      <c r="K117" s="25"/>
    </row>
    <row r="118" spans="1:11" x14ac:dyDescent="0.25">
      <c r="A118" s="25"/>
      <c r="B118" s="25"/>
      <c r="C118" s="25"/>
      <c r="D118" s="25"/>
      <c r="E118" s="25"/>
      <c r="F118" s="25"/>
      <c r="G118" s="25"/>
      <c r="H118" s="25"/>
      <c r="I118" s="25"/>
      <c r="J118" s="25"/>
      <c r="K118" s="25"/>
    </row>
    <row r="119" spans="1:11" x14ac:dyDescent="0.25">
      <c r="A119" s="25"/>
      <c r="B119" s="25"/>
      <c r="C119" s="25"/>
      <c r="D119" s="25"/>
      <c r="E119" s="25"/>
      <c r="F119" s="25"/>
      <c r="G119" s="25"/>
      <c r="H119" s="25"/>
      <c r="I119" s="25"/>
      <c r="J119" s="25"/>
      <c r="K119" s="25"/>
    </row>
    <row r="120" spans="1:11" x14ac:dyDescent="0.25">
      <c r="A120" s="25"/>
      <c r="B120" s="25"/>
      <c r="C120" s="25"/>
      <c r="D120" s="25"/>
      <c r="E120" s="25"/>
      <c r="F120" s="25"/>
      <c r="G120" s="25"/>
      <c r="H120" s="25"/>
      <c r="I120" s="25"/>
      <c r="J120" s="25"/>
      <c r="K120" s="25"/>
    </row>
    <row r="121" spans="1:11" x14ac:dyDescent="0.25">
      <c r="A121" s="25"/>
      <c r="B121" s="25"/>
      <c r="C121" s="25"/>
      <c r="D121" s="25"/>
      <c r="E121" s="25"/>
      <c r="F121" s="25"/>
      <c r="G121" s="25"/>
      <c r="H121" s="25"/>
      <c r="I121" s="25"/>
      <c r="J121" s="25"/>
      <c r="K121" s="25"/>
    </row>
    <row r="122" spans="1:11" x14ac:dyDescent="0.25">
      <c r="A122" s="25"/>
      <c r="B122" s="25"/>
      <c r="C122" s="25"/>
      <c r="D122" s="25"/>
      <c r="E122" s="25"/>
      <c r="F122" s="25"/>
      <c r="G122" s="25"/>
      <c r="H122" s="25"/>
      <c r="I122" s="25"/>
      <c r="J122" s="25"/>
      <c r="K122" s="25"/>
    </row>
    <row r="123" spans="1:11" x14ac:dyDescent="0.25">
      <c r="A123" s="25"/>
      <c r="B123" s="25"/>
      <c r="C123" s="25"/>
      <c r="D123" s="25"/>
      <c r="E123" s="25"/>
      <c r="F123" s="25"/>
      <c r="G123" s="25"/>
      <c r="H123" s="25"/>
      <c r="I123" s="25"/>
      <c r="J123" s="25"/>
      <c r="K123" s="25"/>
    </row>
    <row r="124" spans="1:11" x14ac:dyDescent="0.25">
      <c r="A124" s="25"/>
      <c r="B124" s="25"/>
      <c r="C124" s="25"/>
      <c r="D124" s="25"/>
      <c r="E124" s="25"/>
      <c r="F124" s="25"/>
      <c r="G124" s="25"/>
      <c r="H124" s="25"/>
      <c r="I124" s="25"/>
      <c r="J124" s="25"/>
      <c r="K124" s="25"/>
    </row>
    <row r="125" spans="1:11" x14ac:dyDescent="0.25">
      <c r="A125" s="25"/>
      <c r="B125" s="25"/>
      <c r="C125" s="25"/>
      <c r="D125" s="25"/>
      <c r="E125" s="25"/>
      <c r="F125" s="25"/>
      <c r="G125" s="25"/>
      <c r="H125" s="25"/>
      <c r="I125" s="25"/>
      <c r="J125" s="25"/>
      <c r="K125" s="25"/>
    </row>
    <row r="126" spans="1:11" x14ac:dyDescent="0.25">
      <c r="A126" s="25"/>
      <c r="B126" s="25"/>
      <c r="C126" s="25"/>
      <c r="D126" s="25"/>
      <c r="E126" s="25"/>
      <c r="F126" s="25"/>
      <c r="G126" s="25"/>
      <c r="H126" s="25"/>
      <c r="I126" s="25"/>
      <c r="J126" s="25"/>
      <c r="K126" s="25"/>
    </row>
    <row r="127" spans="1:11" x14ac:dyDescent="0.25">
      <c r="A127" s="25"/>
      <c r="B127" s="25"/>
      <c r="C127" s="25"/>
      <c r="D127" s="25"/>
      <c r="E127" s="25"/>
      <c r="F127" s="25"/>
      <c r="G127" s="25"/>
      <c r="H127" s="25"/>
      <c r="I127" s="25"/>
      <c r="J127" s="25"/>
      <c r="K127" s="25"/>
    </row>
    <row r="128" spans="1:11" x14ac:dyDescent="0.25">
      <c r="A128" s="25"/>
      <c r="B128" s="25"/>
      <c r="C128" s="25"/>
      <c r="D128" s="25"/>
      <c r="E128" s="25"/>
      <c r="F128" s="25"/>
      <c r="G128" s="25"/>
      <c r="H128" s="25"/>
      <c r="I128" s="25"/>
      <c r="J128" s="25"/>
      <c r="K128" s="25"/>
    </row>
    <row r="129" spans="1:11" x14ac:dyDescent="0.25">
      <c r="A129" s="25"/>
      <c r="B129" s="25"/>
      <c r="C129" s="25"/>
      <c r="D129" s="25"/>
      <c r="E129" s="25"/>
      <c r="F129" s="25"/>
      <c r="G129" s="25"/>
      <c r="H129" s="25"/>
      <c r="I129" s="25"/>
      <c r="J129" s="25"/>
      <c r="K129" s="25"/>
    </row>
    <row r="130" spans="1:11" x14ac:dyDescent="0.25">
      <c r="A130" s="25"/>
      <c r="B130" s="25"/>
      <c r="C130" s="25"/>
      <c r="D130" s="25"/>
      <c r="E130" s="25"/>
      <c r="F130" s="25"/>
      <c r="G130" s="25"/>
      <c r="H130" s="25"/>
      <c r="I130" s="25"/>
      <c r="J130" s="25"/>
      <c r="K130" s="25"/>
    </row>
    <row r="131" spans="1:11" x14ac:dyDescent="0.25">
      <c r="A131" s="25"/>
      <c r="B131" s="25"/>
      <c r="C131" s="25"/>
      <c r="D131" s="25"/>
      <c r="E131" s="25"/>
      <c r="F131" s="25"/>
      <c r="G131" s="25"/>
      <c r="H131" s="25"/>
      <c r="I131" s="25"/>
      <c r="J131" s="25"/>
      <c r="K131" s="25"/>
    </row>
    <row r="132" spans="1:11" x14ac:dyDescent="0.25">
      <c r="A132" s="25"/>
      <c r="B132" s="25"/>
      <c r="C132" s="25"/>
      <c r="D132" s="25"/>
      <c r="E132" s="25"/>
      <c r="F132" s="25"/>
      <c r="G132" s="25"/>
      <c r="H132" s="25"/>
      <c r="I132" s="25"/>
      <c r="J132" s="25"/>
      <c r="K132" s="25"/>
    </row>
    <row r="133" spans="1:11" x14ac:dyDescent="0.25">
      <c r="A133" s="25"/>
      <c r="B133" s="25"/>
      <c r="C133" s="25"/>
      <c r="D133" s="25"/>
      <c r="E133" s="25"/>
      <c r="F133" s="25"/>
      <c r="G133" s="25"/>
      <c r="H133" s="25"/>
      <c r="I133" s="25"/>
      <c r="J133" s="25"/>
      <c r="K133" s="25"/>
    </row>
    <row r="134" spans="1:11" x14ac:dyDescent="0.25">
      <c r="A134" s="25"/>
      <c r="B134" s="25"/>
      <c r="C134" s="25"/>
      <c r="D134" s="25"/>
      <c r="E134" s="25"/>
      <c r="F134" s="25"/>
      <c r="G134" s="25"/>
      <c r="H134" s="25"/>
      <c r="I134" s="25"/>
      <c r="J134" s="25"/>
      <c r="K134" s="25"/>
    </row>
    <row r="135" spans="1:11" x14ac:dyDescent="0.25">
      <c r="A135" s="25"/>
      <c r="B135" s="25"/>
      <c r="C135" s="25"/>
      <c r="D135" s="25"/>
      <c r="E135" s="25"/>
      <c r="F135" s="25"/>
      <c r="G135" s="25"/>
      <c r="H135" s="25"/>
      <c r="I135" s="25"/>
      <c r="J135" s="25"/>
      <c r="K135" s="25"/>
    </row>
    <row r="136" spans="1:11" x14ac:dyDescent="0.25">
      <c r="A136" s="25"/>
      <c r="B136" s="25"/>
      <c r="C136" s="25"/>
      <c r="D136" s="25"/>
      <c r="E136" s="25"/>
      <c r="F136" s="25"/>
      <c r="G136" s="25"/>
      <c r="H136" s="25"/>
      <c r="I136" s="25"/>
      <c r="J136" s="25"/>
      <c r="K136" s="25"/>
    </row>
    <row r="137" spans="1:11" x14ac:dyDescent="0.25">
      <c r="A137" s="25"/>
      <c r="B137" s="25"/>
      <c r="C137" s="25"/>
      <c r="D137" s="25"/>
      <c r="E137" s="25"/>
      <c r="F137" s="25"/>
      <c r="G137" s="25"/>
      <c r="H137" s="25"/>
      <c r="I137" s="25"/>
      <c r="J137" s="25"/>
      <c r="K137" s="25"/>
    </row>
    <row r="138" spans="1:11" x14ac:dyDescent="0.25">
      <c r="A138" s="25"/>
      <c r="B138" s="25"/>
      <c r="C138" s="25"/>
      <c r="D138" s="25"/>
      <c r="E138" s="25"/>
      <c r="F138" s="25"/>
      <c r="G138" s="25"/>
      <c r="H138" s="25"/>
      <c r="I138" s="25"/>
      <c r="J138" s="25"/>
      <c r="K138" s="25"/>
    </row>
    <row r="139" spans="1:11" x14ac:dyDescent="0.25">
      <c r="A139" s="25"/>
      <c r="B139" s="25"/>
      <c r="C139" s="25"/>
      <c r="D139" s="25"/>
      <c r="E139" s="25"/>
      <c r="F139" s="25"/>
      <c r="G139" s="25"/>
      <c r="H139" s="25"/>
      <c r="I139" s="25"/>
      <c r="J139" s="25"/>
      <c r="K139" s="25"/>
    </row>
    <row r="140" spans="1:11" x14ac:dyDescent="0.25">
      <c r="A140" s="25"/>
      <c r="B140" s="25"/>
      <c r="C140" s="25"/>
      <c r="D140" s="25"/>
      <c r="E140" s="25"/>
      <c r="F140" s="25"/>
      <c r="G140" s="25"/>
      <c r="H140" s="25"/>
      <c r="I140" s="25"/>
      <c r="J140" s="25"/>
      <c r="K140" s="25"/>
    </row>
    <row r="141" spans="1:11" x14ac:dyDescent="0.25">
      <c r="A141" s="25"/>
      <c r="B141" s="25"/>
      <c r="C141" s="25"/>
      <c r="D141" s="25"/>
      <c r="E141" s="25"/>
      <c r="F141" s="25"/>
      <c r="G141" s="25"/>
      <c r="H141" s="25"/>
      <c r="I141" s="25"/>
      <c r="J141" s="25"/>
      <c r="K141" s="25"/>
    </row>
    <row r="142" spans="1:11" x14ac:dyDescent="0.25">
      <c r="A142" s="25"/>
      <c r="B142" s="25"/>
      <c r="C142" s="25"/>
      <c r="D142" s="25"/>
      <c r="E142" s="25"/>
      <c r="F142" s="25"/>
      <c r="G142" s="25"/>
      <c r="H142" s="25"/>
      <c r="I142" s="25"/>
      <c r="J142" s="25"/>
      <c r="K142" s="25"/>
    </row>
    <row r="143" spans="1:11" x14ac:dyDescent="0.25">
      <c r="A143" s="25"/>
      <c r="B143" s="25"/>
      <c r="C143" s="25"/>
      <c r="D143" s="25"/>
      <c r="E143" s="25"/>
      <c r="F143" s="25"/>
      <c r="G143" s="25"/>
      <c r="H143" s="25"/>
      <c r="I143" s="25"/>
      <c r="J143" s="25"/>
      <c r="K143" s="25"/>
    </row>
    <row r="144" spans="1:11" x14ac:dyDescent="0.25">
      <c r="A144" s="25"/>
      <c r="B144" s="25"/>
      <c r="C144" s="25"/>
      <c r="D144" s="25"/>
      <c r="E144" s="25"/>
      <c r="F144" s="25"/>
      <c r="G144" s="25"/>
      <c r="H144" s="25"/>
      <c r="I144" s="25"/>
      <c r="J144" s="25"/>
      <c r="K144" s="25"/>
    </row>
    <row r="145" spans="1:11" x14ac:dyDescent="0.25">
      <c r="A145" s="25"/>
      <c r="B145" s="25"/>
      <c r="C145" s="25"/>
      <c r="D145" s="25"/>
      <c r="E145" s="25"/>
      <c r="F145" s="25"/>
      <c r="G145" s="25"/>
      <c r="H145" s="25"/>
      <c r="I145" s="25"/>
      <c r="J145" s="25"/>
      <c r="K145" s="25"/>
    </row>
    <row r="146" spans="1:11" x14ac:dyDescent="0.25">
      <c r="A146" s="25"/>
      <c r="B146" s="25"/>
      <c r="C146" s="25"/>
      <c r="D146" s="25"/>
      <c r="E146" s="25"/>
      <c r="F146" s="25"/>
      <c r="G146" s="25"/>
      <c r="H146" s="25"/>
      <c r="I146" s="25"/>
      <c r="J146" s="25"/>
      <c r="K146" s="25"/>
    </row>
    <row r="147" spans="1:11" x14ac:dyDescent="0.25">
      <c r="A147" s="25"/>
      <c r="B147" s="25"/>
      <c r="C147" s="25"/>
      <c r="D147" s="25"/>
      <c r="E147" s="25"/>
      <c r="F147" s="25"/>
      <c r="G147" s="25"/>
      <c r="H147" s="25"/>
      <c r="I147" s="25"/>
      <c r="J147" s="25"/>
      <c r="K147" s="25"/>
    </row>
    <row r="148" spans="1:11" x14ac:dyDescent="0.25">
      <c r="A148" s="25"/>
      <c r="B148" s="25"/>
      <c r="C148" s="25"/>
      <c r="D148" s="25"/>
      <c r="E148" s="25"/>
      <c r="F148" s="25"/>
      <c r="G148" s="25"/>
      <c r="H148" s="25"/>
      <c r="I148" s="25"/>
      <c r="J148" s="25"/>
      <c r="K148" s="25"/>
    </row>
    <row r="149" spans="1:11" x14ac:dyDescent="0.25">
      <c r="A149" s="25"/>
      <c r="B149" s="25"/>
      <c r="C149" s="25"/>
      <c r="D149" s="25"/>
      <c r="E149" s="25"/>
      <c r="F149" s="25"/>
      <c r="G149" s="25"/>
      <c r="H149" s="25"/>
      <c r="I149" s="25"/>
      <c r="J149" s="25"/>
      <c r="K149" s="25"/>
    </row>
    <row r="150" spans="1:11" x14ac:dyDescent="0.25">
      <c r="A150" s="25"/>
      <c r="B150" s="25"/>
      <c r="C150" s="25"/>
      <c r="D150" s="25"/>
      <c r="E150" s="25"/>
      <c r="F150" s="25"/>
      <c r="G150" s="25"/>
      <c r="H150" s="25"/>
      <c r="I150" s="25"/>
      <c r="J150" s="25"/>
      <c r="K150" s="25"/>
    </row>
    <row r="151" spans="1:11" x14ac:dyDescent="0.25">
      <c r="A151" s="25"/>
      <c r="B151" s="25"/>
      <c r="C151" s="25"/>
      <c r="D151" s="25"/>
      <c r="E151" s="25"/>
      <c r="F151" s="25"/>
      <c r="G151" s="25"/>
      <c r="H151" s="25"/>
      <c r="I151" s="25"/>
      <c r="J151" s="25"/>
      <c r="K151" s="25"/>
    </row>
    <row r="152" spans="1:11" x14ac:dyDescent="0.25">
      <c r="A152" s="25"/>
      <c r="B152" s="25"/>
      <c r="C152" s="25"/>
      <c r="D152" s="25"/>
      <c r="E152" s="25"/>
      <c r="F152" s="25"/>
      <c r="G152" s="25"/>
      <c r="H152" s="25"/>
      <c r="I152" s="25"/>
      <c r="J152" s="25"/>
      <c r="K152" s="25"/>
    </row>
    <row r="153" spans="1:11" x14ac:dyDescent="0.25">
      <c r="A153" s="25"/>
      <c r="B153" s="25"/>
      <c r="C153" s="25"/>
      <c r="D153" s="25"/>
      <c r="E153" s="25"/>
      <c r="F153" s="25"/>
      <c r="G153" s="25"/>
      <c r="H153" s="25"/>
      <c r="I153" s="25"/>
      <c r="J153" s="25"/>
      <c r="K153" s="25"/>
    </row>
    <row r="154" spans="1:11" x14ac:dyDescent="0.25">
      <c r="A154" s="25"/>
      <c r="B154" s="25"/>
      <c r="C154" s="25"/>
      <c r="D154" s="25"/>
      <c r="E154" s="25"/>
      <c r="F154" s="25"/>
      <c r="G154" s="25"/>
      <c r="H154" s="25"/>
      <c r="I154" s="25"/>
      <c r="J154" s="25"/>
      <c r="K154" s="25"/>
    </row>
    <row r="155" spans="1:11" x14ac:dyDescent="0.25">
      <c r="A155" s="25"/>
      <c r="B155" s="25"/>
      <c r="C155" s="25"/>
      <c r="D155" s="25"/>
      <c r="E155" s="25"/>
      <c r="F155" s="25"/>
      <c r="G155" s="25"/>
      <c r="H155" s="25"/>
      <c r="I155" s="25"/>
      <c r="J155" s="25"/>
      <c r="K155" s="25"/>
    </row>
    <row r="156" spans="1:11" x14ac:dyDescent="0.25">
      <c r="A156" s="25"/>
      <c r="B156" s="25"/>
      <c r="C156" s="25"/>
      <c r="D156" s="25"/>
      <c r="E156" s="25"/>
      <c r="F156" s="25"/>
      <c r="G156" s="25"/>
      <c r="H156" s="25"/>
      <c r="I156" s="25"/>
      <c r="J156" s="25"/>
      <c r="K156" s="25"/>
    </row>
    <row r="157" spans="1:11" x14ac:dyDescent="0.25">
      <c r="A157" s="25"/>
      <c r="B157" s="25"/>
      <c r="C157" s="25"/>
      <c r="D157" s="25"/>
      <c r="E157" s="25"/>
      <c r="F157" s="25"/>
      <c r="G157" s="25"/>
      <c r="H157" s="25"/>
      <c r="I157" s="25"/>
      <c r="J157" s="25"/>
      <c r="K157" s="25"/>
    </row>
    <row r="158" spans="1:11" x14ac:dyDescent="0.25">
      <c r="A158" s="25"/>
      <c r="B158" s="25"/>
      <c r="C158" s="25"/>
      <c r="D158" s="25"/>
      <c r="E158" s="25"/>
      <c r="F158" s="25"/>
      <c r="G158" s="25"/>
      <c r="H158" s="25"/>
      <c r="I158" s="25"/>
      <c r="J158" s="25"/>
      <c r="K158" s="25"/>
    </row>
    <row r="159" spans="1:11" x14ac:dyDescent="0.25">
      <c r="A159" s="25"/>
      <c r="B159" s="25"/>
      <c r="C159" s="25"/>
      <c r="D159" s="25"/>
      <c r="E159" s="25"/>
      <c r="F159" s="25"/>
      <c r="G159" s="25"/>
      <c r="H159" s="25"/>
      <c r="I159" s="25"/>
      <c r="J159" s="25"/>
      <c r="K159" s="25"/>
    </row>
    <row r="160" spans="1:11" x14ac:dyDescent="0.25">
      <c r="A160" s="25"/>
      <c r="B160" s="25"/>
      <c r="C160" s="25"/>
      <c r="D160" s="25"/>
      <c r="E160" s="25"/>
      <c r="F160" s="25"/>
      <c r="G160" s="25"/>
      <c r="H160" s="25"/>
      <c r="I160" s="25"/>
      <c r="J160" s="25"/>
      <c r="K160" s="25"/>
    </row>
    <row r="161" spans="1:11" x14ac:dyDescent="0.25">
      <c r="A161" s="25"/>
      <c r="B161" s="25"/>
      <c r="C161" s="25"/>
      <c r="D161" s="25"/>
      <c r="E161" s="25"/>
      <c r="F161" s="25"/>
      <c r="G161" s="25"/>
      <c r="H161" s="25"/>
      <c r="I161" s="25"/>
      <c r="J161" s="25"/>
      <c r="K161" s="25"/>
    </row>
    <row r="162" spans="1:11" x14ac:dyDescent="0.25">
      <c r="A162" s="25"/>
      <c r="B162" s="25"/>
      <c r="C162" s="25"/>
      <c r="D162" s="25"/>
      <c r="E162" s="25"/>
      <c r="F162" s="25"/>
      <c r="G162" s="25"/>
      <c r="H162" s="25"/>
      <c r="I162" s="25"/>
      <c r="J162" s="25"/>
      <c r="K162" s="25"/>
    </row>
    <row r="163" spans="1:11" x14ac:dyDescent="0.25">
      <c r="A163" s="25"/>
      <c r="B163" s="25"/>
      <c r="C163" s="25"/>
      <c r="D163" s="25"/>
      <c r="E163" s="25"/>
      <c r="F163" s="25"/>
      <c r="G163" s="25"/>
      <c r="H163" s="25"/>
      <c r="I163" s="25"/>
      <c r="J163" s="25"/>
      <c r="K163" s="25"/>
    </row>
    <row r="164" spans="1:11" x14ac:dyDescent="0.25">
      <c r="A164" s="25"/>
      <c r="B164" s="25"/>
      <c r="C164" s="25"/>
      <c r="D164" s="25"/>
      <c r="E164" s="25"/>
      <c r="F164" s="25"/>
      <c r="G164" s="25"/>
      <c r="H164" s="25"/>
      <c r="I164" s="25"/>
      <c r="J164" s="25"/>
      <c r="K164" s="25"/>
    </row>
    <row r="165" spans="1:11" x14ac:dyDescent="0.25">
      <c r="A165" s="25"/>
      <c r="B165" s="25"/>
      <c r="C165" s="25"/>
      <c r="D165" s="25"/>
      <c r="E165" s="25"/>
      <c r="F165" s="25"/>
      <c r="G165" s="25"/>
      <c r="H165" s="25"/>
      <c r="I165" s="25"/>
      <c r="J165" s="25"/>
      <c r="K165" s="25"/>
    </row>
    <row r="166" spans="1:11" x14ac:dyDescent="0.25">
      <c r="A166" s="25"/>
      <c r="B166" s="25"/>
      <c r="C166" s="25"/>
      <c r="D166" s="25"/>
      <c r="E166" s="25"/>
      <c r="F166" s="25"/>
      <c r="G166" s="25"/>
      <c r="H166" s="25"/>
      <c r="I166" s="25"/>
      <c r="J166" s="25"/>
      <c r="K166" s="25"/>
    </row>
    <row r="167" spans="1:11" x14ac:dyDescent="0.25">
      <c r="A167" s="25"/>
      <c r="B167" s="25"/>
      <c r="C167" s="25"/>
      <c r="D167" s="25"/>
      <c r="E167" s="25"/>
      <c r="F167" s="25"/>
      <c r="G167" s="25"/>
      <c r="H167" s="25"/>
      <c r="I167" s="25"/>
      <c r="J167" s="25"/>
      <c r="K167" s="25"/>
    </row>
    <row r="168" spans="1:11" x14ac:dyDescent="0.25">
      <c r="A168" s="25"/>
      <c r="B168" s="25"/>
      <c r="C168" s="25"/>
      <c r="D168" s="25"/>
      <c r="E168" s="25"/>
      <c r="F168" s="25"/>
      <c r="G168" s="25"/>
      <c r="H168" s="25"/>
      <c r="I168" s="25"/>
      <c r="J168" s="25"/>
      <c r="K168" s="25"/>
    </row>
    <row r="169" spans="1:11" x14ac:dyDescent="0.25">
      <c r="A169" s="25"/>
      <c r="B169" s="25"/>
      <c r="C169" s="25"/>
      <c r="D169" s="25"/>
      <c r="E169" s="25"/>
      <c r="F169" s="25"/>
      <c r="G169" s="25"/>
      <c r="H169" s="25"/>
      <c r="I169" s="25"/>
      <c r="J169" s="25"/>
      <c r="K169" s="25"/>
    </row>
    <row r="170" spans="1:11" x14ac:dyDescent="0.25">
      <c r="A170" s="25"/>
      <c r="B170" s="25"/>
      <c r="C170" s="25"/>
      <c r="D170" s="25"/>
      <c r="E170" s="25"/>
      <c r="F170" s="25"/>
      <c r="G170" s="25"/>
      <c r="H170" s="25"/>
      <c r="I170" s="25"/>
      <c r="J170" s="25"/>
      <c r="K170" s="25"/>
    </row>
    <row r="171" spans="1:11" x14ac:dyDescent="0.25">
      <c r="A171" s="25"/>
      <c r="B171" s="25"/>
      <c r="C171" s="25"/>
      <c r="D171" s="25"/>
      <c r="E171" s="25"/>
      <c r="F171" s="25"/>
      <c r="G171" s="25"/>
      <c r="H171" s="25"/>
      <c r="I171" s="25"/>
      <c r="J171" s="25"/>
      <c r="K171" s="25"/>
    </row>
    <row r="172" spans="1:11" x14ac:dyDescent="0.25">
      <c r="A172" s="25"/>
      <c r="B172" s="25"/>
      <c r="C172" s="25"/>
      <c r="D172" s="25"/>
      <c r="E172" s="25"/>
      <c r="F172" s="25"/>
      <c r="G172" s="25"/>
      <c r="H172" s="25"/>
      <c r="I172" s="25"/>
      <c r="J172" s="25"/>
      <c r="K172" s="25"/>
    </row>
    <row r="173" spans="1:11" x14ac:dyDescent="0.25">
      <c r="A173" s="25"/>
      <c r="B173" s="25"/>
      <c r="C173" s="25"/>
      <c r="D173" s="25"/>
      <c r="E173" s="25"/>
      <c r="F173" s="25"/>
      <c r="G173" s="25"/>
      <c r="H173" s="25"/>
      <c r="I173" s="25"/>
      <c r="J173" s="25"/>
      <c r="K173" s="25"/>
    </row>
    <row r="174" spans="1:11" x14ac:dyDescent="0.25">
      <c r="A174" s="25"/>
      <c r="B174" s="25"/>
      <c r="C174" s="25"/>
      <c r="D174" s="25"/>
      <c r="E174" s="25"/>
      <c r="F174" s="25"/>
      <c r="G174" s="25"/>
      <c r="H174" s="25"/>
      <c r="I174" s="25"/>
      <c r="J174" s="25"/>
      <c r="K174" s="25"/>
    </row>
    <row r="175" spans="1:11" x14ac:dyDescent="0.25">
      <c r="A175" s="25"/>
      <c r="B175" s="25"/>
      <c r="C175" s="25"/>
      <c r="D175" s="25"/>
      <c r="E175" s="25"/>
      <c r="F175" s="25"/>
      <c r="G175" s="25"/>
      <c r="H175" s="25"/>
      <c r="I175" s="25"/>
      <c r="J175" s="25"/>
      <c r="K175" s="25"/>
    </row>
    <row r="176" spans="1:11" x14ac:dyDescent="0.25">
      <c r="A176" s="25"/>
      <c r="B176" s="25"/>
      <c r="C176" s="25"/>
      <c r="D176" s="25"/>
      <c r="E176" s="25"/>
      <c r="F176" s="25"/>
      <c r="G176" s="25"/>
      <c r="H176" s="25"/>
      <c r="I176" s="25"/>
      <c r="J176" s="25"/>
      <c r="K176" s="25"/>
    </row>
    <row r="177" spans="1:11" x14ac:dyDescent="0.25">
      <c r="A177" s="25"/>
      <c r="B177" s="25"/>
      <c r="C177" s="25"/>
      <c r="D177" s="25"/>
      <c r="E177" s="25"/>
      <c r="F177" s="25"/>
      <c r="G177" s="25"/>
      <c r="H177" s="25"/>
      <c r="I177" s="25"/>
      <c r="J177" s="25"/>
      <c r="K177" s="25"/>
    </row>
    <row r="178" spans="1:11" x14ac:dyDescent="0.25">
      <c r="A178" s="25"/>
      <c r="B178" s="25"/>
      <c r="C178" s="25"/>
      <c r="D178" s="25"/>
      <c r="E178" s="25"/>
      <c r="F178" s="25"/>
      <c r="G178" s="25"/>
      <c r="H178" s="25"/>
      <c r="I178" s="25"/>
      <c r="J178" s="25"/>
      <c r="K178" s="25"/>
    </row>
    <row r="179" spans="1:11" x14ac:dyDescent="0.25">
      <c r="A179" s="25"/>
      <c r="B179" s="25"/>
      <c r="C179" s="25"/>
      <c r="D179" s="25"/>
      <c r="E179" s="25"/>
      <c r="F179" s="25"/>
      <c r="G179" s="25"/>
      <c r="H179" s="25"/>
      <c r="I179" s="25"/>
      <c r="J179" s="25"/>
      <c r="K179" s="25"/>
    </row>
    <row r="180" spans="1:11" x14ac:dyDescent="0.25">
      <c r="A180" s="25"/>
      <c r="B180" s="25"/>
      <c r="C180" s="25"/>
      <c r="D180" s="25"/>
      <c r="E180" s="25"/>
      <c r="F180" s="25"/>
      <c r="G180" s="25"/>
      <c r="H180" s="25"/>
      <c r="I180" s="25"/>
      <c r="J180" s="25"/>
      <c r="K180" s="25"/>
    </row>
    <row r="181" spans="1:11" x14ac:dyDescent="0.25">
      <c r="A181" s="25"/>
      <c r="B181" s="25"/>
      <c r="C181" s="25"/>
      <c r="D181" s="25"/>
      <c r="E181" s="25"/>
      <c r="F181" s="25"/>
      <c r="G181" s="25"/>
      <c r="H181" s="25"/>
      <c r="I181" s="25"/>
      <c r="J181" s="25"/>
      <c r="K181" s="25"/>
    </row>
    <row r="182" spans="1:11" x14ac:dyDescent="0.25">
      <c r="A182" s="25"/>
      <c r="B182" s="25"/>
      <c r="C182" s="25"/>
      <c r="D182" s="25"/>
      <c r="E182" s="25"/>
      <c r="F182" s="25"/>
      <c r="G182" s="25"/>
      <c r="H182" s="25"/>
      <c r="I182" s="25"/>
      <c r="J182" s="25"/>
      <c r="K182" s="25"/>
    </row>
    <row r="183" spans="1:11" x14ac:dyDescent="0.25">
      <c r="A183" s="25"/>
      <c r="B183" s="25"/>
      <c r="C183" s="25"/>
      <c r="D183" s="25"/>
      <c r="E183" s="25"/>
      <c r="F183" s="25"/>
      <c r="G183" s="25"/>
      <c r="H183" s="25"/>
      <c r="I183" s="25"/>
      <c r="J183" s="25"/>
      <c r="K183" s="25"/>
    </row>
    <row r="184" spans="1:11" x14ac:dyDescent="0.25">
      <c r="A184" s="25"/>
      <c r="B184" s="25"/>
      <c r="C184" s="25"/>
      <c r="D184" s="25"/>
      <c r="E184" s="25"/>
      <c r="F184" s="25"/>
      <c r="G184" s="25"/>
      <c r="H184" s="25"/>
      <c r="I184" s="25"/>
      <c r="J184" s="25"/>
      <c r="K184" s="25"/>
    </row>
    <row r="185" spans="1:11" x14ac:dyDescent="0.25">
      <c r="A185" s="25"/>
      <c r="B185" s="25"/>
      <c r="C185" s="25"/>
      <c r="D185" s="25"/>
      <c r="E185" s="25"/>
      <c r="F185" s="25"/>
      <c r="G185" s="25"/>
      <c r="H185" s="25"/>
      <c r="I185" s="25"/>
      <c r="J185" s="25"/>
      <c r="K185" s="25"/>
    </row>
    <row r="186" spans="1:11" x14ac:dyDescent="0.25">
      <c r="A186" s="25"/>
      <c r="B186" s="25"/>
      <c r="C186" s="25"/>
      <c r="D186" s="25"/>
      <c r="E186" s="25"/>
      <c r="F186" s="25"/>
      <c r="G186" s="25"/>
      <c r="H186" s="25"/>
      <c r="I186" s="25"/>
      <c r="J186" s="25"/>
      <c r="K186" s="25"/>
    </row>
    <row r="187" spans="1:11" x14ac:dyDescent="0.25">
      <c r="A187" s="25"/>
      <c r="B187" s="25"/>
      <c r="C187" s="25"/>
      <c r="D187" s="25"/>
      <c r="E187" s="25"/>
      <c r="F187" s="25"/>
      <c r="G187" s="25"/>
      <c r="H187" s="25"/>
      <c r="I187" s="25"/>
      <c r="J187" s="25"/>
      <c r="K187" s="25"/>
    </row>
    <row r="188" spans="1:11" x14ac:dyDescent="0.25">
      <c r="A188" s="25"/>
      <c r="B188" s="25"/>
      <c r="C188" s="25"/>
      <c r="D188" s="25"/>
      <c r="E188" s="25"/>
      <c r="F188" s="25"/>
      <c r="G188" s="25"/>
      <c r="H188" s="25"/>
      <c r="I188" s="25"/>
      <c r="J188" s="25"/>
      <c r="K188" s="25"/>
    </row>
    <row r="189" spans="1:11" x14ac:dyDescent="0.25">
      <c r="A189" s="25"/>
      <c r="B189" s="25"/>
      <c r="C189" s="25"/>
      <c r="D189" s="25"/>
      <c r="E189" s="25"/>
      <c r="F189" s="25"/>
      <c r="G189" s="25"/>
      <c r="H189" s="25"/>
      <c r="I189" s="25"/>
      <c r="J189" s="25"/>
      <c r="K189" s="25"/>
    </row>
    <row r="190" spans="1:11" x14ac:dyDescent="0.25">
      <c r="A190" s="25"/>
      <c r="B190" s="25"/>
      <c r="C190" s="25"/>
      <c r="D190" s="25"/>
      <c r="E190" s="25"/>
      <c r="F190" s="25"/>
      <c r="G190" s="25"/>
      <c r="H190" s="25"/>
      <c r="I190" s="25"/>
      <c r="J190" s="25"/>
      <c r="K190" s="25"/>
    </row>
    <row r="191" spans="1:11" x14ac:dyDescent="0.25">
      <c r="A191" s="25"/>
      <c r="B191" s="25"/>
      <c r="C191" s="25"/>
      <c r="D191" s="25"/>
      <c r="E191" s="25"/>
      <c r="F191" s="25"/>
      <c r="G191" s="25"/>
      <c r="H191" s="25"/>
      <c r="I191" s="25"/>
      <c r="J191" s="25"/>
      <c r="K191" s="25"/>
    </row>
    <row r="192" spans="1:11" x14ac:dyDescent="0.25">
      <c r="A192" s="25"/>
      <c r="B192" s="25"/>
      <c r="C192" s="25"/>
      <c r="D192" s="25"/>
      <c r="E192" s="25"/>
      <c r="F192" s="25"/>
      <c r="G192" s="25"/>
      <c r="H192" s="25"/>
      <c r="I192" s="25"/>
      <c r="J192" s="25"/>
      <c r="K192" s="25"/>
    </row>
    <row r="193" spans="1:11" x14ac:dyDescent="0.25">
      <c r="A193" s="25"/>
      <c r="B193" s="25"/>
      <c r="C193" s="25"/>
      <c r="D193" s="25"/>
      <c r="E193" s="25"/>
      <c r="F193" s="25"/>
      <c r="G193" s="25"/>
      <c r="H193" s="25"/>
      <c r="I193" s="25"/>
      <c r="J193" s="25"/>
      <c r="K193" s="25"/>
    </row>
    <row r="194" spans="1:11" x14ac:dyDescent="0.25">
      <c r="A194" s="25"/>
      <c r="B194" s="25"/>
      <c r="C194" s="25"/>
      <c r="D194" s="25"/>
      <c r="E194" s="25"/>
      <c r="F194" s="25"/>
      <c r="G194" s="25"/>
      <c r="H194" s="25"/>
      <c r="I194" s="25"/>
      <c r="J194" s="25"/>
      <c r="K194" s="25"/>
    </row>
    <row r="195" spans="1:11" x14ac:dyDescent="0.25">
      <c r="A195" s="25"/>
      <c r="B195" s="25"/>
      <c r="C195" s="25"/>
      <c r="D195" s="25"/>
      <c r="E195" s="25"/>
      <c r="F195" s="25"/>
      <c r="G195" s="25"/>
      <c r="H195" s="25"/>
      <c r="I195" s="25"/>
      <c r="J195" s="25"/>
      <c r="K195" s="25"/>
    </row>
    <row r="196" spans="1:11" x14ac:dyDescent="0.25">
      <c r="A196" s="25"/>
      <c r="B196" s="25"/>
      <c r="C196" s="25"/>
      <c r="D196" s="25"/>
      <c r="E196" s="25"/>
      <c r="F196" s="25"/>
      <c r="G196" s="25"/>
      <c r="H196" s="25"/>
      <c r="I196" s="25"/>
      <c r="J196" s="25"/>
      <c r="K196" s="25"/>
    </row>
    <row r="197" spans="1:11" x14ac:dyDescent="0.25">
      <c r="A197" s="25"/>
      <c r="B197" s="25"/>
      <c r="C197" s="25"/>
      <c r="D197" s="25"/>
      <c r="E197" s="25"/>
      <c r="F197" s="25"/>
      <c r="G197" s="25"/>
      <c r="H197" s="25"/>
      <c r="I197" s="25"/>
      <c r="J197" s="25"/>
      <c r="K197" s="25"/>
    </row>
    <row r="198" spans="1:11" x14ac:dyDescent="0.25">
      <c r="A198" s="25"/>
      <c r="B198" s="25"/>
      <c r="C198" s="25"/>
      <c r="D198" s="25"/>
      <c r="E198" s="25"/>
      <c r="F198" s="25"/>
      <c r="G198" s="25"/>
      <c r="H198" s="25"/>
      <c r="I198" s="25"/>
      <c r="J198" s="25"/>
      <c r="K198" s="25"/>
    </row>
    <row r="199" spans="1:11" x14ac:dyDescent="0.25">
      <c r="A199" s="25"/>
      <c r="B199" s="25"/>
      <c r="C199" s="25"/>
      <c r="D199" s="25"/>
      <c r="E199" s="25"/>
      <c r="F199" s="25"/>
      <c r="G199" s="25"/>
      <c r="H199" s="25"/>
      <c r="I199" s="25"/>
      <c r="J199" s="25"/>
      <c r="K199" s="25"/>
    </row>
    <row r="200" spans="1:11" x14ac:dyDescent="0.25">
      <c r="A200" s="25"/>
      <c r="B200" s="25"/>
      <c r="C200" s="25"/>
      <c r="D200" s="25"/>
      <c r="E200" s="25"/>
      <c r="F200" s="25"/>
      <c r="G200" s="25"/>
      <c r="H200" s="25"/>
      <c r="I200" s="25"/>
      <c r="J200" s="25"/>
      <c r="K200" s="25"/>
    </row>
  </sheetData>
  <dataValidations count="14">
    <dataValidation operator="greaterThan" allowBlank="1" showInputMessage="1" showErrorMessage="1" sqref="C1 C201:C1048576" xr:uid="{E2513BFF-F9D1-4F2B-BA81-FB1C6A495E86}"/>
    <dataValidation type="list" allowBlank="1" showInputMessage="1" showErrorMessage="1" sqref="H2:H1048576" xr:uid="{AE485D11-71FC-4B33-83D3-4C6B61D753FC}">
      <formula1>"Yes,No"</formula1>
    </dataValidation>
    <dataValidation type="whole" operator="greaterThan" allowBlank="1" showInputMessage="1" showErrorMessage="1" errorTitle="Data Type Error" error="Should be in Number not Text" sqref="D2:D5 D9:D1048576" xr:uid="{6874A8C8-A2DA-4060-81ED-3D2C2E21D485}">
      <formula1>0</formula1>
    </dataValidation>
    <dataValidation allowBlank="1" showInputMessage="1" showErrorMessage="1" errorTitle="Cost Category Error" error="Please check the category of the cost" sqref="A1:B1" xr:uid="{73946AC4-F6C6-4ADA-B485-C196A6D16E4F}"/>
    <dataValidation type="whole" operator="greaterThan" allowBlank="1" showInputMessage="1" showErrorMessage="1" errorTitle="Data Type Error" error="The PDRI Portion should be in Integer or Float not String" sqref="K201:K1048576" xr:uid="{90321D4F-D54C-4B37-92F0-442E27B3B60D}">
      <formula1>0</formula1>
    </dataValidation>
    <dataValidation type="whole" operator="greaterThan" allowBlank="1" showInputMessage="1" showErrorMessage="1" errorTitle="Data Type Error" error="The PPN portion should be in Integer or Float not String" sqref="I201:J1048576" xr:uid="{D51A1E07-DEAF-4E72-968C-318105126DED}">
      <formula1>0</formula1>
    </dataValidation>
    <dataValidation type="whole" allowBlank="1" showInputMessage="1" showErrorMessage="1" errorTitle="Data Type Error" error="The Year should be in Integer not String" sqref="A2:A1048576 D6:D8" xr:uid="{B9CD97C0-3BBF-45BF-B688-6D8A914F091A}">
      <formula1>0</formula1>
      <formula2>9999</formula2>
    </dataValidation>
    <dataValidation type="list" allowBlank="1" showInputMessage="1" showErrorMessage="1" sqref="B2:B1048576" xr:uid="{2969FC48-8542-45FF-BA00-8E0914435DC3}">
      <formula1>"Oil,Gas"</formula1>
    </dataValidation>
    <dataValidation type="decimal" operator="greaterThanOrEqual" allowBlank="1" showInputMessage="1" showErrorMessage="1" errorTitle="Data Type" error="Should be more than or equal to 0." sqref="C2:C200" xr:uid="{97B55751-C250-445F-A002-81F70B2DC9CD}">
      <formula1>0</formula1>
    </dataValidation>
    <dataValidation type="whole" operator="greaterThan" allowBlank="1" showInputMessage="1" showErrorMessage="1" errorTitle="Data Type" error="Should be year number, non decimal" sqref="E2:E200" xr:uid="{A0477B44-4648-4A0C-97C2-29BC3ECEE0DF}">
      <formula1>0</formula1>
    </dataValidation>
    <dataValidation type="decimal" allowBlank="1" showInputMessage="1" showErrorMessage="1" errorTitle="Data Type" error="Should be between 0 and 1" sqref="F2:F200" xr:uid="{459927B0-7558-46C1-AE7E-8E6015DE4DA8}">
      <formula1>0</formula1>
      <formula2>1</formula2>
    </dataValidation>
    <dataValidation type="decimal" operator="greaterThanOrEqual" allowBlank="1" showInputMessage="1" showErrorMessage="1" sqref="G2:G200" xr:uid="{CD07B321-717B-4BA8-9798-8F91DA5F45FE}">
      <formula1>0</formula1>
    </dataValidation>
    <dataValidation type="decimal" allowBlank="1" showInputMessage="1" showErrorMessage="1" errorTitle="Data Type Error" error="Should be between 0 and 1" sqref="I2:J200" xr:uid="{BEC210BF-0399-4148-87CE-309FE3A2C344}">
      <formula1>0</formula1>
      <formula2>1</formula2>
    </dataValidation>
    <dataValidation operator="greaterThan" allowBlank="1" showInputMessage="1" showErrorMessage="1" errorTitle="Data Type Error" error="The PDRI Portion should be in Integer or Float not String" sqref="K2:K200" xr:uid="{07D89D1E-7CAB-4722-BF36-E7E719913BA4}"/>
  </dataValidations>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5DD502-59D0-414C-B4D7-EE6A0881CDF1}">
  <sheetPr codeName="Sheet13">
    <tabColor rgb="FFA3B8BA"/>
  </sheetPr>
  <dimension ref="A1:H200"/>
  <sheetViews>
    <sheetView workbookViewId="0">
      <selection activeCell="C20" sqref="C20"/>
    </sheetView>
  </sheetViews>
  <sheetFormatPr defaultColWidth="0" defaultRowHeight="15" zeroHeight="1" x14ac:dyDescent="0.25"/>
  <cols>
    <col min="1" max="1" width="9.140625" bestFit="1" customWidth="1"/>
    <col min="2" max="2" width="19" bestFit="1" customWidth="1"/>
    <col min="3" max="3" width="21.140625" bestFit="1" customWidth="1"/>
    <col min="4" max="4" width="19.140625" bestFit="1" customWidth="1"/>
    <col min="5" max="5" width="29.42578125" bestFit="1" customWidth="1"/>
    <col min="6" max="6" width="15.5703125" bestFit="1" customWidth="1"/>
    <col min="7" max="7" width="15.140625" bestFit="1" customWidth="1"/>
    <col min="8" max="8" width="14.85546875" bestFit="1" customWidth="1"/>
    <col min="9" max="16384" width="8.85546875" hidden="1"/>
  </cols>
  <sheetData>
    <row r="1" spans="1:8" x14ac:dyDescent="0.25">
      <c r="A1" s="69" t="s">
        <v>0</v>
      </c>
      <c r="B1" s="69" t="s">
        <v>17</v>
      </c>
      <c r="C1" s="69" t="s">
        <v>269</v>
      </c>
      <c r="D1" s="69" t="s">
        <v>270</v>
      </c>
      <c r="E1" s="69" t="s">
        <v>271</v>
      </c>
      <c r="F1" s="69" t="s">
        <v>268</v>
      </c>
      <c r="G1" s="69" t="s">
        <v>265</v>
      </c>
      <c r="H1" s="69" t="s">
        <v>253</v>
      </c>
    </row>
    <row r="2" spans="1:8" x14ac:dyDescent="0.25">
      <c r="A2" s="25">
        <v>2023</v>
      </c>
      <c r="B2" s="25" t="s">
        <v>305</v>
      </c>
      <c r="C2" s="25">
        <v>100</v>
      </c>
      <c r="D2" s="25"/>
      <c r="E2" s="25"/>
      <c r="F2" s="25"/>
      <c r="G2" s="25"/>
      <c r="H2" s="25"/>
    </row>
    <row r="3" spans="1:8" x14ac:dyDescent="0.25">
      <c r="A3" s="25">
        <v>2023</v>
      </c>
      <c r="B3" s="25" t="s">
        <v>305</v>
      </c>
      <c r="C3" s="25">
        <v>100</v>
      </c>
      <c r="D3" s="25"/>
      <c r="E3" s="25"/>
      <c r="F3" s="25"/>
      <c r="G3" s="25"/>
      <c r="H3" s="25"/>
    </row>
    <row r="4" spans="1:8" x14ac:dyDescent="0.25">
      <c r="A4" s="25">
        <v>2025</v>
      </c>
      <c r="B4" s="25" t="s">
        <v>305</v>
      </c>
      <c r="C4" s="25">
        <v>100</v>
      </c>
      <c r="D4" s="25"/>
      <c r="E4" s="25"/>
      <c r="F4" s="25"/>
      <c r="G4" s="25"/>
      <c r="H4" s="25"/>
    </row>
    <row r="5" spans="1:8" x14ac:dyDescent="0.25">
      <c r="A5" s="25">
        <v>2025</v>
      </c>
      <c r="B5" s="25" t="s">
        <v>305</v>
      </c>
      <c r="C5" s="25">
        <v>100</v>
      </c>
      <c r="D5" s="25"/>
      <c r="E5" s="25"/>
      <c r="F5" s="25"/>
      <c r="G5" s="25"/>
      <c r="H5" s="25"/>
    </row>
    <row r="6" spans="1:8" x14ac:dyDescent="0.25">
      <c r="A6" s="25">
        <v>2030</v>
      </c>
      <c r="B6" s="25" t="s">
        <v>306</v>
      </c>
      <c r="C6" s="25">
        <v>25</v>
      </c>
      <c r="D6" s="25"/>
      <c r="E6" s="25"/>
      <c r="F6" s="25"/>
      <c r="G6" s="25"/>
      <c r="H6" s="25"/>
    </row>
    <row r="7" spans="1:8" x14ac:dyDescent="0.25">
      <c r="A7" s="25">
        <v>2030</v>
      </c>
      <c r="B7" s="25" t="s">
        <v>306</v>
      </c>
      <c r="C7" s="25">
        <v>25</v>
      </c>
      <c r="D7" s="25"/>
      <c r="E7" s="25"/>
      <c r="F7" s="25"/>
      <c r="G7" s="25"/>
      <c r="H7" s="25"/>
    </row>
    <row r="8" spans="1:8" x14ac:dyDescent="0.25">
      <c r="A8" s="25">
        <v>2031</v>
      </c>
      <c r="B8" s="25" t="s">
        <v>305</v>
      </c>
      <c r="C8" s="25">
        <v>67</v>
      </c>
      <c r="D8" s="25"/>
      <c r="E8" s="25"/>
      <c r="F8" s="25"/>
      <c r="G8" s="25"/>
      <c r="H8" s="25"/>
    </row>
    <row r="9" spans="1:8" x14ac:dyDescent="0.25">
      <c r="A9" s="25">
        <v>2035</v>
      </c>
      <c r="B9" s="25" t="s">
        <v>305</v>
      </c>
      <c r="C9" s="25">
        <v>50</v>
      </c>
      <c r="D9" s="25"/>
      <c r="E9" s="25"/>
      <c r="F9" s="25"/>
      <c r="G9" s="25"/>
      <c r="H9" s="25"/>
    </row>
    <row r="10" spans="1:8" x14ac:dyDescent="0.25">
      <c r="A10" s="25">
        <v>2030</v>
      </c>
      <c r="B10" s="25" t="s">
        <v>306</v>
      </c>
      <c r="C10" s="25">
        <v>25</v>
      </c>
      <c r="D10" s="25"/>
      <c r="E10" s="25"/>
      <c r="F10" s="25"/>
      <c r="G10" s="25"/>
      <c r="H10" s="25"/>
    </row>
    <row r="11" spans="1:8" x14ac:dyDescent="0.25">
      <c r="A11" s="25">
        <v>2031</v>
      </c>
      <c r="B11" s="25" t="s">
        <v>305</v>
      </c>
      <c r="C11" s="25">
        <v>67</v>
      </c>
      <c r="D11" s="25"/>
      <c r="E11" s="25"/>
      <c r="F11" s="25"/>
      <c r="G11" s="25"/>
      <c r="H11" s="25"/>
    </row>
    <row r="12" spans="1:8" x14ac:dyDescent="0.25">
      <c r="A12" s="25">
        <v>2031</v>
      </c>
      <c r="B12" s="25" t="s">
        <v>305</v>
      </c>
      <c r="C12" s="25">
        <v>67</v>
      </c>
      <c r="D12" s="25"/>
      <c r="E12" s="25"/>
      <c r="F12" s="25"/>
      <c r="G12" s="25"/>
      <c r="H12" s="25"/>
    </row>
    <row r="13" spans="1:8" x14ac:dyDescent="0.25">
      <c r="A13" s="25"/>
      <c r="B13" s="25"/>
      <c r="C13" s="25"/>
      <c r="D13" s="25"/>
      <c r="E13" s="25"/>
      <c r="F13" s="25"/>
      <c r="G13" s="25"/>
      <c r="H13" s="25"/>
    </row>
    <row r="14" spans="1:8" x14ac:dyDescent="0.25">
      <c r="A14" s="25"/>
      <c r="B14" s="25"/>
      <c r="C14" s="25"/>
      <c r="D14" s="25"/>
      <c r="E14" s="25"/>
      <c r="F14" s="25"/>
      <c r="G14" s="25"/>
      <c r="H14" s="25"/>
    </row>
    <row r="15" spans="1:8" x14ac:dyDescent="0.25">
      <c r="A15" s="25"/>
      <c r="B15" s="25"/>
      <c r="C15" s="25"/>
      <c r="D15" s="25"/>
      <c r="E15" s="25"/>
      <c r="F15" s="25"/>
      <c r="G15" s="25"/>
      <c r="H15" s="25"/>
    </row>
    <row r="16" spans="1:8" x14ac:dyDescent="0.25">
      <c r="A16" s="25"/>
      <c r="B16" s="25"/>
      <c r="C16" s="25"/>
      <c r="D16" s="25"/>
      <c r="E16" s="25"/>
      <c r="F16" s="25"/>
      <c r="G16" s="25"/>
      <c r="H16" s="25"/>
    </row>
    <row r="17" spans="1:8" x14ac:dyDescent="0.25">
      <c r="A17" s="25"/>
      <c r="B17" s="25"/>
      <c r="C17" s="25"/>
      <c r="D17" s="25"/>
      <c r="E17" s="25"/>
      <c r="F17" s="25"/>
      <c r="G17" s="25"/>
      <c r="H17" s="25"/>
    </row>
    <row r="18" spans="1:8" x14ac:dyDescent="0.25">
      <c r="A18" s="25"/>
      <c r="B18" s="25"/>
      <c r="C18" s="25"/>
      <c r="D18" s="25"/>
      <c r="E18" s="25"/>
      <c r="F18" s="25"/>
      <c r="G18" s="25"/>
      <c r="H18" s="25"/>
    </row>
    <row r="19" spans="1:8" x14ac:dyDescent="0.25">
      <c r="A19" s="25"/>
      <c r="B19" s="25"/>
      <c r="C19" s="25"/>
      <c r="D19" s="25"/>
      <c r="E19" s="25"/>
      <c r="F19" s="25"/>
      <c r="G19" s="25"/>
      <c r="H19" s="25"/>
    </row>
    <row r="20" spans="1:8" x14ac:dyDescent="0.25">
      <c r="A20" s="25"/>
      <c r="B20" s="25"/>
      <c r="C20" s="25"/>
      <c r="D20" s="25"/>
      <c r="E20" s="25"/>
      <c r="F20" s="25"/>
      <c r="G20" s="25"/>
      <c r="H20" s="25"/>
    </row>
    <row r="21" spans="1:8" x14ac:dyDescent="0.25">
      <c r="A21" s="25"/>
      <c r="B21" s="25"/>
      <c r="C21" s="25"/>
      <c r="D21" s="25"/>
      <c r="E21" s="25"/>
      <c r="F21" s="25"/>
      <c r="G21" s="25"/>
      <c r="H21" s="25"/>
    </row>
    <row r="22" spans="1:8" x14ac:dyDescent="0.25">
      <c r="A22" s="25"/>
      <c r="B22" s="25"/>
      <c r="C22" s="25"/>
      <c r="D22" s="25"/>
      <c r="E22" s="25"/>
      <c r="F22" s="25"/>
      <c r="G22" s="25"/>
      <c r="H22" s="25"/>
    </row>
    <row r="23" spans="1:8" x14ac:dyDescent="0.25">
      <c r="A23" s="25"/>
      <c r="B23" s="25"/>
      <c r="C23" s="25"/>
      <c r="D23" s="25"/>
      <c r="E23" s="25"/>
      <c r="F23" s="25"/>
      <c r="G23" s="25"/>
      <c r="H23" s="25"/>
    </row>
    <row r="24" spans="1:8" x14ac:dyDescent="0.25">
      <c r="A24" s="25"/>
      <c r="B24" s="25"/>
      <c r="C24" s="25"/>
      <c r="D24" s="25"/>
      <c r="E24" s="25"/>
      <c r="F24" s="25"/>
      <c r="G24" s="25"/>
      <c r="H24" s="25"/>
    </row>
    <row r="25" spans="1:8" x14ac:dyDescent="0.25">
      <c r="A25" s="25"/>
      <c r="B25" s="25"/>
      <c r="C25" s="25"/>
      <c r="D25" s="25"/>
      <c r="E25" s="25"/>
      <c r="F25" s="25"/>
      <c r="G25" s="25"/>
      <c r="H25" s="25"/>
    </row>
    <row r="26" spans="1:8" x14ac:dyDescent="0.25">
      <c r="A26" s="25"/>
      <c r="B26" s="25"/>
      <c r="C26" s="25"/>
      <c r="D26" s="25"/>
      <c r="E26" s="25"/>
      <c r="F26" s="25"/>
      <c r="G26" s="25"/>
      <c r="H26" s="25"/>
    </row>
    <row r="27" spans="1:8" x14ac:dyDescent="0.25">
      <c r="A27" s="25"/>
      <c r="B27" s="25"/>
      <c r="C27" s="25"/>
      <c r="D27" s="25"/>
      <c r="E27" s="25"/>
      <c r="F27" s="25"/>
      <c r="G27" s="25"/>
      <c r="H27" s="25"/>
    </row>
    <row r="28" spans="1:8" x14ac:dyDescent="0.25">
      <c r="A28" s="25"/>
      <c r="B28" s="25"/>
      <c r="C28" s="25"/>
      <c r="D28" s="25"/>
      <c r="E28" s="25"/>
      <c r="F28" s="25"/>
      <c r="G28" s="25"/>
      <c r="H28" s="25"/>
    </row>
    <row r="29" spans="1:8" x14ac:dyDescent="0.25">
      <c r="A29" s="25"/>
      <c r="B29" s="25"/>
      <c r="C29" s="25"/>
      <c r="D29" s="25"/>
      <c r="E29" s="25"/>
      <c r="F29" s="25"/>
      <c r="G29" s="25"/>
      <c r="H29" s="25"/>
    </row>
    <row r="30" spans="1:8" x14ac:dyDescent="0.25">
      <c r="A30" s="25"/>
      <c r="B30" s="25"/>
      <c r="C30" s="25"/>
      <c r="D30" s="25"/>
      <c r="E30" s="25"/>
      <c r="F30" s="25"/>
      <c r="G30" s="25"/>
      <c r="H30" s="25"/>
    </row>
    <row r="31" spans="1:8" x14ac:dyDescent="0.25">
      <c r="A31" s="25"/>
      <c r="B31" s="25"/>
      <c r="C31" s="25"/>
      <c r="D31" s="25"/>
      <c r="E31" s="25"/>
      <c r="F31" s="25"/>
      <c r="G31" s="25"/>
      <c r="H31" s="25"/>
    </row>
    <row r="32" spans="1:8" x14ac:dyDescent="0.25">
      <c r="A32" s="25"/>
      <c r="B32" s="25"/>
      <c r="C32" s="25"/>
      <c r="D32" s="25"/>
      <c r="E32" s="25"/>
      <c r="F32" s="25"/>
      <c r="G32" s="25"/>
      <c r="H32" s="25"/>
    </row>
    <row r="33" spans="1:8" x14ac:dyDescent="0.25">
      <c r="A33" s="25"/>
      <c r="B33" s="25"/>
      <c r="C33" s="25"/>
      <c r="D33" s="25"/>
      <c r="E33" s="25"/>
      <c r="F33" s="25"/>
      <c r="G33" s="25"/>
      <c r="H33" s="25"/>
    </row>
    <row r="34" spans="1:8" x14ac:dyDescent="0.25">
      <c r="A34" s="25"/>
      <c r="B34" s="25"/>
      <c r="C34" s="25"/>
      <c r="D34" s="25"/>
      <c r="E34" s="25"/>
      <c r="F34" s="25"/>
      <c r="G34" s="25"/>
      <c r="H34" s="25"/>
    </row>
    <row r="35" spans="1:8" x14ac:dyDescent="0.25">
      <c r="A35" s="25"/>
      <c r="B35" s="25"/>
      <c r="C35" s="25"/>
      <c r="D35" s="25"/>
      <c r="E35" s="25"/>
      <c r="F35" s="25"/>
      <c r="G35" s="25"/>
      <c r="H35" s="25"/>
    </row>
    <row r="36" spans="1:8" x14ac:dyDescent="0.25">
      <c r="A36" s="25"/>
      <c r="B36" s="25"/>
      <c r="C36" s="25"/>
      <c r="D36" s="25"/>
      <c r="E36" s="25"/>
      <c r="F36" s="25"/>
      <c r="G36" s="25"/>
      <c r="H36" s="25"/>
    </row>
    <row r="37" spans="1:8" x14ac:dyDescent="0.25">
      <c r="A37" s="25"/>
      <c r="B37" s="25"/>
      <c r="C37" s="25"/>
      <c r="D37" s="25"/>
      <c r="E37" s="25"/>
      <c r="F37" s="25"/>
      <c r="G37" s="25"/>
      <c r="H37" s="25"/>
    </row>
    <row r="38" spans="1:8" x14ac:dyDescent="0.25">
      <c r="A38" s="25"/>
      <c r="B38" s="25"/>
      <c r="C38" s="25"/>
      <c r="D38" s="25"/>
      <c r="E38" s="25"/>
      <c r="F38" s="25"/>
      <c r="G38" s="25"/>
      <c r="H38" s="25"/>
    </row>
    <row r="39" spans="1:8" x14ac:dyDescent="0.25">
      <c r="A39" s="25"/>
      <c r="B39" s="25"/>
      <c r="C39" s="25"/>
      <c r="D39" s="25"/>
      <c r="E39" s="25"/>
      <c r="F39" s="25"/>
      <c r="G39" s="25"/>
      <c r="H39" s="25"/>
    </row>
    <row r="40" spans="1:8" x14ac:dyDescent="0.25">
      <c r="A40" s="25"/>
      <c r="B40" s="25"/>
      <c r="C40" s="25"/>
      <c r="D40" s="25"/>
      <c r="E40" s="25"/>
      <c r="F40" s="25"/>
      <c r="G40" s="25"/>
      <c r="H40" s="25"/>
    </row>
    <row r="41" spans="1:8" x14ac:dyDescent="0.25">
      <c r="A41" s="25"/>
      <c r="B41" s="25"/>
      <c r="C41" s="25"/>
      <c r="D41" s="25"/>
      <c r="E41" s="25"/>
      <c r="F41" s="25"/>
      <c r="G41" s="25"/>
      <c r="H41" s="25"/>
    </row>
    <row r="42" spans="1:8" x14ac:dyDescent="0.25">
      <c r="A42" s="25"/>
      <c r="B42" s="25"/>
      <c r="C42" s="25"/>
      <c r="D42" s="25"/>
      <c r="E42" s="25"/>
      <c r="F42" s="25"/>
      <c r="G42" s="25"/>
      <c r="H42" s="25"/>
    </row>
    <row r="43" spans="1:8" x14ac:dyDescent="0.25">
      <c r="A43" s="25"/>
      <c r="B43" s="25"/>
      <c r="C43" s="25"/>
      <c r="D43" s="25"/>
      <c r="E43" s="25"/>
      <c r="F43" s="25"/>
      <c r="G43" s="25"/>
      <c r="H43" s="25"/>
    </row>
    <row r="44" spans="1:8" x14ac:dyDescent="0.25">
      <c r="A44" s="25"/>
      <c r="B44" s="25"/>
      <c r="C44" s="25"/>
      <c r="D44" s="25"/>
      <c r="E44" s="25"/>
      <c r="F44" s="25"/>
      <c r="G44" s="25"/>
      <c r="H44" s="25"/>
    </row>
    <row r="45" spans="1:8" x14ac:dyDescent="0.25">
      <c r="A45" s="25"/>
      <c r="B45" s="25"/>
      <c r="C45" s="25"/>
      <c r="D45" s="25"/>
      <c r="E45" s="25"/>
      <c r="F45" s="25"/>
      <c r="G45" s="25"/>
      <c r="H45" s="25"/>
    </row>
    <row r="46" spans="1:8" x14ac:dyDescent="0.25">
      <c r="A46" s="25"/>
      <c r="B46" s="25"/>
      <c r="C46" s="25"/>
      <c r="D46" s="25"/>
      <c r="E46" s="25"/>
      <c r="F46" s="25"/>
      <c r="G46" s="25"/>
      <c r="H46" s="25"/>
    </row>
    <row r="47" spans="1:8" x14ac:dyDescent="0.25">
      <c r="A47" s="25"/>
      <c r="B47" s="25"/>
      <c r="C47" s="25"/>
      <c r="D47" s="25"/>
      <c r="E47" s="25"/>
      <c r="F47" s="25"/>
      <c r="G47" s="25"/>
      <c r="H47" s="25"/>
    </row>
    <row r="48" spans="1:8" x14ac:dyDescent="0.25">
      <c r="A48" s="25"/>
      <c r="B48" s="25"/>
      <c r="C48" s="25"/>
      <c r="D48" s="25"/>
      <c r="E48" s="25"/>
      <c r="F48" s="25"/>
      <c r="G48" s="25"/>
      <c r="H48" s="25"/>
    </row>
    <row r="49" spans="1:8" x14ac:dyDescent="0.25">
      <c r="A49" s="25"/>
      <c r="B49" s="25"/>
      <c r="C49" s="25"/>
      <c r="D49" s="25"/>
      <c r="E49" s="25"/>
      <c r="F49" s="25"/>
      <c r="G49" s="25"/>
      <c r="H49" s="25"/>
    </row>
    <row r="50" spans="1:8" x14ac:dyDescent="0.25">
      <c r="A50" s="25"/>
      <c r="B50" s="25"/>
      <c r="C50" s="25"/>
      <c r="D50" s="25"/>
      <c r="E50" s="25"/>
      <c r="F50" s="25"/>
      <c r="G50" s="25"/>
      <c r="H50" s="25"/>
    </row>
    <row r="51" spans="1:8" x14ac:dyDescent="0.25">
      <c r="A51" s="25"/>
      <c r="B51" s="25"/>
      <c r="C51" s="25"/>
      <c r="D51" s="25"/>
      <c r="E51" s="25"/>
      <c r="F51" s="25"/>
      <c r="G51" s="25"/>
      <c r="H51" s="25"/>
    </row>
    <row r="52" spans="1:8" x14ac:dyDescent="0.25">
      <c r="A52" s="25"/>
      <c r="B52" s="25"/>
      <c r="C52" s="25"/>
      <c r="D52" s="25"/>
      <c r="E52" s="25"/>
      <c r="F52" s="25"/>
      <c r="G52" s="25"/>
      <c r="H52" s="25"/>
    </row>
    <row r="53" spans="1:8" x14ac:dyDescent="0.25">
      <c r="A53" s="25"/>
      <c r="B53" s="25"/>
      <c r="C53" s="25"/>
      <c r="D53" s="25"/>
      <c r="E53" s="25"/>
      <c r="F53" s="25"/>
      <c r="G53" s="25"/>
      <c r="H53" s="25"/>
    </row>
    <row r="54" spans="1:8" x14ac:dyDescent="0.25">
      <c r="A54" s="25"/>
      <c r="B54" s="25"/>
      <c r="C54" s="25"/>
      <c r="D54" s="25"/>
      <c r="E54" s="25"/>
      <c r="F54" s="25"/>
      <c r="G54" s="25"/>
      <c r="H54" s="25"/>
    </row>
    <row r="55" spans="1:8" x14ac:dyDescent="0.25">
      <c r="A55" s="25"/>
      <c r="B55" s="25"/>
      <c r="C55" s="25"/>
      <c r="D55" s="25"/>
      <c r="E55" s="25"/>
      <c r="F55" s="25"/>
      <c r="G55" s="25"/>
      <c r="H55" s="25"/>
    </row>
    <row r="56" spans="1:8" x14ac:dyDescent="0.25">
      <c r="A56" s="25"/>
      <c r="B56" s="25"/>
      <c r="C56" s="25"/>
      <c r="D56" s="25"/>
      <c r="E56" s="25"/>
      <c r="F56" s="25"/>
      <c r="G56" s="25"/>
      <c r="H56" s="25"/>
    </row>
    <row r="57" spans="1:8" x14ac:dyDescent="0.25">
      <c r="A57" s="25"/>
      <c r="B57" s="25"/>
      <c r="C57" s="25"/>
      <c r="D57" s="25"/>
      <c r="E57" s="25"/>
      <c r="F57" s="25"/>
      <c r="G57" s="25"/>
      <c r="H57" s="25"/>
    </row>
    <row r="58" spans="1:8" x14ac:dyDescent="0.25">
      <c r="A58" s="25"/>
      <c r="B58" s="25"/>
      <c r="C58" s="25"/>
      <c r="D58" s="25"/>
      <c r="E58" s="25"/>
      <c r="F58" s="25"/>
      <c r="G58" s="25"/>
      <c r="H58" s="25"/>
    </row>
    <row r="59" spans="1:8" x14ac:dyDescent="0.25">
      <c r="A59" s="25"/>
      <c r="B59" s="25"/>
      <c r="C59" s="25"/>
      <c r="D59" s="25"/>
      <c r="E59" s="25"/>
      <c r="F59" s="25"/>
      <c r="G59" s="25"/>
      <c r="H59" s="25"/>
    </row>
    <row r="60" spans="1:8" x14ac:dyDescent="0.25">
      <c r="A60" s="25"/>
      <c r="B60" s="25"/>
      <c r="C60" s="25"/>
      <c r="D60" s="25"/>
      <c r="E60" s="25"/>
      <c r="F60" s="25"/>
      <c r="G60" s="25"/>
      <c r="H60" s="25"/>
    </row>
    <row r="61" spans="1:8" x14ac:dyDescent="0.25">
      <c r="A61" s="25"/>
      <c r="B61" s="25"/>
      <c r="C61" s="25"/>
      <c r="D61" s="25"/>
      <c r="E61" s="25"/>
      <c r="F61" s="25"/>
      <c r="G61" s="25"/>
      <c r="H61" s="25"/>
    </row>
    <row r="62" spans="1:8" x14ac:dyDescent="0.25">
      <c r="A62" s="25"/>
      <c r="B62" s="25"/>
      <c r="C62" s="25"/>
      <c r="D62" s="25"/>
      <c r="E62" s="25"/>
      <c r="F62" s="25"/>
      <c r="G62" s="25"/>
      <c r="H62" s="25"/>
    </row>
    <row r="63" spans="1:8" x14ac:dyDescent="0.25">
      <c r="A63" s="25"/>
      <c r="B63" s="25"/>
      <c r="C63" s="25"/>
      <c r="D63" s="25"/>
      <c r="E63" s="25"/>
      <c r="F63" s="25"/>
      <c r="G63" s="25"/>
      <c r="H63" s="25"/>
    </row>
    <row r="64" spans="1:8" x14ac:dyDescent="0.25">
      <c r="A64" s="25"/>
      <c r="B64" s="25"/>
      <c r="C64" s="25"/>
      <c r="D64" s="25"/>
      <c r="E64" s="25"/>
      <c r="F64" s="25"/>
      <c r="G64" s="25"/>
      <c r="H64" s="25"/>
    </row>
    <row r="65" spans="1:8" x14ac:dyDescent="0.25">
      <c r="A65" s="25"/>
      <c r="B65" s="25"/>
      <c r="C65" s="25"/>
      <c r="D65" s="25"/>
      <c r="E65" s="25"/>
      <c r="F65" s="25"/>
      <c r="G65" s="25"/>
      <c r="H65" s="25"/>
    </row>
    <row r="66" spans="1:8" x14ac:dyDescent="0.25">
      <c r="A66" s="25"/>
      <c r="B66" s="25"/>
      <c r="C66" s="25"/>
      <c r="D66" s="25"/>
      <c r="E66" s="25"/>
      <c r="F66" s="25"/>
      <c r="G66" s="25"/>
      <c r="H66" s="25"/>
    </row>
    <row r="67" spans="1:8" x14ac:dyDescent="0.25">
      <c r="A67" s="25"/>
      <c r="B67" s="25"/>
      <c r="C67" s="25"/>
      <c r="D67" s="25"/>
      <c r="E67" s="25"/>
      <c r="F67" s="25"/>
      <c r="G67" s="25"/>
      <c r="H67" s="25"/>
    </row>
    <row r="68" spans="1:8" x14ac:dyDescent="0.25">
      <c r="A68" s="25"/>
      <c r="B68" s="25"/>
      <c r="C68" s="25"/>
      <c r="D68" s="25"/>
      <c r="E68" s="25"/>
      <c r="F68" s="25"/>
      <c r="G68" s="25"/>
      <c r="H68" s="25"/>
    </row>
    <row r="69" spans="1:8" x14ac:dyDescent="0.25">
      <c r="A69" s="25"/>
      <c r="B69" s="25"/>
      <c r="C69" s="25"/>
      <c r="D69" s="25"/>
      <c r="E69" s="25"/>
      <c r="F69" s="25"/>
      <c r="G69" s="25"/>
      <c r="H69" s="25"/>
    </row>
    <row r="70" spans="1:8" x14ac:dyDescent="0.25">
      <c r="A70" s="25"/>
      <c r="B70" s="25"/>
      <c r="C70" s="25"/>
      <c r="D70" s="25"/>
      <c r="E70" s="25"/>
      <c r="F70" s="25"/>
      <c r="G70" s="25"/>
      <c r="H70" s="25"/>
    </row>
    <row r="71" spans="1:8" x14ac:dyDescent="0.25">
      <c r="A71" s="25"/>
      <c r="B71" s="25"/>
      <c r="C71" s="25"/>
      <c r="D71" s="25"/>
      <c r="E71" s="25"/>
      <c r="F71" s="25"/>
      <c r="G71" s="25"/>
      <c r="H71" s="25"/>
    </row>
    <row r="72" spans="1:8" x14ac:dyDescent="0.25">
      <c r="A72" s="25"/>
      <c r="B72" s="25"/>
      <c r="C72" s="25"/>
      <c r="D72" s="25"/>
      <c r="E72" s="25"/>
      <c r="F72" s="25"/>
      <c r="G72" s="25"/>
      <c r="H72" s="25"/>
    </row>
    <row r="73" spans="1:8" x14ac:dyDescent="0.25">
      <c r="A73" s="25"/>
      <c r="B73" s="25"/>
      <c r="C73" s="25"/>
      <c r="D73" s="25"/>
      <c r="E73" s="25"/>
      <c r="F73" s="25"/>
      <c r="G73" s="25"/>
      <c r="H73" s="25"/>
    </row>
    <row r="74" spans="1:8" x14ac:dyDescent="0.25">
      <c r="A74" s="25"/>
      <c r="B74" s="25"/>
      <c r="C74" s="25"/>
      <c r="D74" s="25"/>
      <c r="E74" s="25"/>
      <c r="F74" s="25"/>
      <c r="G74" s="25"/>
      <c r="H74" s="25"/>
    </row>
    <row r="75" spans="1:8" x14ac:dyDescent="0.25">
      <c r="A75" s="25"/>
      <c r="B75" s="25"/>
      <c r="C75" s="25"/>
      <c r="D75" s="25"/>
      <c r="E75" s="25"/>
      <c r="F75" s="25"/>
      <c r="G75" s="25"/>
      <c r="H75" s="25"/>
    </row>
    <row r="76" spans="1:8" x14ac:dyDescent="0.25">
      <c r="A76" s="25"/>
      <c r="B76" s="25"/>
      <c r="C76" s="25"/>
      <c r="D76" s="25"/>
      <c r="E76" s="25"/>
      <c r="F76" s="25"/>
      <c r="G76" s="25"/>
      <c r="H76" s="25"/>
    </row>
    <row r="77" spans="1:8" x14ac:dyDescent="0.25">
      <c r="A77" s="25"/>
      <c r="B77" s="25"/>
      <c r="C77" s="25"/>
      <c r="D77" s="25"/>
      <c r="E77" s="25"/>
      <c r="F77" s="25"/>
      <c r="G77" s="25"/>
      <c r="H77" s="25"/>
    </row>
    <row r="78" spans="1:8" x14ac:dyDescent="0.25">
      <c r="A78" s="25"/>
      <c r="B78" s="25"/>
      <c r="C78" s="25"/>
      <c r="D78" s="25"/>
      <c r="E78" s="25"/>
      <c r="F78" s="25"/>
      <c r="G78" s="25"/>
      <c r="H78" s="25"/>
    </row>
    <row r="79" spans="1:8" x14ac:dyDescent="0.25">
      <c r="A79" s="25"/>
      <c r="B79" s="25"/>
      <c r="C79" s="25"/>
      <c r="D79" s="25"/>
      <c r="E79" s="25"/>
      <c r="F79" s="25"/>
      <c r="G79" s="25"/>
      <c r="H79" s="25"/>
    </row>
    <row r="80" spans="1:8" x14ac:dyDescent="0.25">
      <c r="A80" s="25"/>
      <c r="B80" s="25"/>
      <c r="C80" s="25"/>
      <c r="D80" s="25"/>
      <c r="E80" s="25"/>
      <c r="F80" s="25"/>
      <c r="G80" s="25"/>
      <c r="H80" s="25"/>
    </row>
    <row r="81" spans="1:8" x14ac:dyDescent="0.25">
      <c r="A81" s="25"/>
      <c r="B81" s="25"/>
      <c r="C81" s="25"/>
      <c r="D81" s="25"/>
      <c r="E81" s="25"/>
      <c r="F81" s="25"/>
      <c r="G81" s="25"/>
      <c r="H81" s="25"/>
    </row>
    <row r="82" spans="1:8" x14ac:dyDescent="0.25">
      <c r="A82" s="25"/>
      <c r="B82" s="25"/>
      <c r="C82" s="25"/>
      <c r="D82" s="25"/>
      <c r="E82" s="25"/>
      <c r="F82" s="25"/>
      <c r="G82" s="25"/>
      <c r="H82" s="25"/>
    </row>
    <row r="83" spans="1:8" x14ac:dyDescent="0.25">
      <c r="A83" s="25"/>
      <c r="B83" s="25"/>
      <c r="C83" s="25"/>
      <c r="D83" s="25"/>
      <c r="E83" s="25"/>
      <c r="F83" s="25"/>
      <c r="G83" s="25"/>
      <c r="H83" s="25"/>
    </row>
    <row r="84" spans="1:8" x14ac:dyDescent="0.25">
      <c r="A84" s="25"/>
      <c r="B84" s="25"/>
      <c r="C84" s="25"/>
      <c r="D84" s="25"/>
      <c r="E84" s="25"/>
      <c r="F84" s="25"/>
      <c r="G84" s="25"/>
      <c r="H84" s="25"/>
    </row>
    <row r="85" spans="1:8" x14ac:dyDescent="0.25">
      <c r="A85" s="25"/>
      <c r="B85" s="25"/>
      <c r="C85" s="25"/>
      <c r="D85" s="25"/>
      <c r="E85" s="25"/>
      <c r="F85" s="25"/>
      <c r="G85" s="25"/>
      <c r="H85" s="25"/>
    </row>
    <row r="86" spans="1:8" x14ac:dyDescent="0.25">
      <c r="A86" s="25"/>
      <c r="B86" s="25"/>
      <c r="C86" s="25"/>
      <c r="D86" s="25"/>
      <c r="E86" s="25"/>
      <c r="F86" s="25"/>
      <c r="G86" s="25"/>
      <c r="H86" s="25"/>
    </row>
    <row r="87" spans="1:8" x14ac:dyDescent="0.25">
      <c r="A87" s="25"/>
      <c r="B87" s="25"/>
      <c r="C87" s="25"/>
      <c r="D87" s="25"/>
      <c r="E87" s="25"/>
      <c r="F87" s="25"/>
      <c r="G87" s="25"/>
      <c r="H87" s="25"/>
    </row>
    <row r="88" spans="1:8" x14ac:dyDescent="0.25">
      <c r="A88" s="25"/>
      <c r="B88" s="25"/>
      <c r="C88" s="25"/>
      <c r="D88" s="25"/>
      <c r="E88" s="25"/>
      <c r="F88" s="25"/>
      <c r="G88" s="25"/>
      <c r="H88" s="25"/>
    </row>
    <row r="89" spans="1:8" x14ac:dyDescent="0.25">
      <c r="A89" s="25"/>
      <c r="B89" s="25"/>
      <c r="C89" s="25"/>
      <c r="D89" s="25"/>
      <c r="E89" s="25"/>
      <c r="F89" s="25"/>
      <c r="G89" s="25"/>
      <c r="H89" s="25"/>
    </row>
    <row r="90" spans="1:8" x14ac:dyDescent="0.25">
      <c r="A90" s="25"/>
      <c r="B90" s="25"/>
      <c r="C90" s="25"/>
      <c r="D90" s="25"/>
      <c r="E90" s="25"/>
      <c r="F90" s="25"/>
      <c r="G90" s="25"/>
      <c r="H90" s="25"/>
    </row>
    <row r="91" spans="1:8" x14ac:dyDescent="0.25">
      <c r="A91" s="25"/>
      <c r="B91" s="25"/>
      <c r="C91" s="25"/>
      <c r="D91" s="25"/>
      <c r="E91" s="25"/>
      <c r="F91" s="25"/>
      <c r="G91" s="25"/>
      <c r="H91" s="25"/>
    </row>
    <row r="92" spans="1:8" x14ac:dyDescent="0.25">
      <c r="A92" s="25"/>
      <c r="B92" s="25"/>
      <c r="C92" s="25"/>
      <c r="D92" s="25"/>
      <c r="E92" s="25"/>
      <c r="F92" s="25"/>
      <c r="G92" s="25"/>
      <c r="H92" s="25"/>
    </row>
    <row r="93" spans="1:8" x14ac:dyDescent="0.25">
      <c r="A93" s="25"/>
      <c r="B93" s="25"/>
      <c r="C93" s="25"/>
      <c r="D93" s="25"/>
      <c r="E93" s="25"/>
      <c r="F93" s="25"/>
      <c r="G93" s="25"/>
      <c r="H93" s="25"/>
    </row>
    <row r="94" spans="1:8" x14ac:dyDescent="0.25">
      <c r="A94" s="25"/>
      <c r="B94" s="25"/>
      <c r="C94" s="25"/>
      <c r="D94" s="25"/>
      <c r="E94" s="25"/>
      <c r="F94" s="25"/>
      <c r="G94" s="25"/>
      <c r="H94" s="25"/>
    </row>
    <row r="95" spans="1:8" x14ac:dyDescent="0.25">
      <c r="A95" s="25"/>
      <c r="B95" s="25"/>
      <c r="C95" s="25"/>
      <c r="D95" s="25"/>
      <c r="E95" s="25"/>
      <c r="F95" s="25"/>
      <c r="G95" s="25"/>
      <c r="H95" s="25"/>
    </row>
    <row r="96" spans="1:8" x14ac:dyDescent="0.25">
      <c r="A96" s="25"/>
      <c r="B96" s="25"/>
      <c r="C96" s="25"/>
      <c r="D96" s="25"/>
      <c r="E96" s="25"/>
      <c r="F96" s="25"/>
      <c r="G96" s="25"/>
      <c r="H96" s="25"/>
    </row>
    <row r="97" spans="1:8" x14ac:dyDescent="0.25">
      <c r="A97" s="25"/>
      <c r="B97" s="25"/>
      <c r="C97" s="25"/>
      <c r="D97" s="25"/>
      <c r="E97" s="25"/>
      <c r="F97" s="25"/>
      <c r="G97" s="25"/>
      <c r="H97" s="25"/>
    </row>
    <row r="98" spans="1:8" x14ac:dyDescent="0.25">
      <c r="A98" s="25"/>
      <c r="B98" s="25"/>
      <c r="C98" s="25"/>
      <c r="D98" s="25"/>
      <c r="E98" s="25"/>
      <c r="F98" s="25"/>
      <c r="G98" s="25"/>
      <c r="H98" s="25"/>
    </row>
    <row r="99" spans="1:8" x14ac:dyDescent="0.25">
      <c r="A99" s="25"/>
      <c r="B99" s="25"/>
      <c r="C99" s="25"/>
      <c r="D99" s="25"/>
      <c r="E99" s="25"/>
      <c r="F99" s="25"/>
      <c r="G99" s="25"/>
      <c r="H99" s="25"/>
    </row>
    <row r="100" spans="1:8" x14ac:dyDescent="0.25">
      <c r="A100" s="25"/>
      <c r="B100" s="25"/>
      <c r="C100" s="25"/>
      <c r="D100" s="25"/>
      <c r="E100" s="25"/>
      <c r="F100" s="25"/>
      <c r="G100" s="25"/>
      <c r="H100" s="25"/>
    </row>
    <row r="101" spans="1:8" x14ac:dyDescent="0.25">
      <c r="A101" s="25"/>
      <c r="B101" s="25"/>
      <c r="C101" s="25"/>
      <c r="D101" s="25"/>
      <c r="E101" s="25"/>
      <c r="F101" s="25"/>
      <c r="G101" s="25"/>
      <c r="H101" s="25"/>
    </row>
    <row r="102" spans="1:8" x14ac:dyDescent="0.25">
      <c r="A102" s="25"/>
      <c r="B102" s="25"/>
      <c r="C102" s="25"/>
      <c r="D102" s="25"/>
      <c r="E102" s="25"/>
      <c r="F102" s="25"/>
      <c r="G102" s="25"/>
      <c r="H102" s="25"/>
    </row>
    <row r="103" spans="1:8" x14ac:dyDescent="0.25">
      <c r="A103" s="25"/>
      <c r="B103" s="25"/>
      <c r="C103" s="25"/>
      <c r="D103" s="25"/>
      <c r="E103" s="25"/>
      <c r="F103" s="25"/>
      <c r="G103" s="25"/>
      <c r="H103" s="25"/>
    </row>
    <row r="104" spans="1:8" x14ac:dyDescent="0.25">
      <c r="A104" s="25"/>
      <c r="B104" s="25"/>
      <c r="C104" s="25"/>
      <c r="D104" s="25"/>
      <c r="E104" s="25"/>
      <c r="F104" s="25"/>
      <c r="G104" s="25"/>
      <c r="H104" s="25"/>
    </row>
    <row r="105" spans="1:8" x14ac:dyDescent="0.25">
      <c r="A105" s="25"/>
      <c r="B105" s="25"/>
      <c r="C105" s="25"/>
      <c r="D105" s="25"/>
      <c r="E105" s="25"/>
      <c r="F105" s="25"/>
      <c r="G105" s="25"/>
      <c r="H105" s="25"/>
    </row>
    <row r="106" spans="1:8" x14ac:dyDescent="0.25">
      <c r="A106" s="25"/>
      <c r="B106" s="25"/>
      <c r="C106" s="25"/>
      <c r="D106" s="25"/>
      <c r="E106" s="25"/>
      <c r="F106" s="25"/>
      <c r="G106" s="25"/>
      <c r="H106" s="25"/>
    </row>
    <row r="107" spans="1:8" x14ac:dyDescent="0.25">
      <c r="A107" s="25"/>
      <c r="B107" s="25"/>
      <c r="C107" s="25"/>
      <c r="D107" s="25"/>
      <c r="E107" s="25"/>
      <c r="F107" s="25"/>
      <c r="G107" s="25"/>
      <c r="H107" s="25"/>
    </row>
    <row r="108" spans="1:8" x14ac:dyDescent="0.25">
      <c r="A108" s="25"/>
      <c r="B108" s="25"/>
      <c r="C108" s="25"/>
      <c r="D108" s="25"/>
      <c r="E108" s="25"/>
      <c r="F108" s="25"/>
      <c r="G108" s="25"/>
      <c r="H108" s="25"/>
    </row>
    <row r="109" spans="1:8" x14ac:dyDescent="0.25">
      <c r="A109" s="25"/>
      <c r="B109" s="25"/>
      <c r="C109" s="25"/>
      <c r="D109" s="25"/>
      <c r="E109" s="25"/>
      <c r="F109" s="25"/>
      <c r="G109" s="25"/>
      <c r="H109" s="25"/>
    </row>
    <row r="110" spans="1:8" x14ac:dyDescent="0.25">
      <c r="A110" s="25"/>
      <c r="B110" s="25"/>
      <c r="C110" s="25"/>
      <c r="D110" s="25"/>
      <c r="E110" s="25"/>
      <c r="F110" s="25"/>
      <c r="G110" s="25"/>
      <c r="H110" s="25"/>
    </row>
    <row r="111" spans="1:8" x14ac:dyDescent="0.25">
      <c r="A111" s="25"/>
      <c r="B111" s="25"/>
      <c r="C111" s="25"/>
      <c r="D111" s="25"/>
      <c r="E111" s="25"/>
      <c r="F111" s="25"/>
      <c r="G111" s="25"/>
      <c r="H111" s="25"/>
    </row>
    <row r="112" spans="1:8" x14ac:dyDescent="0.25">
      <c r="A112" s="25"/>
      <c r="B112" s="25"/>
      <c r="C112" s="25"/>
      <c r="D112" s="25"/>
      <c r="E112" s="25"/>
      <c r="F112" s="25"/>
      <c r="G112" s="25"/>
      <c r="H112" s="25"/>
    </row>
    <row r="113" spans="1:8" x14ac:dyDescent="0.25">
      <c r="A113" s="25"/>
      <c r="B113" s="25"/>
      <c r="C113" s="25"/>
      <c r="D113" s="25"/>
      <c r="E113" s="25"/>
      <c r="F113" s="25"/>
      <c r="G113" s="25"/>
      <c r="H113" s="25"/>
    </row>
    <row r="114" spans="1:8" x14ac:dyDescent="0.25">
      <c r="A114" s="25"/>
      <c r="B114" s="25"/>
      <c r="C114" s="25"/>
      <c r="D114" s="25"/>
      <c r="E114" s="25"/>
      <c r="F114" s="25"/>
      <c r="G114" s="25"/>
      <c r="H114" s="25"/>
    </row>
    <row r="115" spans="1:8" x14ac:dyDescent="0.25">
      <c r="A115" s="25"/>
      <c r="B115" s="25"/>
      <c r="C115" s="25"/>
      <c r="D115" s="25"/>
      <c r="E115" s="25"/>
      <c r="F115" s="25"/>
      <c r="G115" s="25"/>
      <c r="H115" s="25"/>
    </row>
    <row r="116" spans="1:8" x14ac:dyDescent="0.25">
      <c r="A116" s="25"/>
      <c r="B116" s="25"/>
      <c r="C116" s="25"/>
      <c r="D116" s="25"/>
      <c r="E116" s="25"/>
      <c r="F116" s="25"/>
      <c r="G116" s="25"/>
      <c r="H116" s="25"/>
    </row>
    <row r="117" spans="1:8" x14ac:dyDescent="0.25">
      <c r="A117" s="25"/>
      <c r="B117" s="25"/>
      <c r="C117" s="25"/>
      <c r="D117" s="25"/>
      <c r="E117" s="25"/>
      <c r="F117" s="25"/>
      <c r="G117" s="25"/>
      <c r="H117" s="25"/>
    </row>
    <row r="118" spans="1:8" x14ac:dyDescent="0.25">
      <c r="A118" s="25"/>
      <c r="B118" s="25"/>
      <c r="C118" s="25"/>
      <c r="D118" s="25"/>
      <c r="E118" s="25"/>
      <c r="F118" s="25"/>
      <c r="G118" s="25"/>
      <c r="H118" s="25"/>
    </row>
    <row r="119" spans="1:8" x14ac:dyDescent="0.25">
      <c r="A119" s="25"/>
      <c r="B119" s="25"/>
      <c r="C119" s="25"/>
      <c r="D119" s="25"/>
      <c r="E119" s="25"/>
      <c r="F119" s="25"/>
      <c r="G119" s="25"/>
      <c r="H119" s="25"/>
    </row>
    <row r="120" spans="1:8" x14ac:dyDescent="0.25">
      <c r="A120" s="25"/>
      <c r="B120" s="25"/>
      <c r="C120" s="25"/>
      <c r="D120" s="25"/>
      <c r="E120" s="25"/>
      <c r="F120" s="25"/>
      <c r="G120" s="25"/>
      <c r="H120" s="25"/>
    </row>
    <row r="121" spans="1:8" x14ac:dyDescent="0.25">
      <c r="A121" s="25"/>
      <c r="B121" s="25"/>
      <c r="C121" s="25"/>
      <c r="D121" s="25"/>
      <c r="E121" s="25"/>
      <c r="F121" s="25"/>
      <c r="G121" s="25"/>
      <c r="H121" s="25"/>
    </row>
    <row r="122" spans="1:8" x14ac:dyDescent="0.25">
      <c r="A122" s="25"/>
      <c r="B122" s="25"/>
      <c r="C122" s="25"/>
      <c r="D122" s="25"/>
      <c r="E122" s="25"/>
      <c r="F122" s="25"/>
      <c r="G122" s="25"/>
      <c r="H122" s="25"/>
    </row>
    <row r="123" spans="1:8" x14ac:dyDescent="0.25">
      <c r="A123" s="25"/>
      <c r="B123" s="25"/>
      <c r="C123" s="25"/>
      <c r="D123" s="25"/>
      <c r="E123" s="25"/>
      <c r="F123" s="25"/>
      <c r="G123" s="25"/>
      <c r="H123" s="25"/>
    </row>
    <row r="124" spans="1:8" x14ac:dyDescent="0.25">
      <c r="A124" s="25"/>
      <c r="B124" s="25"/>
      <c r="C124" s="25"/>
      <c r="D124" s="25"/>
      <c r="E124" s="25"/>
      <c r="F124" s="25"/>
      <c r="G124" s="25"/>
      <c r="H124" s="25"/>
    </row>
    <row r="125" spans="1:8" x14ac:dyDescent="0.25">
      <c r="A125" s="25"/>
      <c r="B125" s="25"/>
      <c r="C125" s="25"/>
      <c r="D125" s="25"/>
      <c r="E125" s="25"/>
      <c r="F125" s="25"/>
      <c r="G125" s="25"/>
      <c r="H125" s="25"/>
    </row>
    <row r="126" spans="1:8" x14ac:dyDescent="0.25">
      <c r="A126" s="25"/>
      <c r="B126" s="25"/>
      <c r="C126" s="25"/>
      <c r="D126" s="25"/>
      <c r="E126" s="25"/>
      <c r="F126" s="25"/>
      <c r="G126" s="25"/>
      <c r="H126" s="25"/>
    </row>
    <row r="127" spans="1:8" x14ac:dyDescent="0.25">
      <c r="A127" s="25"/>
      <c r="B127" s="25"/>
      <c r="C127" s="25"/>
      <c r="D127" s="25"/>
      <c r="E127" s="25"/>
      <c r="F127" s="25"/>
      <c r="G127" s="25"/>
      <c r="H127" s="25"/>
    </row>
    <row r="128" spans="1:8" x14ac:dyDescent="0.25">
      <c r="A128" s="25"/>
      <c r="B128" s="25"/>
      <c r="C128" s="25"/>
      <c r="D128" s="25"/>
      <c r="E128" s="25"/>
      <c r="F128" s="25"/>
      <c r="G128" s="25"/>
      <c r="H128" s="25"/>
    </row>
    <row r="129" spans="1:8" x14ac:dyDescent="0.25">
      <c r="A129" s="25"/>
      <c r="B129" s="25"/>
      <c r="C129" s="25"/>
      <c r="D129" s="25"/>
      <c r="E129" s="25"/>
      <c r="F129" s="25"/>
      <c r="G129" s="25"/>
      <c r="H129" s="25"/>
    </row>
    <row r="130" spans="1:8" x14ac:dyDescent="0.25">
      <c r="A130" s="25"/>
      <c r="B130" s="25"/>
      <c r="C130" s="25"/>
      <c r="D130" s="25"/>
      <c r="E130" s="25"/>
      <c r="F130" s="25"/>
      <c r="G130" s="25"/>
      <c r="H130" s="25"/>
    </row>
    <row r="131" spans="1:8" x14ac:dyDescent="0.25">
      <c r="A131" s="25"/>
      <c r="B131" s="25"/>
      <c r="C131" s="25"/>
      <c r="D131" s="25"/>
      <c r="E131" s="25"/>
      <c r="F131" s="25"/>
      <c r="G131" s="25"/>
      <c r="H131" s="25"/>
    </row>
    <row r="132" spans="1:8" x14ac:dyDescent="0.25">
      <c r="A132" s="25"/>
      <c r="B132" s="25"/>
      <c r="C132" s="25"/>
      <c r="D132" s="25"/>
      <c r="E132" s="25"/>
      <c r="F132" s="25"/>
      <c r="G132" s="25"/>
      <c r="H132" s="25"/>
    </row>
    <row r="133" spans="1:8" x14ac:dyDescent="0.25">
      <c r="A133" s="25"/>
      <c r="B133" s="25"/>
      <c r="C133" s="25"/>
      <c r="D133" s="25"/>
      <c r="E133" s="25"/>
      <c r="F133" s="25"/>
      <c r="G133" s="25"/>
      <c r="H133" s="25"/>
    </row>
    <row r="134" spans="1:8" x14ac:dyDescent="0.25">
      <c r="A134" s="25"/>
      <c r="B134" s="25"/>
      <c r="C134" s="25"/>
      <c r="D134" s="25"/>
      <c r="E134" s="25"/>
      <c r="F134" s="25"/>
      <c r="G134" s="25"/>
      <c r="H134" s="25"/>
    </row>
    <row r="135" spans="1:8" x14ac:dyDescent="0.25">
      <c r="A135" s="25"/>
      <c r="B135" s="25"/>
      <c r="C135" s="25"/>
      <c r="D135" s="25"/>
      <c r="E135" s="25"/>
      <c r="F135" s="25"/>
      <c r="G135" s="25"/>
      <c r="H135" s="25"/>
    </row>
    <row r="136" spans="1:8" x14ac:dyDescent="0.25">
      <c r="A136" s="25"/>
      <c r="B136" s="25"/>
      <c r="C136" s="25"/>
      <c r="D136" s="25"/>
      <c r="E136" s="25"/>
      <c r="F136" s="25"/>
      <c r="G136" s="25"/>
      <c r="H136" s="25"/>
    </row>
    <row r="137" spans="1:8" x14ac:dyDescent="0.25">
      <c r="A137" s="25"/>
      <c r="B137" s="25"/>
      <c r="C137" s="25"/>
      <c r="D137" s="25"/>
      <c r="E137" s="25"/>
      <c r="F137" s="25"/>
      <c r="G137" s="25"/>
      <c r="H137" s="25"/>
    </row>
    <row r="138" spans="1:8" x14ac:dyDescent="0.25">
      <c r="A138" s="25"/>
      <c r="B138" s="25"/>
      <c r="C138" s="25"/>
      <c r="D138" s="25"/>
      <c r="E138" s="25"/>
      <c r="F138" s="25"/>
      <c r="G138" s="25"/>
      <c r="H138" s="25"/>
    </row>
    <row r="139" spans="1:8" x14ac:dyDescent="0.25">
      <c r="A139" s="25"/>
      <c r="B139" s="25"/>
      <c r="C139" s="25"/>
      <c r="D139" s="25"/>
      <c r="E139" s="25"/>
      <c r="F139" s="25"/>
      <c r="G139" s="25"/>
      <c r="H139" s="25"/>
    </row>
    <row r="140" spans="1:8" x14ac:dyDescent="0.25">
      <c r="A140" s="25"/>
      <c r="B140" s="25"/>
      <c r="C140" s="25"/>
      <c r="D140" s="25"/>
      <c r="E140" s="25"/>
      <c r="F140" s="25"/>
      <c r="G140" s="25"/>
      <c r="H140" s="25"/>
    </row>
    <row r="141" spans="1:8" x14ac:dyDescent="0.25">
      <c r="A141" s="25"/>
      <c r="B141" s="25"/>
      <c r="C141" s="25"/>
      <c r="D141" s="25"/>
      <c r="E141" s="25"/>
      <c r="F141" s="25"/>
      <c r="G141" s="25"/>
      <c r="H141" s="25"/>
    </row>
    <row r="142" spans="1:8" x14ac:dyDescent="0.25">
      <c r="A142" s="25"/>
      <c r="B142" s="25"/>
      <c r="C142" s="25"/>
      <c r="D142" s="25"/>
      <c r="E142" s="25"/>
      <c r="F142" s="25"/>
      <c r="G142" s="25"/>
      <c r="H142" s="25"/>
    </row>
    <row r="143" spans="1:8" x14ac:dyDescent="0.25">
      <c r="A143" s="25"/>
      <c r="B143" s="25"/>
      <c r="C143" s="25"/>
      <c r="D143" s="25"/>
      <c r="E143" s="25"/>
      <c r="F143" s="25"/>
      <c r="G143" s="25"/>
      <c r="H143" s="25"/>
    </row>
    <row r="144" spans="1:8" x14ac:dyDescent="0.25">
      <c r="A144" s="25"/>
      <c r="B144" s="25"/>
      <c r="C144" s="25"/>
      <c r="D144" s="25"/>
      <c r="E144" s="25"/>
      <c r="F144" s="25"/>
      <c r="G144" s="25"/>
      <c r="H144" s="25"/>
    </row>
    <row r="145" spans="1:8" x14ac:dyDescent="0.25">
      <c r="A145" s="25"/>
      <c r="B145" s="25"/>
      <c r="C145" s="25"/>
      <c r="D145" s="25"/>
      <c r="E145" s="25"/>
      <c r="F145" s="25"/>
      <c r="G145" s="25"/>
      <c r="H145" s="25"/>
    </row>
    <row r="146" spans="1:8" x14ac:dyDescent="0.25">
      <c r="A146" s="25"/>
      <c r="B146" s="25"/>
      <c r="C146" s="25"/>
      <c r="D146" s="25"/>
      <c r="E146" s="25"/>
      <c r="F146" s="25"/>
      <c r="G146" s="25"/>
      <c r="H146" s="25"/>
    </row>
    <row r="147" spans="1:8" x14ac:dyDescent="0.25">
      <c r="A147" s="25"/>
      <c r="B147" s="25"/>
      <c r="C147" s="25"/>
      <c r="D147" s="25"/>
      <c r="E147" s="25"/>
      <c r="F147" s="25"/>
      <c r="G147" s="25"/>
      <c r="H147" s="25"/>
    </row>
    <row r="148" spans="1:8" x14ac:dyDescent="0.25">
      <c r="A148" s="25"/>
      <c r="B148" s="25"/>
      <c r="C148" s="25"/>
      <c r="D148" s="25"/>
      <c r="E148" s="25"/>
      <c r="F148" s="25"/>
      <c r="G148" s="25"/>
      <c r="H148" s="25"/>
    </row>
    <row r="149" spans="1:8" x14ac:dyDescent="0.25">
      <c r="A149" s="25"/>
      <c r="B149" s="25"/>
      <c r="C149" s="25"/>
      <c r="D149" s="25"/>
      <c r="E149" s="25"/>
      <c r="F149" s="25"/>
      <c r="G149" s="25"/>
      <c r="H149" s="25"/>
    </row>
    <row r="150" spans="1:8" x14ac:dyDescent="0.25">
      <c r="A150" s="25"/>
      <c r="B150" s="25"/>
      <c r="C150" s="25"/>
      <c r="D150" s="25"/>
      <c r="E150" s="25"/>
      <c r="F150" s="25"/>
      <c r="G150" s="25"/>
      <c r="H150" s="25"/>
    </row>
    <row r="151" spans="1:8" x14ac:dyDescent="0.25">
      <c r="A151" s="25"/>
      <c r="B151" s="25"/>
      <c r="C151" s="25"/>
      <c r="D151" s="25"/>
      <c r="E151" s="25"/>
      <c r="F151" s="25"/>
      <c r="G151" s="25"/>
      <c r="H151" s="25"/>
    </row>
    <row r="152" spans="1:8" x14ac:dyDescent="0.25">
      <c r="A152" s="25"/>
      <c r="B152" s="25"/>
      <c r="C152" s="25"/>
      <c r="D152" s="25"/>
      <c r="E152" s="25"/>
      <c r="F152" s="25"/>
      <c r="G152" s="25"/>
      <c r="H152" s="25"/>
    </row>
    <row r="153" spans="1:8" x14ac:dyDescent="0.25">
      <c r="A153" s="25"/>
      <c r="B153" s="25"/>
      <c r="C153" s="25"/>
      <c r="D153" s="25"/>
      <c r="E153" s="25"/>
      <c r="F153" s="25"/>
      <c r="G153" s="25"/>
      <c r="H153" s="25"/>
    </row>
    <row r="154" spans="1:8" x14ac:dyDescent="0.25">
      <c r="A154" s="25"/>
      <c r="B154" s="25"/>
      <c r="C154" s="25"/>
      <c r="D154" s="25"/>
      <c r="E154" s="25"/>
      <c r="F154" s="25"/>
      <c r="G154" s="25"/>
      <c r="H154" s="25"/>
    </row>
    <row r="155" spans="1:8" x14ac:dyDescent="0.25">
      <c r="A155" s="25"/>
      <c r="B155" s="25"/>
      <c r="C155" s="25"/>
      <c r="D155" s="25"/>
      <c r="E155" s="25"/>
      <c r="F155" s="25"/>
      <c r="G155" s="25"/>
      <c r="H155" s="25"/>
    </row>
    <row r="156" spans="1:8" x14ac:dyDescent="0.25">
      <c r="A156" s="25"/>
      <c r="B156" s="25"/>
      <c r="C156" s="25"/>
      <c r="D156" s="25"/>
      <c r="E156" s="25"/>
      <c r="F156" s="25"/>
      <c r="G156" s="25"/>
      <c r="H156" s="25"/>
    </row>
    <row r="157" spans="1:8" x14ac:dyDescent="0.25">
      <c r="A157" s="25"/>
      <c r="B157" s="25"/>
      <c r="C157" s="25"/>
      <c r="D157" s="25"/>
      <c r="E157" s="25"/>
      <c r="F157" s="25"/>
      <c r="G157" s="25"/>
      <c r="H157" s="25"/>
    </row>
    <row r="158" spans="1:8" x14ac:dyDescent="0.25">
      <c r="A158" s="25"/>
      <c r="B158" s="25"/>
      <c r="C158" s="25"/>
      <c r="D158" s="25"/>
      <c r="E158" s="25"/>
      <c r="F158" s="25"/>
      <c r="G158" s="25"/>
      <c r="H158" s="25"/>
    </row>
    <row r="159" spans="1:8" x14ac:dyDescent="0.25">
      <c r="A159" s="25"/>
      <c r="B159" s="25"/>
      <c r="C159" s="25"/>
      <c r="D159" s="25"/>
      <c r="E159" s="25"/>
      <c r="F159" s="25"/>
      <c r="G159" s="25"/>
      <c r="H159" s="25"/>
    </row>
    <row r="160" spans="1:8" x14ac:dyDescent="0.25">
      <c r="A160" s="25"/>
      <c r="B160" s="25"/>
      <c r="C160" s="25"/>
      <c r="D160" s="25"/>
      <c r="E160" s="25"/>
      <c r="F160" s="25"/>
      <c r="G160" s="25"/>
      <c r="H160" s="25"/>
    </row>
    <row r="161" spans="1:8" x14ac:dyDescent="0.25">
      <c r="A161" s="25"/>
      <c r="B161" s="25"/>
      <c r="C161" s="25"/>
      <c r="D161" s="25"/>
      <c r="E161" s="25"/>
      <c r="F161" s="25"/>
      <c r="G161" s="25"/>
      <c r="H161" s="25"/>
    </row>
    <row r="162" spans="1:8" x14ac:dyDescent="0.25">
      <c r="A162" s="25"/>
      <c r="B162" s="25"/>
      <c r="C162" s="25"/>
      <c r="D162" s="25"/>
      <c r="E162" s="25"/>
      <c r="F162" s="25"/>
      <c r="G162" s="25"/>
      <c r="H162" s="25"/>
    </row>
    <row r="163" spans="1:8" x14ac:dyDescent="0.25">
      <c r="A163" s="25"/>
      <c r="B163" s="25"/>
      <c r="C163" s="25"/>
      <c r="D163" s="25"/>
      <c r="E163" s="25"/>
      <c r="F163" s="25"/>
      <c r="G163" s="25"/>
      <c r="H163" s="25"/>
    </row>
    <row r="164" spans="1:8" x14ac:dyDescent="0.25">
      <c r="A164" s="25"/>
      <c r="B164" s="25"/>
      <c r="C164" s="25"/>
      <c r="D164" s="25"/>
      <c r="E164" s="25"/>
      <c r="F164" s="25"/>
      <c r="G164" s="25"/>
      <c r="H164" s="25"/>
    </row>
    <row r="165" spans="1:8" x14ac:dyDescent="0.25">
      <c r="A165" s="25"/>
      <c r="B165" s="25"/>
      <c r="C165" s="25"/>
      <c r="D165" s="25"/>
      <c r="E165" s="25"/>
      <c r="F165" s="25"/>
      <c r="G165" s="25"/>
      <c r="H165" s="25"/>
    </row>
    <row r="166" spans="1:8" x14ac:dyDescent="0.25">
      <c r="A166" s="25"/>
      <c r="B166" s="25"/>
      <c r="C166" s="25"/>
      <c r="D166" s="25"/>
      <c r="E166" s="25"/>
      <c r="F166" s="25"/>
      <c r="G166" s="25"/>
      <c r="H166" s="25"/>
    </row>
    <row r="167" spans="1:8" x14ac:dyDescent="0.25">
      <c r="A167" s="25"/>
      <c r="B167" s="25"/>
      <c r="C167" s="25"/>
      <c r="D167" s="25"/>
      <c r="E167" s="25"/>
      <c r="F167" s="25"/>
      <c r="G167" s="25"/>
      <c r="H167" s="25"/>
    </row>
    <row r="168" spans="1:8" x14ac:dyDescent="0.25">
      <c r="A168" s="25"/>
      <c r="B168" s="25"/>
      <c r="C168" s="25"/>
      <c r="D168" s="25"/>
      <c r="E168" s="25"/>
      <c r="F168" s="25"/>
      <c r="G168" s="25"/>
      <c r="H168" s="25"/>
    </row>
    <row r="169" spans="1:8" x14ac:dyDescent="0.25">
      <c r="A169" s="25"/>
      <c r="B169" s="25"/>
      <c r="C169" s="25"/>
      <c r="D169" s="25"/>
      <c r="E169" s="25"/>
      <c r="F169" s="25"/>
      <c r="G169" s="25"/>
      <c r="H169" s="25"/>
    </row>
    <row r="170" spans="1:8" x14ac:dyDescent="0.25">
      <c r="A170" s="25"/>
      <c r="B170" s="25"/>
      <c r="C170" s="25"/>
      <c r="D170" s="25"/>
      <c r="E170" s="25"/>
      <c r="F170" s="25"/>
      <c r="G170" s="25"/>
      <c r="H170" s="25"/>
    </row>
    <row r="171" spans="1:8" x14ac:dyDescent="0.25">
      <c r="A171" s="25"/>
      <c r="B171" s="25"/>
      <c r="C171" s="25"/>
      <c r="D171" s="25"/>
      <c r="E171" s="25"/>
      <c r="F171" s="25"/>
      <c r="G171" s="25"/>
      <c r="H171" s="25"/>
    </row>
    <row r="172" spans="1:8" x14ac:dyDescent="0.25">
      <c r="A172" s="25"/>
      <c r="B172" s="25"/>
      <c r="C172" s="25"/>
      <c r="D172" s="25"/>
      <c r="E172" s="25"/>
      <c r="F172" s="25"/>
      <c r="G172" s="25"/>
      <c r="H172" s="25"/>
    </row>
    <row r="173" spans="1:8" x14ac:dyDescent="0.25">
      <c r="A173" s="25"/>
      <c r="B173" s="25"/>
      <c r="C173" s="25"/>
      <c r="D173" s="25"/>
      <c r="E173" s="25"/>
      <c r="F173" s="25"/>
      <c r="G173" s="25"/>
      <c r="H173" s="25"/>
    </row>
    <row r="174" spans="1:8" x14ac:dyDescent="0.25">
      <c r="A174" s="25"/>
      <c r="B174" s="25"/>
      <c r="C174" s="25"/>
      <c r="D174" s="25"/>
      <c r="E174" s="25"/>
      <c r="F174" s="25"/>
      <c r="G174" s="25"/>
      <c r="H174" s="25"/>
    </row>
    <row r="175" spans="1:8" x14ac:dyDescent="0.25">
      <c r="A175" s="25"/>
      <c r="B175" s="25"/>
      <c r="C175" s="25"/>
      <c r="D175" s="25"/>
      <c r="E175" s="25"/>
      <c r="F175" s="25"/>
      <c r="G175" s="25"/>
      <c r="H175" s="25"/>
    </row>
    <row r="176" spans="1:8" x14ac:dyDescent="0.25">
      <c r="A176" s="25"/>
      <c r="B176" s="25"/>
      <c r="C176" s="25"/>
      <c r="D176" s="25"/>
      <c r="E176" s="25"/>
      <c r="F176" s="25"/>
      <c r="G176" s="25"/>
      <c r="H176" s="25"/>
    </row>
    <row r="177" spans="1:8" x14ac:dyDescent="0.25">
      <c r="A177" s="25"/>
      <c r="B177" s="25"/>
      <c r="C177" s="25"/>
      <c r="D177" s="25"/>
      <c r="E177" s="25"/>
      <c r="F177" s="25"/>
      <c r="G177" s="25"/>
      <c r="H177" s="25"/>
    </row>
    <row r="178" spans="1:8" x14ac:dyDescent="0.25">
      <c r="A178" s="25"/>
      <c r="B178" s="25"/>
      <c r="C178" s="25"/>
      <c r="D178" s="25"/>
      <c r="E178" s="25"/>
      <c r="F178" s="25"/>
      <c r="G178" s="25"/>
      <c r="H178" s="25"/>
    </row>
    <row r="179" spans="1:8" x14ac:dyDescent="0.25">
      <c r="A179" s="25"/>
      <c r="B179" s="25"/>
      <c r="C179" s="25"/>
      <c r="D179" s="25"/>
      <c r="E179" s="25"/>
      <c r="F179" s="25"/>
      <c r="G179" s="25"/>
      <c r="H179" s="25"/>
    </row>
    <row r="180" spans="1:8" x14ac:dyDescent="0.25">
      <c r="A180" s="25"/>
      <c r="B180" s="25"/>
      <c r="C180" s="25"/>
      <c r="D180" s="25"/>
      <c r="E180" s="25"/>
      <c r="F180" s="25"/>
      <c r="G180" s="25"/>
      <c r="H180" s="25"/>
    </row>
    <row r="181" spans="1:8" x14ac:dyDescent="0.25">
      <c r="A181" s="25"/>
      <c r="B181" s="25"/>
      <c r="C181" s="25"/>
      <c r="D181" s="25"/>
      <c r="E181" s="25"/>
      <c r="F181" s="25"/>
      <c r="G181" s="25"/>
      <c r="H181" s="25"/>
    </row>
    <row r="182" spans="1:8" x14ac:dyDescent="0.25">
      <c r="A182" s="25"/>
      <c r="B182" s="25"/>
      <c r="C182" s="25"/>
      <c r="D182" s="25"/>
      <c r="E182" s="25"/>
      <c r="F182" s="25"/>
      <c r="G182" s="25"/>
      <c r="H182" s="25"/>
    </row>
    <row r="183" spans="1:8" x14ac:dyDescent="0.25">
      <c r="A183" s="25"/>
      <c r="B183" s="25"/>
      <c r="C183" s="25"/>
      <c r="D183" s="25"/>
      <c r="E183" s="25"/>
      <c r="F183" s="25"/>
      <c r="G183" s="25"/>
      <c r="H183" s="25"/>
    </row>
    <row r="184" spans="1:8" x14ac:dyDescent="0.25">
      <c r="A184" s="25"/>
      <c r="B184" s="25"/>
      <c r="C184" s="25"/>
      <c r="D184" s="25"/>
      <c r="E184" s="25"/>
      <c r="F184" s="25"/>
      <c r="G184" s="25"/>
      <c r="H184" s="25"/>
    </row>
    <row r="185" spans="1:8" x14ac:dyDescent="0.25">
      <c r="A185" s="25"/>
      <c r="B185" s="25"/>
      <c r="C185" s="25"/>
      <c r="D185" s="25"/>
      <c r="E185" s="25"/>
      <c r="F185" s="25"/>
      <c r="G185" s="25"/>
      <c r="H185" s="25"/>
    </row>
    <row r="186" spans="1:8" x14ac:dyDescent="0.25">
      <c r="A186" s="25"/>
      <c r="B186" s="25"/>
      <c r="C186" s="25"/>
      <c r="D186" s="25"/>
      <c r="E186" s="25"/>
      <c r="F186" s="25"/>
      <c r="G186" s="25"/>
      <c r="H186" s="25"/>
    </row>
    <row r="187" spans="1:8" x14ac:dyDescent="0.25">
      <c r="A187" s="25"/>
      <c r="B187" s="25"/>
      <c r="C187" s="25"/>
      <c r="D187" s="25"/>
      <c r="E187" s="25"/>
      <c r="F187" s="25"/>
      <c r="G187" s="25"/>
      <c r="H187" s="25"/>
    </row>
    <row r="188" spans="1:8" x14ac:dyDescent="0.25">
      <c r="A188" s="25"/>
      <c r="B188" s="25"/>
      <c r="C188" s="25"/>
      <c r="D188" s="25"/>
      <c r="E188" s="25"/>
      <c r="F188" s="25"/>
      <c r="G188" s="25"/>
      <c r="H188" s="25"/>
    </row>
    <row r="189" spans="1:8" x14ac:dyDescent="0.25">
      <c r="A189" s="25"/>
      <c r="B189" s="25"/>
      <c r="C189" s="25"/>
      <c r="D189" s="25"/>
      <c r="E189" s="25"/>
      <c r="F189" s="25"/>
      <c r="G189" s="25"/>
      <c r="H189" s="25"/>
    </row>
    <row r="190" spans="1:8" x14ac:dyDescent="0.25">
      <c r="A190" s="25"/>
      <c r="B190" s="25"/>
      <c r="C190" s="25"/>
      <c r="D190" s="25"/>
      <c r="E190" s="25"/>
      <c r="F190" s="25"/>
      <c r="G190" s="25"/>
      <c r="H190" s="25"/>
    </row>
    <row r="191" spans="1:8" x14ac:dyDescent="0.25">
      <c r="A191" s="25"/>
      <c r="B191" s="25"/>
      <c r="C191" s="25"/>
      <c r="D191" s="25"/>
      <c r="E191" s="25"/>
      <c r="F191" s="25"/>
      <c r="G191" s="25"/>
      <c r="H191" s="25"/>
    </row>
    <row r="192" spans="1:8" x14ac:dyDescent="0.25">
      <c r="A192" s="25"/>
      <c r="B192" s="25"/>
      <c r="C192" s="25"/>
      <c r="D192" s="25"/>
      <c r="E192" s="25"/>
      <c r="F192" s="25"/>
      <c r="G192" s="25"/>
      <c r="H192" s="25"/>
    </row>
    <row r="193" spans="1:8" x14ac:dyDescent="0.25">
      <c r="A193" s="25"/>
      <c r="B193" s="25"/>
      <c r="C193" s="25"/>
      <c r="D193" s="25"/>
      <c r="E193" s="25"/>
      <c r="F193" s="25"/>
      <c r="G193" s="25"/>
      <c r="H193" s="25"/>
    </row>
    <row r="194" spans="1:8" x14ac:dyDescent="0.25">
      <c r="A194" s="25"/>
      <c r="B194" s="25"/>
      <c r="C194" s="25"/>
      <c r="D194" s="25"/>
      <c r="E194" s="25"/>
      <c r="F194" s="25"/>
      <c r="G194" s="25"/>
      <c r="H194" s="25"/>
    </row>
    <row r="195" spans="1:8" x14ac:dyDescent="0.25">
      <c r="A195" s="25"/>
      <c r="B195" s="25"/>
      <c r="C195" s="25"/>
      <c r="D195" s="25"/>
      <c r="E195" s="25"/>
      <c r="F195" s="25"/>
      <c r="G195" s="25"/>
      <c r="H195" s="25"/>
    </row>
    <row r="196" spans="1:8" x14ac:dyDescent="0.25">
      <c r="A196" s="25"/>
      <c r="B196" s="25"/>
      <c r="C196" s="25"/>
      <c r="D196" s="25"/>
      <c r="E196" s="25"/>
      <c r="F196" s="25"/>
      <c r="G196" s="25"/>
      <c r="H196" s="25"/>
    </row>
    <row r="197" spans="1:8" x14ac:dyDescent="0.25">
      <c r="A197" s="25"/>
      <c r="B197" s="25"/>
      <c r="C197" s="25"/>
      <c r="D197" s="25"/>
      <c r="E197" s="25"/>
      <c r="F197" s="25"/>
      <c r="G197" s="25"/>
      <c r="H197" s="25"/>
    </row>
    <row r="198" spans="1:8" x14ac:dyDescent="0.25">
      <c r="A198" s="25"/>
      <c r="B198" s="25"/>
      <c r="C198" s="25"/>
      <c r="D198" s="25"/>
      <c r="E198" s="25"/>
      <c r="F198" s="25"/>
      <c r="G198" s="25"/>
      <c r="H198" s="25"/>
    </row>
    <row r="199" spans="1:8" x14ac:dyDescent="0.25">
      <c r="A199" s="25"/>
      <c r="B199" s="25"/>
      <c r="C199" s="25"/>
      <c r="D199" s="25"/>
      <c r="E199" s="25"/>
      <c r="F199" s="25"/>
      <c r="G199" s="25"/>
      <c r="H199" s="25"/>
    </row>
    <row r="200" spans="1:8" x14ac:dyDescent="0.25">
      <c r="A200" s="25"/>
      <c r="B200" s="25"/>
      <c r="C200" s="25"/>
      <c r="D200" s="25"/>
      <c r="E200" s="25"/>
      <c r="F200" s="25"/>
      <c r="G200" s="25"/>
      <c r="H200" s="25"/>
    </row>
  </sheetData>
  <dataValidations count="8">
    <dataValidation type="list" allowBlank="1" showInputMessage="1" showErrorMessage="1" sqref="B2:B1048576" xr:uid="{1168EA0E-9118-41FA-B807-805BE8611012}">
      <formula1>"Oil,Gas"</formula1>
    </dataValidation>
    <dataValidation type="whole" allowBlank="1" showInputMessage="1" showErrorMessage="1" errorTitle="Data Type Error" error="The Year should be in Integer not String" sqref="A2:A1048576" xr:uid="{608DD8F8-2C54-4565-9407-A6E4D8FD232E}">
      <formula1>0</formula1>
      <formula2>9999</formula2>
    </dataValidation>
    <dataValidation type="whole" operator="greaterThan" allowBlank="1" showInputMessage="1" showErrorMessage="1" errorTitle="Data Type Error" error="The PDRI Portion should be in Integer or Float not String" sqref="H201:H1048576" xr:uid="{571F39CA-2596-4703-8FE7-ECBA82C1DAC5}">
      <formula1>0</formula1>
    </dataValidation>
    <dataValidation operator="greaterThan" allowBlank="1" showInputMessage="1" showErrorMessage="1" sqref="C201:E1048576" xr:uid="{57D8EB5D-3412-4A1B-A503-E277B73E46EB}"/>
    <dataValidation type="whole" operator="greaterThan" allowBlank="1" showInputMessage="1" showErrorMessage="1" errorTitle="Data Type Error" error="The PPN portion should be in Integer or Float not String" sqref="F201:G1048576" xr:uid="{D6BAAAA3-7123-4C72-8EA7-916A96E65F47}">
      <formula1>0</formula1>
    </dataValidation>
    <dataValidation type="decimal" operator="greaterThanOrEqual" allowBlank="1" showInputMessage="1" showErrorMessage="1" errorTitle="Data Type" error="Should be more than or equal to 0" sqref="C2:E200" xr:uid="{CE355227-2DA2-47D9-AAE9-9549B9AACA45}">
      <formula1>0</formula1>
    </dataValidation>
    <dataValidation type="decimal" allowBlank="1" showInputMessage="1" showErrorMessage="1" errorTitle="Data Type Error" error="Should be between 0 and 1" sqref="F2:G200" xr:uid="{FE6F9FC9-A019-4AC3-B8AA-590E6AF4DFEF}">
      <formula1>0</formula1>
      <formula2>1</formula2>
    </dataValidation>
    <dataValidation operator="greaterThan" allowBlank="1" showInputMessage="1" showErrorMessage="1" errorTitle="Data Type Error" error="The PDRI Portion should be in Integer or Float not String" sqref="H2:H200" xr:uid="{0A494F8E-FB6C-445E-B691-1674BEA51835}"/>
  </dataValidations>
  <pageMargins left="0.7" right="0.7" top="0.75" bottom="0.75" header="0.3" footer="0.3"/>
  <tableParts count="1">
    <tablePart r:id="rId1"/>
  </tableParts>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7E0E8-ACCF-41B2-B525-BC5DD9A3AB10}">
  <sheetPr codeName="Sheet4">
    <tabColor rgb="FFA3B8BA"/>
  </sheetPr>
  <dimension ref="A1:F86"/>
  <sheetViews>
    <sheetView showGridLines="0" zoomScaleNormal="100" workbookViewId="0">
      <selection activeCell="E12" sqref="E12"/>
    </sheetView>
  </sheetViews>
  <sheetFormatPr defaultColWidth="0" defaultRowHeight="15" zeroHeight="1" x14ac:dyDescent="0.25"/>
  <cols>
    <col min="1" max="1" width="5.28515625" customWidth="1"/>
    <col min="2" max="2" width="32.140625" customWidth="1"/>
    <col min="3" max="3" width="18.85546875" customWidth="1"/>
    <col min="4" max="4" width="8" bestFit="1" customWidth="1"/>
    <col min="5" max="5" width="8" customWidth="1"/>
    <col min="6" max="6" width="4.7109375" customWidth="1"/>
  </cols>
  <sheetData>
    <row r="1" spans="1:3" x14ac:dyDescent="0.25">
      <c r="A1" s="9" t="s">
        <v>105</v>
      </c>
    </row>
    <row r="2" spans="1:3" x14ac:dyDescent="0.25">
      <c r="B2" t="s">
        <v>406</v>
      </c>
      <c r="C2" s="22" t="s">
        <v>26</v>
      </c>
    </row>
    <row r="3" spans="1:3" x14ac:dyDescent="0.25">
      <c r="B3" t="s">
        <v>407</v>
      </c>
      <c r="C3" s="22" t="s">
        <v>26</v>
      </c>
    </row>
    <row r="4" spans="1:3" x14ac:dyDescent="0.25">
      <c r="B4" t="s">
        <v>408</v>
      </c>
      <c r="C4" s="29">
        <v>0.24</v>
      </c>
    </row>
    <row r="5" spans="1:3" x14ac:dyDescent="0.25">
      <c r="B5" t="s">
        <v>409</v>
      </c>
      <c r="C5" s="22" t="s">
        <v>26</v>
      </c>
    </row>
    <row r="6" spans="1:3" x14ac:dyDescent="0.25">
      <c r="B6" t="s">
        <v>410</v>
      </c>
      <c r="C6" s="22" t="s">
        <v>26</v>
      </c>
    </row>
    <row r="7" spans="1:3" x14ac:dyDescent="0.25">
      <c r="B7" t="s">
        <v>411</v>
      </c>
      <c r="C7" s="29">
        <v>0.24</v>
      </c>
    </row>
    <row r="8" spans="1:3" x14ac:dyDescent="0.25"/>
    <row r="9" spans="1:3" x14ac:dyDescent="0.25">
      <c r="A9" s="9" t="s">
        <v>110</v>
      </c>
    </row>
    <row r="10" spans="1:3" x14ac:dyDescent="0.25">
      <c r="B10" t="s">
        <v>109</v>
      </c>
      <c r="C10" s="22" t="s">
        <v>247</v>
      </c>
    </row>
    <row r="11" spans="1:3" x14ac:dyDescent="0.25">
      <c r="B11" t="s">
        <v>112</v>
      </c>
      <c r="C11" s="83">
        <v>0.34722219999999998</v>
      </c>
    </row>
    <row r="12" spans="1:3" x14ac:dyDescent="0.25">
      <c r="B12" t="s">
        <v>111</v>
      </c>
      <c r="C12" s="83">
        <v>0.52083299999999999</v>
      </c>
    </row>
    <row r="13" spans="1:3" x14ac:dyDescent="0.25"/>
    <row r="14" spans="1:3" x14ac:dyDescent="0.25">
      <c r="A14" s="9" t="s">
        <v>114</v>
      </c>
    </row>
    <row r="15" spans="1:3" x14ac:dyDescent="0.25">
      <c r="B15" t="s">
        <v>116</v>
      </c>
      <c r="C15" s="22" t="s">
        <v>120</v>
      </c>
    </row>
    <row r="16" spans="1:3" x14ac:dyDescent="0.25">
      <c r="B16" t="s">
        <v>113</v>
      </c>
      <c r="C16" s="26">
        <v>0</v>
      </c>
    </row>
    <row r="17" spans="1:3" x14ac:dyDescent="0.25">
      <c r="B17" t="s">
        <v>115</v>
      </c>
      <c r="C17" s="26">
        <v>0</v>
      </c>
    </row>
    <row r="18" spans="1:3" x14ac:dyDescent="0.25"/>
    <row r="19" spans="1:3" x14ac:dyDescent="0.25">
      <c r="A19" s="9" t="s">
        <v>117</v>
      </c>
    </row>
    <row r="20" spans="1:3" x14ac:dyDescent="0.25">
      <c r="B20" t="s">
        <v>118</v>
      </c>
      <c r="C20" s="26">
        <v>1</v>
      </c>
    </row>
    <row r="21" spans="1:3" x14ac:dyDescent="0.25">
      <c r="B21" t="s">
        <v>119</v>
      </c>
      <c r="C21" s="26">
        <v>1</v>
      </c>
    </row>
    <row r="22" spans="1:3" x14ac:dyDescent="0.25"/>
    <row r="23" spans="1:3" x14ac:dyDescent="0.25">
      <c r="A23" s="9" t="s">
        <v>256</v>
      </c>
    </row>
    <row r="24" spans="1:3" x14ac:dyDescent="0.25">
      <c r="B24" t="s">
        <v>255</v>
      </c>
      <c r="C24" s="22" t="s">
        <v>120</v>
      </c>
    </row>
    <row r="25" spans="1:3" x14ac:dyDescent="0.25"/>
    <row r="26" spans="1:3" x14ac:dyDescent="0.25">
      <c r="A26" s="9" t="s">
        <v>103</v>
      </c>
      <c r="C26" s="24"/>
    </row>
    <row r="27" spans="1:3" x14ac:dyDescent="0.25">
      <c r="B27" t="s">
        <v>62</v>
      </c>
      <c r="C27" s="22" t="s">
        <v>26</v>
      </c>
    </row>
    <row r="28" spans="1:3" x14ac:dyDescent="0.25">
      <c r="B28" t="s">
        <v>63</v>
      </c>
      <c r="C28" s="22">
        <v>60</v>
      </c>
    </row>
    <row r="29" spans="1:3" x14ac:dyDescent="0.25">
      <c r="B29" t="s">
        <v>64</v>
      </c>
      <c r="C29" s="23">
        <v>44927</v>
      </c>
    </row>
    <row r="30" spans="1:3" x14ac:dyDescent="0.25">
      <c r="B30" t="s">
        <v>65</v>
      </c>
      <c r="C30" s="29">
        <v>0.25</v>
      </c>
    </row>
    <row r="31" spans="1:3" x14ac:dyDescent="0.25">
      <c r="B31" t="s">
        <v>66</v>
      </c>
      <c r="C31" s="29">
        <v>0.25</v>
      </c>
    </row>
    <row r="32" spans="1:3" x14ac:dyDescent="0.25">
      <c r="C32" s="25"/>
    </row>
    <row r="33" spans="1:6" x14ac:dyDescent="0.25">
      <c r="A33" s="9" t="s">
        <v>104</v>
      </c>
      <c r="C33" s="24"/>
    </row>
    <row r="34" spans="1:6" x14ac:dyDescent="0.25">
      <c r="B34" t="s">
        <v>62</v>
      </c>
      <c r="C34" s="22" t="s">
        <v>26</v>
      </c>
    </row>
    <row r="35" spans="1:6" x14ac:dyDescent="0.25">
      <c r="B35" t="s">
        <v>63</v>
      </c>
      <c r="C35" s="22">
        <v>60</v>
      </c>
    </row>
    <row r="36" spans="1:6" x14ac:dyDescent="0.25">
      <c r="B36" t="s">
        <v>64</v>
      </c>
      <c r="C36" s="23">
        <v>44927</v>
      </c>
    </row>
    <row r="37" spans="1:6" x14ac:dyDescent="0.25">
      <c r="B37" t="s">
        <v>65</v>
      </c>
      <c r="C37" s="29">
        <v>0.25</v>
      </c>
    </row>
    <row r="38" spans="1:6" x14ac:dyDescent="0.25">
      <c r="B38" t="s">
        <v>66</v>
      </c>
      <c r="C38" s="29">
        <v>1</v>
      </c>
    </row>
    <row r="39" spans="1:6" x14ac:dyDescent="0.25"/>
    <row r="40" spans="1:6" hidden="1" x14ac:dyDescent="0.25">
      <c r="A40" s="9" t="s">
        <v>244</v>
      </c>
    </row>
    <row r="41" spans="1:6" ht="14.45" hidden="1" customHeight="1" x14ac:dyDescent="0.25">
      <c r="B41" s="118" t="s">
        <v>245</v>
      </c>
      <c r="C41" s="120" t="s">
        <v>246</v>
      </c>
      <c r="D41" s="114" t="s">
        <v>250</v>
      </c>
      <c r="E41" s="112" t="s">
        <v>251</v>
      </c>
      <c r="F41" s="45"/>
    </row>
    <row r="42" spans="1:6" hidden="1" x14ac:dyDescent="0.25">
      <c r="B42" s="119"/>
      <c r="C42" s="121"/>
      <c r="D42" s="115"/>
      <c r="E42" s="113"/>
    </row>
    <row r="43" spans="1:6" hidden="1" x14ac:dyDescent="0.25">
      <c r="B43" s="44">
        <v>0</v>
      </c>
      <c r="C43" s="46">
        <v>1</v>
      </c>
      <c r="D43" s="51">
        <v>0.313726</v>
      </c>
      <c r="E43" s="52">
        <v>0.54901999999999995</v>
      </c>
    </row>
    <row r="44" spans="1:6" hidden="1" x14ac:dyDescent="0.25">
      <c r="B44" s="44">
        <v>1</v>
      </c>
      <c r="C44" s="49">
        <v>1.2</v>
      </c>
      <c r="D44" s="51">
        <v>0.27450999999999998</v>
      </c>
      <c r="E44" s="52">
        <v>0.50980400000000003</v>
      </c>
    </row>
    <row r="45" spans="1:6" hidden="1" x14ac:dyDescent="0.25">
      <c r="A45" s="50"/>
      <c r="B45" s="48">
        <v>1.2</v>
      </c>
      <c r="C45" s="56">
        <v>1.4</v>
      </c>
      <c r="D45" s="57">
        <v>0.235295</v>
      </c>
      <c r="E45" s="52">
        <v>0.47058899999999998</v>
      </c>
    </row>
    <row r="46" spans="1:6" hidden="1" x14ac:dyDescent="0.25">
      <c r="A46" s="50"/>
      <c r="B46" s="48">
        <v>1.4</v>
      </c>
      <c r="C46" s="47">
        <v>1.6</v>
      </c>
      <c r="D46" s="52">
        <v>0.196079</v>
      </c>
      <c r="E46" s="52">
        <v>0.43137300000000001</v>
      </c>
    </row>
    <row r="47" spans="1:6" hidden="1" x14ac:dyDescent="0.25">
      <c r="B47" s="44">
        <v>1.6</v>
      </c>
      <c r="C47" s="49">
        <v>999</v>
      </c>
      <c r="D47" s="52">
        <v>0.156863</v>
      </c>
      <c r="E47" s="52">
        <v>0.39215699999999998</v>
      </c>
    </row>
    <row r="48" spans="1:6" hidden="1" x14ac:dyDescent="0.25">
      <c r="B48" s="44">
        <v>1.6</v>
      </c>
      <c r="C48" s="49">
        <v>999</v>
      </c>
      <c r="D48" s="52">
        <v>0.156863</v>
      </c>
      <c r="E48" s="52">
        <v>0.39215699999999998</v>
      </c>
    </row>
    <row r="49" spans="1:5" hidden="1" x14ac:dyDescent="0.25">
      <c r="B49" s="44">
        <v>1.6</v>
      </c>
      <c r="C49" s="49">
        <v>999</v>
      </c>
      <c r="D49" s="52">
        <v>0.156863</v>
      </c>
      <c r="E49" s="52">
        <v>0.39215699999999998</v>
      </c>
    </row>
    <row r="51" spans="1:5" x14ac:dyDescent="0.25">
      <c r="A51" s="9" t="s">
        <v>247</v>
      </c>
    </row>
    <row r="52" spans="1:5" ht="14.45" customHeight="1" x14ac:dyDescent="0.25">
      <c r="B52" s="118" t="s">
        <v>248</v>
      </c>
      <c r="C52" s="120" t="s">
        <v>249</v>
      </c>
      <c r="D52" s="114" t="s">
        <v>250</v>
      </c>
      <c r="E52" s="116" t="s">
        <v>251</v>
      </c>
    </row>
    <row r="53" spans="1:5" x14ac:dyDescent="0.25">
      <c r="B53" s="119"/>
      <c r="C53" s="121"/>
      <c r="D53" s="115"/>
      <c r="E53" s="117"/>
    </row>
    <row r="54" spans="1:5" x14ac:dyDescent="0.25">
      <c r="B54" s="44">
        <v>0</v>
      </c>
      <c r="C54" s="46">
        <v>40</v>
      </c>
      <c r="D54" s="52">
        <v>0.42016806722689098</v>
      </c>
      <c r="E54" s="52">
        <v>0.53571400000000002</v>
      </c>
    </row>
    <row r="55" spans="1:5" x14ac:dyDescent="0.25">
      <c r="B55" s="44">
        <v>40</v>
      </c>
      <c r="C55" s="49">
        <v>55</v>
      </c>
      <c r="D55" s="51">
        <v>0.42016806722689098</v>
      </c>
      <c r="E55" s="52">
        <v>0.53571400000000002</v>
      </c>
    </row>
    <row r="56" spans="1:5" x14ac:dyDescent="0.25">
      <c r="A56" s="50"/>
      <c r="B56" s="48">
        <v>55</v>
      </c>
      <c r="C56" s="47">
        <v>70</v>
      </c>
      <c r="D56" s="52">
        <v>0.42016806722689098</v>
      </c>
      <c r="E56" s="52">
        <v>0.53571400000000002</v>
      </c>
    </row>
    <row r="57" spans="1:5" x14ac:dyDescent="0.25">
      <c r="A57" s="50"/>
      <c r="B57" s="48">
        <v>70</v>
      </c>
      <c r="C57" s="47">
        <v>85</v>
      </c>
      <c r="D57" s="52">
        <v>0.42016806722689098</v>
      </c>
      <c r="E57" s="52">
        <v>0.53571400000000002</v>
      </c>
    </row>
    <row r="58" spans="1:5" x14ac:dyDescent="0.25">
      <c r="B58" s="44">
        <v>85</v>
      </c>
      <c r="C58" s="49">
        <v>100</v>
      </c>
      <c r="D58" s="53">
        <v>0.42016806722689098</v>
      </c>
      <c r="E58" s="54">
        <v>0.53571400000000002</v>
      </c>
    </row>
    <row r="59" spans="1:5" x14ac:dyDescent="0.25">
      <c r="B59" s="44">
        <v>100</v>
      </c>
      <c r="C59" s="44">
        <v>115</v>
      </c>
      <c r="D59" s="54">
        <v>0.42016806722689098</v>
      </c>
      <c r="E59" s="54">
        <v>0.53571400000000002</v>
      </c>
    </row>
    <row r="60" spans="1:5" x14ac:dyDescent="0.25">
      <c r="B60" s="44">
        <v>115</v>
      </c>
      <c r="C60" s="44">
        <v>999</v>
      </c>
      <c r="D60" s="54">
        <v>0.42016806722689098</v>
      </c>
      <c r="E60" s="54">
        <v>0.53571400000000002</v>
      </c>
    </row>
    <row r="61" spans="1:5" x14ac:dyDescent="0.25">
      <c r="B61" s="44">
        <v>115</v>
      </c>
      <c r="C61" s="44">
        <v>999</v>
      </c>
      <c r="D61" s="54">
        <v>0.42016806722689098</v>
      </c>
      <c r="E61" s="54">
        <v>0.53571400000000002</v>
      </c>
    </row>
    <row r="62" spans="1:5" x14ac:dyDescent="0.25"/>
    <row r="63" spans="1:5" x14ac:dyDescent="0.25">
      <c r="A63" s="9" t="s">
        <v>412</v>
      </c>
    </row>
    <row r="64" spans="1:5" x14ac:dyDescent="0.25">
      <c r="B64" s="94" t="s">
        <v>0</v>
      </c>
      <c r="C64" s="95" t="s">
        <v>413</v>
      </c>
    </row>
    <row r="65" spans="2:3" x14ac:dyDescent="0.25">
      <c r="B65" s="44">
        <v>2023</v>
      </c>
      <c r="C65" s="44">
        <v>0.02</v>
      </c>
    </row>
    <row r="66" spans="2:3" x14ac:dyDescent="0.25">
      <c r="B66" s="44">
        <v>2024</v>
      </c>
      <c r="C66" s="44">
        <v>0.03</v>
      </c>
    </row>
    <row r="67" spans="2:3" x14ac:dyDescent="0.25">
      <c r="B67" s="44">
        <v>2025</v>
      </c>
      <c r="C67" s="44">
        <v>0.04</v>
      </c>
    </row>
    <row r="68" spans="2:3" x14ac:dyDescent="0.25">
      <c r="B68" s="44">
        <v>2026</v>
      </c>
      <c r="C68" s="44">
        <v>0.05</v>
      </c>
    </row>
    <row r="69" spans="2:3" x14ac:dyDescent="0.25">
      <c r="B69" s="44">
        <v>2027</v>
      </c>
      <c r="C69" s="44">
        <v>0.06</v>
      </c>
    </row>
    <row r="70" spans="2:3" x14ac:dyDescent="0.25">
      <c r="B70" s="44">
        <v>2028</v>
      </c>
      <c r="C70" s="44">
        <v>7.0000000000000007E-2</v>
      </c>
    </row>
    <row r="71" spans="2:3" x14ac:dyDescent="0.25">
      <c r="B71" s="44">
        <v>2029</v>
      </c>
      <c r="C71" s="44">
        <v>0.08</v>
      </c>
    </row>
    <row r="72" spans="2:3" x14ac:dyDescent="0.25">
      <c r="B72" s="44">
        <v>2030</v>
      </c>
      <c r="C72" s="44">
        <v>0.09</v>
      </c>
    </row>
    <row r="73" spans="2:3" x14ac:dyDescent="0.25">
      <c r="B73" s="44">
        <v>2031</v>
      </c>
      <c r="C73" s="44">
        <v>0.1</v>
      </c>
    </row>
    <row r="74" spans="2:3" x14ac:dyDescent="0.25">
      <c r="B74" s="44">
        <v>2032</v>
      </c>
      <c r="C74" s="44">
        <v>0.11</v>
      </c>
    </row>
    <row r="75" spans="2:3" x14ac:dyDescent="0.25">
      <c r="B75" s="44">
        <v>2033</v>
      </c>
      <c r="C75" s="44">
        <v>0.12</v>
      </c>
    </row>
    <row r="76" spans="2:3" x14ac:dyDescent="0.25">
      <c r="B76" s="44">
        <v>2034</v>
      </c>
      <c r="C76" s="44">
        <v>0.13</v>
      </c>
    </row>
    <row r="77" spans="2:3" x14ac:dyDescent="0.25">
      <c r="B77" s="44">
        <v>2035</v>
      </c>
      <c r="C77" s="44">
        <v>0.14000000000000001</v>
      </c>
    </row>
    <row r="78" spans="2:3" x14ac:dyDescent="0.25">
      <c r="B78" s="44">
        <v>2036</v>
      </c>
      <c r="C78" s="44">
        <v>0.15</v>
      </c>
    </row>
    <row r="79" spans="2:3" x14ac:dyDescent="0.25">
      <c r="B79" s="44">
        <v>2037</v>
      </c>
      <c r="C79" s="44">
        <v>0.16</v>
      </c>
    </row>
    <row r="80" spans="2:3" x14ac:dyDescent="0.25">
      <c r="B80" s="44">
        <v>2038</v>
      </c>
      <c r="C80" s="44">
        <v>0.17</v>
      </c>
    </row>
    <row r="81" spans="2:3" x14ac:dyDescent="0.25">
      <c r="B81" s="44">
        <v>2039</v>
      </c>
      <c r="C81" s="44">
        <v>0.18</v>
      </c>
    </row>
    <row r="82" spans="2:3" x14ac:dyDescent="0.25">
      <c r="B82" s="44">
        <v>2040</v>
      </c>
      <c r="C82" s="44">
        <v>0.19</v>
      </c>
    </row>
    <row r="83" spans="2:3" x14ac:dyDescent="0.25">
      <c r="B83" s="44">
        <v>2041</v>
      </c>
      <c r="C83" s="44">
        <v>0.2</v>
      </c>
    </row>
    <row r="84" spans="2:3" x14ac:dyDescent="0.25">
      <c r="B84" s="44">
        <v>2042</v>
      </c>
      <c r="C84" s="44">
        <v>0.21</v>
      </c>
    </row>
    <row r="85" spans="2:3" x14ac:dyDescent="0.25"/>
    <row r="86" spans="2:3" x14ac:dyDescent="0.25"/>
  </sheetData>
  <mergeCells count="8">
    <mergeCell ref="E41:E42"/>
    <mergeCell ref="D52:D53"/>
    <mergeCell ref="E52:E53"/>
    <mergeCell ref="B41:B42"/>
    <mergeCell ref="C41:C42"/>
    <mergeCell ref="B52:B53"/>
    <mergeCell ref="C52:C53"/>
    <mergeCell ref="D41:D42"/>
  </mergeCells>
  <dataValidations count="5">
    <dataValidation type="date" allowBlank="1" showInputMessage="1" showErrorMessage="1" errorTitle="Data Type Error" error="Should be Data" sqref="C29 C36" xr:uid="{568DB18A-6608-4922-8D35-218C55EBF457}">
      <formula1>16438</formula1>
      <formula2>401769</formula2>
    </dataValidation>
    <dataValidation type="list" allowBlank="1" showInputMessage="1" showErrorMessage="1" sqref="C27 C34 C2:C3 C5:C6" xr:uid="{AC760F76-1BDA-45B4-B5F5-282FBE6A1577}">
      <formula1>"Yes,No"</formula1>
    </dataValidation>
    <dataValidation type="list" allowBlank="1" showInputMessage="1" showErrorMessage="1" sqref="C15 C24" xr:uid="{F8A64F74-DE64-44BC-AFAE-6AD6B67BDE08}">
      <formula1>"No,Yes"</formula1>
    </dataValidation>
    <dataValidation type="decimal" allowBlank="1" showInputMessage="1" showErrorMessage="1" errorTitle="Data Type" error="Should be between 0 and 1" sqref="C20:C21 C16:C17 C4 C7" xr:uid="{827668F7-C103-4DBD-B7C4-C35F9E0F4C62}">
      <formula1>0</formula1>
      <formula2>1</formula2>
    </dataValidation>
    <dataValidation type="decimal" allowBlank="1" showInputMessage="1" showErrorMessage="1" errorTitle="Data Type" error="Should be between 1 and 0" sqref="C11:C12" xr:uid="{AB717A03-74FB-4B14-8A30-5F88B2DBEF33}">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4" r:id="rId3" name="Spinner 2">
              <controlPr defaultSize="0" autoPict="0" macro="[0]!ThisWorkbook.ShowSplitTypeSheet1">
                <anchor moveWithCells="1" sizeWithCells="1">
                  <from>
                    <xdr:col>2</xdr:col>
                    <xdr:colOff>1123950</xdr:colOff>
                    <xdr:row>9</xdr:row>
                    <xdr:rowOff>9525</xdr:rowOff>
                  </from>
                  <to>
                    <xdr:col>2</xdr:col>
                    <xdr:colOff>1295400</xdr:colOff>
                    <xdr:row>9</xdr:row>
                    <xdr:rowOff>171450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9C2CAB-94D7-49FD-AD19-D7AA897A4F3F}">
  <sheetPr codeName="Sheet19">
    <tabColor rgb="FFA3B8BA"/>
  </sheetPr>
  <dimension ref="A1:F60"/>
  <sheetViews>
    <sheetView showGridLines="0" showRowColHeaders="0" zoomScaleNormal="100" workbookViewId="0">
      <selection activeCell="D28" sqref="D28"/>
    </sheetView>
  </sheetViews>
  <sheetFormatPr defaultColWidth="0" defaultRowHeight="14.45" customHeight="1" zeroHeight="1" x14ac:dyDescent="0.25"/>
  <cols>
    <col min="1" max="1" width="5.28515625" customWidth="1"/>
    <col min="2" max="2" width="32.140625" customWidth="1"/>
    <col min="3" max="3" width="18.85546875" customWidth="1"/>
    <col min="4" max="4" width="8" bestFit="1" customWidth="1"/>
    <col min="5" max="5" width="8" hidden="1" customWidth="1"/>
    <col min="6" max="6" width="4.7109375" hidden="1" customWidth="1"/>
  </cols>
  <sheetData>
    <row r="1" spans="1:3" ht="15" x14ac:dyDescent="0.25">
      <c r="A1" s="9" t="s">
        <v>105</v>
      </c>
    </row>
    <row r="2" spans="1:3" ht="15" x14ac:dyDescent="0.25">
      <c r="B2" t="s">
        <v>106</v>
      </c>
      <c r="C2" s="22" t="s">
        <v>26</v>
      </c>
    </row>
    <row r="3" spans="1:3" ht="15" x14ac:dyDescent="0.25">
      <c r="B3" t="s">
        <v>107</v>
      </c>
      <c r="C3" s="22" t="s">
        <v>26</v>
      </c>
    </row>
    <row r="4" spans="1:3" ht="15" x14ac:dyDescent="0.25">
      <c r="B4" t="s">
        <v>108</v>
      </c>
      <c r="C4" s="29">
        <v>0.2</v>
      </c>
    </row>
    <row r="5" spans="1:3" ht="15" x14ac:dyDescent="0.25"/>
    <row r="6" spans="1:3" ht="15" x14ac:dyDescent="0.25">
      <c r="A6" s="9" t="s">
        <v>110</v>
      </c>
    </row>
    <row r="7" spans="1:3" ht="15" x14ac:dyDescent="0.25">
      <c r="B7" t="s">
        <v>109</v>
      </c>
      <c r="C7" s="22" t="s">
        <v>34</v>
      </c>
    </row>
    <row r="8" spans="1:3" ht="15" x14ac:dyDescent="0.25">
      <c r="B8" t="s">
        <v>112</v>
      </c>
      <c r="C8" s="29">
        <v>0.25</v>
      </c>
    </row>
    <row r="9" spans="1:3" ht="15" x14ac:dyDescent="0.25">
      <c r="B9" t="s">
        <v>111</v>
      </c>
      <c r="C9" s="29">
        <v>0.5</v>
      </c>
    </row>
    <row r="10" spans="1:3" ht="15" x14ac:dyDescent="0.25"/>
    <row r="11" spans="1:3" ht="15" x14ac:dyDescent="0.25">
      <c r="A11" s="9" t="s">
        <v>114</v>
      </c>
    </row>
    <row r="12" spans="1:3" ht="15" x14ac:dyDescent="0.25">
      <c r="B12" t="s">
        <v>116</v>
      </c>
      <c r="C12" s="22" t="s">
        <v>120</v>
      </c>
    </row>
    <row r="13" spans="1:3" ht="15" x14ac:dyDescent="0.25">
      <c r="B13" t="s">
        <v>113</v>
      </c>
      <c r="C13" s="26">
        <v>0</v>
      </c>
    </row>
    <row r="14" spans="1:3" ht="15" x14ac:dyDescent="0.25">
      <c r="B14" t="s">
        <v>115</v>
      </c>
      <c r="C14" s="26">
        <v>0</v>
      </c>
    </row>
    <row r="15" spans="1:3" ht="15" x14ac:dyDescent="0.25"/>
    <row r="16" spans="1:3" ht="15" x14ac:dyDescent="0.25">
      <c r="A16" s="9" t="s">
        <v>117</v>
      </c>
    </row>
    <row r="17" spans="1:3" ht="15" x14ac:dyDescent="0.25">
      <c r="B17" t="s">
        <v>118</v>
      </c>
      <c r="C17" s="26">
        <v>1</v>
      </c>
    </row>
    <row r="18" spans="1:3" ht="15" x14ac:dyDescent="0.25">
      <c r="B18" t="s">
        <v>119</v>
      </c>
      <c r="C18" s="26">
        <v>1</v>
      </c>
    </row>
    <row r="19" spans="1:3" ht="15" x14ac:dyDescent="0.25"/>
    <row r="20" spans="1:3" ht="15" x14ac:dyDescent="0.25">
      <c r="A20" s="9" t="s">
        <v>256</v>
      </c>
    </row>
    <row r="21" spans="1:3" ht="15" x14ac:dyDescent="0.25">
      <c r="B21" t="s">
        <v>255</v>
      </c>
      <c r="C21" s="22" t="s">
        <v>26</v>
      </c>
    </row>
    <row r="22" spans="1:3" ht="15" x14ac:dyDescent="0.25"/>
    <row r="23" spans="1:3" ht="15" x14ac:dyDescent="0.25">
      <c r="A23" s="9" t="s">
        <v>103</v>
      </c>
      <c r="C23" s="24"/>
    </row>
    <row r="24" spans="1:3" ht="15" x14ac:dyDescent="0.25">
      <c r="B24" t="s">
        <v>62</v>
      </c>
      <c r="C24" s="22" t="s">
        <v>26</v>
      </c>
    </row>
    <row r="25" spans="1:3" ht="15" x14ac:dyDescent="0.25">
      <c r="B25" t="s">
        <v>63</v>
      </c>
      <c r="C25" s="22">
        <v>60</v>
      </c>
    </row>
    <row r="26" spans="1:3" ht="15" x14ac:dyDescent="0.25">
      <c r="B26" t="s">
        <v>64</v>
      </c>
      <c r="C26" s="23">
        <v>39448</v>
      </c>
    </row>
    <row r="27" spans="1:3" ht="15" x14ac:dyDescent="0.25">
      <c r="B27" t="s">
        <v>65</v>
      </c>
      <c r="C27" s="29">
        <v>0.25</v>
      </c>
    </row>
    <row r="28" spans="1:3" ht="15" x14ac:dyDescent="0.25">
      <c r="B28" t="s">
        <v>66</v>
      </c>
      <c r="C28" s="29">
        <v>1</v>
      </c>
    </row>
    <row r="29" spans="1:3" ht="15" x14ac:dyDescent="0.25">
      <c r="C29" s="25"/>
    </row>
    <row r="30" spans="1:3" ht="15" x14ac:dyDescent="0.25">
      <c r="A30" s="9" t="s">
        <v>104</v>
      </c>
      <c r="C30" s="24"/>
    </row>
    <row r="31" spans="1:3" ht="15" x14ac:dyDescent="0.25">
      <c r="B31" t="s">
        <v>62</v>
      </c>
      <c r="C31" s="22" t="s">
        <v>26</v>
      </c>
    </row>
    <row r="32" spans="1:3" ht="15" x14ac:dyDescent="0.25">
      <c r="B32" t="s">
        <v>63</v>
      </c>
      <c r="C32" s="22">
        <v>60</v>
      </c>
    </row>
    <row r="33" spans="1:6" ht="15" x14ac:dyDescent="0.25">
      <c r="B33" t="s">
        <v>64</v>
      </c>
      <c r="C33" s="23">
        <v>39448</v>
      </c>
    </row>
    <row r="34" spans="1:6" ht="15" x14ac:dyDescent="0.25">
      <c r="B34" t="s">
        <v>65</v>
      </c>
      <c r="C34" s="29">
        <v>0.25</v>
      </c>
    </row>
    <row r="35" spans="1:6" ht="15" x14ac:dyDescent="0.25">
      <c r="B35" t="s">
        <v>66</v>
      </c>
      <c r="C35" s="29">
        <v>1</v>
      </c>
    </row>
    <row r="36" spans="1:6" ht="15" x14ac:dyDescent="0.25"/>
    <row r="37" spans="1:6" ht="15" x14ac:dyDescent="0.25">
      <c r="A37" s="9" t="s">
        <v>244</v>
      </c>
    </row>
    <row r="38" spans="1:6" ht="14.45" customHeight="1" x14ac:dyDescent="0.25">
      <c r="B38" s="118" t="s">
        <v>245</v>
      </c>
      <c r="C38" s="120" t="s">
        <v>246</v>
      </c>
      <c r="D38" s="114" t="s">
        <v>250</v>
      </c>
      <c r="E38" s="112" t="s">
        <v>251</v>
      </c>
      <c r="F38" s="45"/>
    </row>
    <row r="39" spans="1:6" ht="15" x14ac:dyDescent="0.25">
      <c r="B39" s="119"/>
      <c r="C39" s="121"/>
      <c r="D39" s="115"/>
      <c r="E39" s="113"/>
    </row>
    <row r="40" spans="1:6" ht="15" hidden="1" x14ac:dyDescent="0.25">
      <c r="B40" s="44">
        <v>0</v>
      </c>
      <c r="C40" s="46">
        <v>1</v>
      </c>
      <c r="D40" s="51">
        <v>0.313726</v>
      </c>
      <c r="E40" s="52">
        <v>0.54901999999999995</v>
      </c>
    </row>
    <row r="41" spans="1:6" ht="15" hidden="1" x14ac:dyDescent="0.25">
      <c r="B41" s="44">
        <v>1</v>
      </c>
      <c r="C41" s="49">
        <v>1.2</v>
      </c>
      <c r="D41" s="51">
        <v>0.27450999999999998</v>
      </c>
      <c r="E41" s="52">
        <v>0.50980400000000003</v>
      </c>
    </row>
    <row r="42" spans="1:6" ht="15" hidden="1" x14ac:dyDescent="0.25">
      <c r="A42" s="50"/>
      <c r="B42" s="48">
        <v>1.2</v>
      </c>
      <c r="C42" s="56">
        <v>1.4</v>
      </c>
      <c r="D42" s="57">
        <v>0.235295</v>
      </c>
      <c r="E42" s="52">
        <v>0.47058899999999998</v>
      </c>
    </row>
    <row r="43" spans="1:6" ht="15" hidden="1" x14ac:dyDescent="0.25">
      <c r="A43" s="50"/>
      <c r="B43" s="48">
        <v>1.4</v>
      </c>
      <c r="C43" s="47">
        <v>1.6</v>
      </c>
      <c r="D43" s="52">
        <v>0.196079</v>
      </c>
      <c r="E43" s="52">
        <v>0.43137300000000001</v>
      </c>
    </row>
    <row r="44" spans="1:6" ht="15" hidden="1" x14ac:dyDescent="0.25">
      <c r="B44" s="44">
        <v>1.6</v>
      </c>
      <c r="C44" s="49">
        <v>999</v>
      </c>
      <c r="D44" s="52">
        <v>0.156863</v>
      </c>
      <c r="E44" s="52">
        <v>0.39215699999999998</v>
      </c>
    </row>
    <row r="45" spans="1:6" ht="15" hidden="1" x14ac:dyDescent="0.25">
      <c r="B45" s="44"/>
      <c r="C45" s="49"/>
      <c r="D45" s="55"/>
      <c r="E45" s="55"/>
    </row>
    <row r="46" spans="1:6" ht="15" hidden="1" x14ac:dyDescent="0.25">
      <c r="B46" s="44"/>
      <c r="C46" s="49"/>
      <c r="D46" s="55"/>
      <c r="E46" s="55"/>
    </row>
    <row r="48" spans="1:6" ht="15" hidden="1" x14ac:dyDescent="0.25">
      <c r="A48" s="9" t="s">
        <v>247</v>
      </c>
    </row>
    <row r="49" spans="1:5" ht="14.45" hidden="1" customHeight="1" x14ac:dyDescent="0.25">
      <c r="B49" s="118" t="s">
        <v>248</v>
      </c>
      <c r="C49" s="120" t="s">
        <v>249</v>
      </c>
      <c r="D49" s="114" t="s">
        <v>250</v>
      </c>
      <c r="E49" s="116" t="s">
        <v>251</v>
      </c>
    </row>
    <row r="50" spans="1:5" ht="15" hidden="1" x14ac:dyDescent="0.25">
      <c r="B50" s="119"/>
      <c r="C50" s="121"/>
      <c r="D50" s="115"/>
      <c r="E50" s="117"/>
    </row>
    <row r="51" spans="1:5" ht="15" hidden="1" x14ac:dyDescent="0.25">
      <c r="B51" s="44">
        <v>0</v>
      </c>
      <c r="C51" s="46">
        <v>40</v>
      </c>
      <c r="D51" s="52">
        <v>0.42016806722689098</v>
      </c>
      <c r="E51" s="52">
        <v>0.53571400000000002</v>
      </c>
    </row>
    <row r="52" spans="1:5" ht="15" hidden="1" x14ac:dyDescent="0.25">
      <c r="B52" s="44">
        <v>40</v>
      </c>
      <c r="C52" s="49">
        <v>55</v>
      </c>
      <c r="D52" s="51">
        <v>0.42016806722689098</v>
      </c>
      <c r="E52" s="52">
        <v>0.53571400000000002</v>
      </c>
    </row>
    <row r="53" spans="1:5" ht="15" hidden="1" x14ac:dyDescent="0.25">
      <c r="A53" s="50"/>
      <c r="B53" s="48">
        <v>55</v>
      </c>
      <c r="C53" s="47">
        <v>70</v>
      </c>
      <c r="D53" s="52">
        <v>0.42016806722689098</v>
      </c>
      <c r="E53" s="52">
        <v>0.53571400000000002</v>
      </c>
    </row>
    <row r="54" spans="1:5" ht="15" hidden="1" x14ac:dyDescent="0.25">
      <c r="A54" s="50"/>
      <c r="B54" s="48">
        <v>70</v>
      </c>
      <c r="C54" s="47">
        <v>85</v>
      </c>
      <c r="D54" s="52">
        <v>0.42016806722689098</v>
      </c>
      <c r="E54" s="52">
        <v>0.53571400000000002</v>
      </c>
    </row>
    <row r="55" spans="1:5" ht="15" hidden="1" x14ac:dyDescent="0.25">
      <c r="B55" s="44">
        <v>85</v>
      </c>
      <c r="C55" s="49">
        <v>100</v>
      </c>
      <c r="D55" s="53">
        <v>0.42016806722689098</v>
      </c>
      <c r="E55" s="54">
        <v>0.53571400000000002</v>
      </c>
    </row>
    <row r="56" spans="1:5" ht="15" hidden="1" x14ac:dyDescent="0.25">
      <c r="B56" s="44">
        <v>100</v>
      </c>
      <c r="C56" s="44">
        <v>115</v>
      </c>
      <c r="D56" s="54">
        <v>0.42016806722689098</v>
      </c>
      <c r="E56" s="54">
        <v>0.53571400000000002</v>
      </c>
    </row>
    <row r="57" spans="1:5" ht="15" hidden="1" x14ac:dyDescent="0.25">
      <c r="B57" s="44">
        <v>115</v>
      </c>
      <c r="C57" s="44">
        <v>999</v>
      </c>
      <c r="D57" s="54">
        <v>0.42016806722689098</v>
      </c>
      <c r="E57" s="54">
        <v>0.53571400000000002</v>
      </c>
    </row>
    <row r="58" spans="1:5" ht="15" hidden="1" x14ac:dyDescent="0.25">
      <c r="B58" s="44"/>
      <c r="C58" s="44"/>
      <c r="D58" s="44"/>
      <c r="E58" s="44"/>
    </row>
    <row r="60" spans="1:5" ht="15" hidden="1" x14ac:dyDescent="0.25"/>
  </sheetData>
  <mergeCells count="8">
    <mergeCell ref="B38:B39"/>
    <mergeCell ref="C38:C39"/>
    <mergeCell ref="D38:D39"/>
    <mergeCell ref="E38:E39"/>
    <mergeCell ref="B49:B50"/>
    <mergeCell ref="C49:C50"/>
    <mergeCell ref="D49:D50"/>
    <mergeCell ref="E49:E50"/>
  </mergeCells>
  <dataValidations count="3">
    <dataValidation type="list" allowBlank="1" showInputMessage="1" showErrorMessage="1" sqref="C12 C21" xr:uid="{E50E0FC5-649D-4437-8E85-C727280FBE14}">
      <formula1>"No,Yes"</formula1>
    </dataValidation>
    <dataValidation type="list" allowBlank="1" showInputMessage="1" showErrorMessage="1" sqref="C24 C31 C2:C3" xr:uid="{5B6EC9C9-1699-42D2-9A0B-EA41F36C8141}">
      <formula1>"Yes,No"</formula1>
    </dataValidation>
    <dataValidation type="date" allowBlank="1" showInputMessage="1" showErrorMessage="1" errorTitle="Data Type Error" error="Should be Data" sqref="C26 C33" xr:uid="{FCC19481-4289-4353-A279-C8F13D8E895F}">
      <formula1>16438</formula1>
      <formula2>401769</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1057" r:id="rId3" name="Spinner 1">
              <controlPr defaultSize="0" autoPict="0" macro="[0]!ThisWorkbook.ShowSplitTypeSheet2">
                <anchor moveWithCells="1" sizeWithCells="1">
                  <from>
                    <xdr:col>2</xdr:col>
                    <xdr:colOff>1123950</xdr:colOff>
                    <xdr:row>6</xdr:row>
                    <xdr:rowOff>9525</xdr:rowOff>
                  </from>
                  <to>
                    <xdr:col>2</xdr:col>
                    <xdr:colOff>1295400</xdr:colOff>
                    <xdr:row>6</xdr:row>
                    <xdr:rowOff>171450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CB0248-335F-4732-A541-814E70C32D5E}">
  <sheetPr codeName="Sheet8">
    <tabColor rgb="FFA3B8BA"/>
  </sheetPr>
  <dimension ref="A1:C50"/>
  <sheetViews>
    <sheetView workbookViewId="0">
      <selection activeCell="A2" sqref="A2:C14"/>
    </sheetView>
  </sheetViews>
  <sheetFormatPr defaultColWidth="0" defaultRowHeight="15" zeroHeight="1" x14ac:dyDescent="0.25"/>
  <cols>
    <col min="1" max="1" width="8.85546875" customWidth="1"/>
    <col min="2" max="2" width="22.28515625" bestFit="1" customWidth="1"/>
    <col min="3" max="3" width="24.5703125" bestFit="1" customWidth="1"/>
    <col min="4" max="16384" width="8.85546875" hidden="1"/>
  </cols>
  <sheetData>
    <row r="1" spans="1:3" x14ac:dyDescent="0.25">
      <c r="A1" s="3" t="s">
        <v>0</v>
      </c>
      <c r="B1" s="4" t="s">
        <v>10</v>
      </c>
      <c r="C1" s="5" t="s">
        <v>11</v>
      </c>
    </row>
    <row r="2" spans="1:3" x14ac:dyDescent="0.25">
      <c r="A2" s="25">
        <v>2023</v>
      </c>
      <c r="B2" s="25">
        <v>100</v>
      </c>
      <c r="C2" s="25">
        <v>100</v>
      </c>
    </row>
    <row r="3" spans="1:3" x14ac:dyDescent="0.25">
      <c r="A3" s="25">
        <v>2024</v>
      </c>
      <c r="B3" s="25">
        <v>100</v>
      </c>
      <c r="C3" s="25">
        <v>100</v>
      </c>
    </row>
    <row r="4" spans="1:3" x14ac:dyDescent="0.25">
      <c r="A4" s="25">
        <v>2025</v>
      </c>
      <c r="B4" s="25">
        <v>100</v>
      </c>
      <c r="C4" s="25">
        <v>100</v>
      </c>
    </row>
    <row r="5" spans="1:3" x14ac:dyDescent="0.25">
      <c r="A5" s="25">
        <v>2026</v>
      </c>
      <c r="B5" s="25">
        <v>100</v>
      </c>
      <c r="C5" s="25">
        <v>100</v>
      </c>
    </row>
    <row r="6" spans="1:3" x14ac:dyDescent="0.25">
      <c r="A6" s="25">
        <v>2027</v>
      </c>
      <c r="B6" s="25">
        <v>100</v>
      </c>
      <c r="C6" s="25">
        <v>100</v>
      </c>
    </row>
    <row r="7" spans="1:3" x14ac:dyDescent="0.25">
      <c r="A7" s="25">
        <v>2028</v>
      </c>
      <c r="B7" s="25">
        <v>100</v>
      </c>
      <c r="C7" s="25">
        <v>100</v>
      </c>
    </row>
    <row r="8" spans="1:3" x14ac:dyDescent="0.25">
      <c r="A8" s="25">
        <v>2029</v>
      </c>
      <c r="B8" s="25">
        <v>100</v>
      </c>
      <c r="C8" s="25">
        <v>100</v>
      </c>
    </row>
    <row r="9" spans="1:3" x14ac:dyDescent="0.25">
      <c r="A9" s="25">
        <v>2030</v>
      </c>
      <c r="B9" s="25">
        <v>100</v>
      </c>
      <c r="C9" s="25">
        <v>100</v>
      </c>
    </row>
    <row r="10" spans="1:3" x14ac:dyDescent="0.25">
      <c r="A10" s="25">
        <v>2031</v>
      </c>
      <c r="B10" s="25">
        <v>12.5</v>
      </c>
      <c r="C10" s="25">
        <v>12.5</v>
      </c>
    </row>
    <row r="11" spans="1:3" x14ac:dyDescent="0.25">
      <c r="A11" s="25">
        <v>2032</v>
      </c>
      <c r="B11" s="25">
        <v>12.5</v>
      </c>
      <c r="C11" s="25">
        <v>12.5</v>
      </c>
    </row>
    <row r="12" spans="1:3" x14ac:dyDescent="0.25">
      <c r="A12" s="25">
        <v>2033</v>
      </c>
      <c r="B12" s="25">
        <v>12.5</v>
      </c>
      <c r="C12" s="25">
        <v>12.5</v>
      </c>
    </row>
    <row r="13" spans="1:3" x14ac:dyDescent="0.25">
      <c r="A13" s="25">
        <v>2034</v>
      </c>
      <c r="B13" s="25">
        <v>12.5</v>
      </c>
      <c r="C13" s="25">
        <v>12.5</v>
      </c>
    </row>
    <row r="14" spans="1:3" x14ac:dyDescent="0.25">
      <c r="A14" s="25">
        <v>2035</v>
      </c>
      <c r="B14" s="25">
        <v>12.5</v>
      </c>
      <c r="C14" s="25">
        <v>12.5</v>
      </c>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operator="greaterThan" allowBlank="1" showInputMessage="1" showErrorMessage="1" errorTitle="Data Type Error" error="Should be Number not Text." sqref="D1:XFD1" xr:uid="{08A2CBC7-A57A-4C85-BEFE-740F147453B9}"/>
    <dataValidation type="whole" operator="greaterThan" allowBlank="1" showInputMessage="1" showErrorMessage="1" errorTitle="Data Type Error" error="Should be Number not Text" sqref="A2:A1048576" xr:uid="{10DA94B4-533D-406C-8E13-099358502376}">
      <formula1>0</formula1>
    </dataValidation>
    <dataValidation type="decimal" operator="greaterThan" allowBlank="1" showInputMessage="1" showErrorMessage="1" errorTitle="Data Type Error" error="Should be Number not Text" sqref="B51:C1048576" xr:uid="{492503A3-D138-4179-8C07-7A91F167A5BF}">
      <formula1>0</formula1>
    </dataValidation>
    <dataValidation type="decimal" operator="greaterThanOrEqual" allowBlank="1" showInputMessage="1" showErrorMessage="1" errorTitle="Data Type Error" error="Should be greater than or equal to 0" sqref="B2:C50" xr:uid="{5A6607A8-6167-479D-A619-5190A287484D}">
      <formula1>0</formula1>
    </dataValidation>
  </dataValidations>
  <pageMargins left="0.7" right="0.7" top="0.75" bottom="0.75" header="0.3" footer="0.3"/>
  <tableParts count="1">
    <tablePart r:id="rId1"/>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075312-F344-4FF2-8329-0AFC5B7D57B5}">
  <sheetPr codeName="Sheet3">
    <tabColor rgb="FFA3B8BA"/>
  </sheetPr>
  <dimension ref="A1:H77"/>
  <sheetViews>
    <sheetView showGridLines="0" showRowColHeaders="0" tabSelected="1" zoomScaleNormal="100" workbookViewId="0">
      <selection activeCell="C20" sqref="C20"/>
    </sheetView>
  </sheetViews>
  <sheetFormatPr defaultColWidth="0" defaultRowHeight="15" zeroHeight="1" x14ac:dyDescent="0.25"/>
  <cols>
    <col min="1" max="1" width="5" customWidth="1"/>
    <col min="2" max="2" width="32" bestFit="1" customWidth="1"/>
    <col min="3" max="3" width="21.5703125" customWidth="1"/>
    <col min="4" max="4" width="5.7109375" customWidth="1"/>
    <col min="5" max="5" width="8.85546875" hidden="1" customWidth="1"/>
    <col min="6" max="6" width="32.5703125" hidden="1" customWidth="1"/>
    <col min="7" max="7" width="22" hidden="1" customWidth="1"/>
    <col min="8" max="16384" width="8.85546875" hidden="1"/>
  </cols>
  <sheetData>
    <row r="1" spans="1:3" x14ac:dyDescent="0.25">
      <c r="A1" s="24" t="s">
        <v>102</v>
      </c>
      <c r="C1" s="24"/>
    </row>
    <row r="2" spans="1:3" x14ac:dyDescent="0.25">
      <c r="B2" t="s">
        <v>35</v>
      </c>
      <c r="C2" s="22" t="s">
        <v>28</v>
      </c>
    </row>
    <row r="3" spans="1:3" x14ac:dyDescent="0.25">
      <c r="B3" t="s">
        <v>36</v>
      </c>
      <c r="C3" s="22" t="s">
        <v>29</v>
      </c>
    </row>
    <row r="4" spans="1:3" x14ac:dyDescent="0.25">
      <c r="B4" t="s">
        <v>37</v>
      </c>
      <c r="C4" s="22" t="s">
        <v>45</v>
      </c>
    </row>
    <row r="5" spans="1:3" x14ac:dyDescent="0.25">
      <c r="B5" t="s">
        <v>38</v>
      </c>
      <c r="C5" s="22" t="s">
        <v>30</v>
      </c>
    </row>
    <row r="6" spans="1:3" x14ac:dyDescent="0.25">
      <c r="B6" t="s">
        <v>39</v>
      </c>
      <c r="C6" s="22" t="s">
        <v>34</v>
      </c>
    </row>
    <row r="7" spans="1:3" x14ac:dyDescent="0.25">
      <c r="B7" t="s">
        <v>40</v>
      </c>
      <c r="C7" s="22" t="s">
        <v>80</v>
      </c>
    </row>
    <row r="8" spans="1:3" x14ac:dyDescent="0.25">
      <c r="B8" t="s">
        <v>41</v>
      </c>
      <c r="C8" s="22" t="s">
        <v>91</v>
      </c>
    </row>
    <row r="9" spans="1:3" x14ac:dyDescent="0.25">
      <c r="B9" t="s">
        <v>42</v>
      </c>
      <c r="C9" s="22" t="s">
        <v>31</v>
      </c>
    </row>
    <row r="10" spans="1:3" x14ac:dyDescent="0.25">
      <c r="B10" t="s">
        <v>43</v>
      </c>
      <c r="C10" s="22" t="s">
        <v>56</v>
      </c>
    </row>
    <row r="11" spans="1:3" x14ac:dyDescent="0.25">
      <c r="B11" t="s">
        <v>44</v>
      </c>
      <c r="C11" s="22" t="s">
        <v>57</v>
      </c>
    </row>
    <row r="12" spans="1:3" x14ac:dyDescent="0.25"/>
    <row r="13" spans="1:3" x14ac:dyDescent="0.25">
      <c r="B13" t="s">
        <v>336</v>
      </c>
      <c r="C13" s="93">
        <v>0.08</v>
      </c>
    </row>
    <row r="14" spans="1:3" x14ac:dyDescent="0.25"/>
    <row r="15" spans="1:3" x14ac:dyDescent="0.25">
      <c r="B15" t="s">
        <v>404</v>
      </c>
      <c r="C15" s="93">
        <v>0.43</v>
      </c>
    </row>
    <row r="16" spans="1:3" x14ac:dyDescent="0.25">
      <c r="B16" t="s">
        <v>405</v>
      </c>
      <c r="C16" s="93">
        <v>0.48</v>
      </c>
    </row>
    <row r="17" spans="1:3" x14ac:dyDescent="0.25">
      <c r="C17" s="25"/>
    </row>
    <row r="18" spans="1:3" x14ac:dyDescent="0.25">
      <c r="A18" s="9" t="s">
        <v>256</v>
      </c>
    </row>
    <row r="19" spans="1:3" x14ac:dyDescent="0.25">
      <c r="B19" t="s">
        <v>255</v>
      </c>
      <c r="C19" s="22" t="s">
        <v>26</v>
      </c>
    </row>
    <row r="20" spans="1:3" x14ac:dyDescent="0.25">
      <c r="C20" s="25"/>
    </row>
    <row r="21" spans="1:3" x14ac:dyDescent="0.25">
      <c r="A21" s="9" t="s">
        <v>103</v>
      </c>
      <c r="C21" s="24"/>
    </row>
    <row r="22" spans="1:3" x14ac:dyDescent="0.25">
      <c r="B22" t="s">
        <v>62</v>
      </c>
      <c r="C22" s="22" t="s">
        <v>26</v>
      </c>
    </row>
    <row r="23" spans="1:3" x14ac:dyDescent="0.25">
      <c r="B23" t="s">
        <v>63</v>
      </c>
      <c r="C23" s="22">
        <v>60</v>
      </c>
    </row>
    <row r="24" spans="1:3" x14ac:dyDescent="0.25">
      <c r="B24" t="s">
        <v>64</v>
      </c>
      <c r="C24" s="23">
        <v>39448</v>
      </c>
    </row>
    <row r="25" spans="1:3" x14ac:dyDescent="0.25">
      <c r="B25" t="s">
        <v>65</v>
      </c>
      <c r="C25" s="29">
        <v>0.25</v>
      </c>
    </row>
    <row r="26" spans="1:3" x14ac:dyDescent="0.25">
      <c r="B26" t="s">
        <v>66</v>
      </c>
      <c r="C26" s="29">
        <v>1</v>
      </c>
    </row>
    <row r="27" spans="1:3" x14ac:dyDescent="0.25">
      <c r="C27" s="25"/>
    </row>
    <row r="28" spans="1:3" x14ac:dyDescent="0.25">
      <c r="A28" s="9" t="s">
        <v>104</v>
      </c>
      <c r="C28" s="24"/>
    </row>
    <row r="29" spans="1:3" x14ac:dyDescent="0.25">
      <c r="B29" t="s">
        <v>62</v>
      </c>
      <c r="C29" s="22" t="s">
        <v>26</v>
      </c>
    </row>
    <row r="30" spans="1:3" x14ac:dyDescent="0.25">
      <c r="B30" t="s">
        <v>63</v>
      </c>
      <c r="C30" s="22">
        <v>60</v>
      </c>
    </row>
    <row r="31" spans="1:3" x14ac:dyDescent="0.25">
      <c r="B31" t="s">
        <v>64</v>
      </c>
      <c r="C31" s="23">
        <v>39448</v>
      </c>
    </row>
    <row r="32" spans="1:3" x14ac:dyDescent="0.25">
      <c r="B32" t="s">
        <v>65</v>
      </c>
      <c r="C32" s="29">
        <v>0.25</v>
      </c>
    </row>
    <row r="33" spans="2:8" x14ac:dyDescent="0.25">
      <c r="B33" t="s">
        <v>66</v>
      </c>
      <c r="C33" s="29">
        <v>1</v>
      </c>
    </row>
    <row r="34" spans="2:8" x14ac:dyDescent="0.25"/>
    <row r="38" spans="2:8" hidden="1" x14ac:dyDescent="0.25">
      <c r="B38" s="128" t="s">
        <v>88</v>
      </c>
      <c r="C38" s="128"/>
      <c r="D38" s="128"/>
      <c r="F38" s="128" t="s">
        <v>95</v>
      </c>
      <c r="G38" s="128"/>
      <c r="H38" s="128"/>
    </row>
    <row r="39" spans="2:8" hidden="1" x14ac:dyDescent="0.25">
      <c r="B39" s="15" t="s">
        <v>48</v>
      </c>
      <c r="C39" s="15" t="s">
        <v>49</v>
      </c>
      <c r="D39" s="19" t="s">
        <v>74</v>
      </c>
      <c r="F39" s="15" t="s">
        <v>48</v>
      </c>
      <c r="G39" s="15" t="s">
        <v>49</v>
      </c>
      <c r="H39" s="19" t="s">
        <v>74</v>
      </c>
    </row>
    <row r="40" spans="2:8" hidden="1" x14ac:dyDescent="0.25">
      <c r="B40" s="125" t="s">
        <v>35</v>
      </c>
      <c r="C40" s="16" t="s">
        <v>50</v>
      </c>
      <c r="D40" s="21">
        <v>5</v>
      </c>
      <c r="F40" s="125" t="s">
        <v>35</v>
      </c>
      <c r="G40" s="16" t="s">
        <v>50</v>
      </c>
      <c r="H40" s="21">
        <v>5</v>
      </c>
    </row>
    <row r="41" spans="2:8" hidden="1" x14ac:dyDescent="0.25">
      <c r="B41" s="126"/>
      <c r="C41" s="16" t="s">
        <v>51</v>
      </c>
      <c r="D41" s="21">
        <v>0</v>
      </c>
      <c r="F41" s="126"/>
      <c r="G41" s="16" t="s">
        <v>51</v>
      </c>
      <c r="H41" s="21">
        <v>3</v>
      </c>
    </row>
    <row r="42" spans="2:8" hidden="1" x14ac:dyDescent="0.25">
      <c r="B42" s="126"/>
      <c r="C42" s="17" t="s">
        <v>73</v>
      </c>
      <c r="D42" s="21">
        <v>0</v>
      </c>
      <c r="F42" s="126"/>
      <c r="G42" s="17" t="s">
        <v>28</v>
      </c>
      <c r="H42" s="21">
        <v>0</v>
      </c>
    </row>
    <row r="43" spans="2:8" hidden="1" x14ac:dyDescent="0.25">
      <c r="B43" s="127"/>
      <c r="C43" s="20" t="s">
        <v>28</v>
      </c>
      <c r="D43" s="21">
        <v>-5</v>
      </c>
      <c r="F43" s="127"/>
      <c r="G43" s="19" t="s">
        <v>94</v>
      </c>
      <c r="H43" s="21" t="s">
        <v>94</v>
      </c>
    </row>
    <row r="44" spans="2:8" ht="14.45" hidden="1" customHeight="1" x14ac:dyDescent="0.25">
      <c r="B44" s="125" t="s">
        <v>58</v>
      </c>
      <c r="C44" s="17" t="s">
        <v>29</v>
      </c>
      <c r="D44" s="21">
        <v>0</v>
      </c>
      <c r="F44" s="125" t="s">
        <v>58</v>
      </c>
      <c r="G44" s="17" t="s">
        <v>29</v>
      </c>
      <c r="H44" s="21">
        <v>0</v>
      </c>
    </row>
    <row r="45" spans="2:8" hidden="1" x14ac:dyDescent="0.25">
      <c r="B45" s="126"/>
      <c r="C45" s="17" t="s">
        <v>67</v>
      </c>
      <c r="D45" s="21">
        <v>8</v>
      </c>
      <c r="F45" s="126"/>
      <c r="G45" s="17" t="s">
        <v>67</v>
      </c>
      <c r="H45" s="21">
        <v>8</v>
      </c>
    </row>
    <row r="46" spans="2:8" hidden="1" x14ac:dyDescent="0.25">
      <c r="B46" s="126"/>
      <c r="C46" s="17" t="s">
        <v>68</v>
      </c>
      <c r="D46" s="21">
        <v>10</v>
      </c>
      <c r="F46" s="126"/>
      <c r="G46" s="17" t="s">
        <v>68</v>
      </c>
      <c r="H46" s="21">
        <v>10</v>
      </c>
    </row>
    <row r="47" spans="2:8" hidden="1" x14ac:dyDescent="0.25">
      <c r="B47" s="126"/>
      <c r="C47" s="17" t="s">
        <v>69</v>
      </c>
      <c r="D47" s="21">
        <v>12</v>
      </c>
      <c r="F47" s="126"/>
      <c r="G47" s="17" t="s">
        <v>69</v>
      </c>
      <c r="H47" s="21">
        <v>12</v>
      </c>
    </row>
    <row r="48" spans="2:8" ht="30" hidden="1" x14ac:dyDescent="0.25">
      <c r="B48" s="126"/>
      <c r="C48" s="17" t="s">
        <v>70</v>
      </c>
      <c r="D48" s="21">
        <v>14</v>
      </c>
      <c r="F48" s="126"/>
      <c r="G48" s="17" t="s">
        <v>70</v>
      </c>
      <c r="H48" s="21">
        <v>14</v>
      </c>
    </row>
    <row r="49" spans="2:8" hidden="1" x14ac:dyDescent="0.25">
      <c r="B49" s="127"/>
      <c r="C49" s="17" t="s">
        <v>52</v>
      </c>
      <c r="D49" s="21">
        <v>16</v>
      </c>
      <c r="F49" s="127"/>
      <c r="G49" s="17" t="s">
        <v>52</v>
      </c>
      <c r="H49" s="21">
        <v>16</v>
      </c>
    </row>
    <row r="50" spans="2:8" hidden="1" x14ac:dyDescent="0.25">
      <c r="B50" s="125" t="s">
        <v>37</v>
      </c>
      <c r="C50" s="17" t="s">
        <v>45</v>
      </c>
      <c r="D50" s="21">
        <v>0</v>
      </c>
      <c r="F50" s="125" t="s">
        <v>37</v>
      </c>
      <c r="G50" s="17" t="s">
        <v>45</v>
      </c>
      <c r="H50" s="21">
        <v>0</v>
      </c>
    </row>
    <row r="51" spans="2:8" hidden="1" x14ac:dyDescent="0.25">
      <c r="B51" s="127"/>
      <c r="C51" s="18" t="s">
        <v>53</v>
      </c>
      <c r="D51" s="21">
        <v>1</v>
      </c>
      <c r="F51" s="127"/>
      <c r="G51" s="18" t="s">
        <v>53</v>
      </c>
      <c r="H51" s="21">
        <v>1</v>
      </c>
    </row>
    <row r="52" spans="2:8" hidden="1" x14ac:dyDescent="0.25">
      <c r="B52" s="129" t="s">
        <v>38</v>
      </c>
      <c r="C52" s="18" t="s">
        <v>30</v>
      </c>
      <c r="D52" s="21">
        <v>0</v>
      </c>
      <c r="F52" s="122" t="s">
        <v>38</v>
      </c>
      <c r="G52" s="18" t="s">
        <v>30</v>
      </c>
      <c r="H52" s="21">
        <v>0</v>
      </c>
    </row>
    <row r="53" spans="2:8" hidden="1" x14ac:dyDescent="0.25">
      <c r="B53" s="130"/>
      <c r="C53" s="18" t="s">
        <v>75</v>
      </c>
      <c r="D53" s="21">
        <v>2</v>
      </c>
      <c r="F53" s="123"/>
      <c r="G53" s="18" t="s">
        <v>54</v>
      </c>
      <c r="H53" s="21">
        <v>2</v>
      </c>
    </row>
    <row r="54" spans="2:8" hidden="1" x14ac:dyDescent="0.25">
      <c r="B54" s="131"/>
      <c r="C54" s="19" t="s">
        <v>94</v>
      </c>
      <c r="D54" s="19" t="s">
        <v>94</v>
      </c>
      <c r="F54" s="124"/>
      <c r="G54" s="18" t="s">
        <v>55</v>
      </c>
      <c r="H54" s="21">
        <v>4</v>
      </c>
    </row>
    <row r="55" spans="2:8" hidden="1" x14ac:dyDescent="0.25">
      <c r="B55" s="122" t="s">
        <v>39</v>
      </c>
      <c r="C55" s="18" t="s">
        <v>34</v>
      </c>
      <c r="D55" s="21">
        <v>0</v>
      </c>
      <c r="F55" s="122" t="s">
        <v>39</v>
      </c>
      <c r="G55" s="18" t="s">
        <v>34</v>
      </c>
      <c r="H55" s="21">
        <v>0</v>
      </c>
    </row>
    <row r="56" spans="2:8" hidden="1" x14ac:dyDescent="0.25">
      <c r="B56" s="124"/>
      <c r="C56" s="18" t="s">
        <v>71</v>
      </c>
      <c r="D56" s="21">
        <v>16</v>
      </c>
      <c r="F56" s="124"/>
      <c r="G56" s="18" t="s">
        <v>71</v>
      </c>
      <c r="H56" s="21">
        <v>16</v>
      </c>
    </row>
    <row r="57" spans="2:8" hidden="1" x14ac:dyDescent="0.25">
      <c r="B57" s="122" t="s">
        <v>42</v>
      </c>
      <c r="C57" s="18" t="s">
        <v>31</v>
      </c>
      <c r="D57" s="21">
        <v>1</v>
      </c>
      <c r="F57" s="122" t="s">
        <v>42</v>
      </c>
      <c r="G57" s="18" t="s">
        <v>31</v>
      </c>
      <c r="H57" s="21">
        <v>1</v>
      </c>
    </row>
    <row r="58" spans="2:8" hidden="1" x14ac:dyDescent="0.25">
      <c r="B58" s="124"/>
      <c r="C58" s="18" t="s">
        <v>72</v>
      </c>
      <c r="D58" s="21">
        <v>0</v>
      </c>
      <c r="F58" s="124"/>
      <c r="G58" s="18" t="s">
        <v>72</v>
      </c>
      <c r="H58" s="21">
        <v>0</v>
      </c>
    </row>
    <row r="59" spans="2:8" hidden="1" x14ac:dyDescent="0.25">
      <c r="B59" s="122" t="s">
        <v>59</v>
      </c>
      <c r="C59" s="18" t="s">
        <v>56</v>
      </c>
      <c r="D59" s="21">
        <v>0</v>
      </c>
      <c r="F59" s="122" t="s">
        <v>59</v>
      </c>
      <c r="G59" s="18" t="s">
        <v>56</v>
      </c>
      <c r="H59" s="21">
        <v>0</v>
      </c>
    </row>
    <row r="60" spans="2:8" hidden="1" x14ac:dyDescent="0.25">
      <c r="B60" s="123"/>
      <c r="C60" s="18" t="s">
        <v>76</v>
      </c>
      <c r="D60" s="21">
        <v>2</v>
      </c>
      <c r="F60" s="123"/>
      <c r="G60" s="18" t="s">
        <v>76</v>
      </c>
      <c r="H60" s="21">
        <v>2</v>
      </c>
    </row>
    <row r="61" spans="2:8" hidden="1" x14ac:dyDescent="0.25">
      <c r="B61" s="123"/>
      <c r="C61" s="18" t="s">
        <v>46</v>
      </c>
      <c r="D61" s="21">
        <v>3</v>
      </c>
      <c r="F61" s="123"/>
      <c r="G61" s="18" t="s">
        <v>46</v>
      </c>
      <c r="H61" s="21">
        <v>3</v>
      </c>
    </row>
    <row r="62" spans="2:8" hidden="1" x14ac:dyDescent="0.25">
      <c r="B62" s="124"/>
      <c r="C62" s="18" t="s">
        <v>77</v>
      </c>
      <c r="D62" s="21">
        <v>4</v>
      </c>
      <c r="F62" s="124"/>
      <c r="G62" s="18" t="s">
        <v>77</v>
      </c>
      <c r="H62" s="21">
        <v>4</v>
      </c>
    </row>
    <row r="63" spans="2:8" hidden="1" x14ac:dyDescent="0.25">
      <c r="B63" s="122" t="s">
        <v>27</v>
      </c>
      <c r="C63" s="18" t="s">
        <v>78</v>
      </c>
      <c r="D63" s="21">
        <v>0</v>
      </c>
      <c r="F63" s="122" t="s">
        <v>27</v>
      </c>
      <c r="G63" s="18" t="s">
        <v>78</v>
      </c>
      <c r="H63" s="21">
        <v>0</v>
      </c>
    </row>
    <row r="64" spans="2:8" hidden="1" x14ac:dyDescent="0.25">
      <c r="B64" s="123"/>
      <c r="C64" s="18" t="s">
        <v>47</v>
      </c>
      <c r="D64" s="21">
        <v>3</v>
      </c>
      <c r="F64" s="123"/>
      <c r="G64" s="18" t="s">
        <v>47</v>
      </c>
      <c r="H64" s="21">
        <v>6</v>
      </c>
    </row>
    <row r="65" spans="2:8" hidden="1" x14ac:dyDescent="0.25">
      <c r="B65" s="124"/>
      <c r="C65" s="18" t="s">
        <v>79</v>
      </c>
      <c r="D65" s="21">
        <v>5</v>
      </c>
      <c r="F65" s="124"/>
      <c r="G65" s="18" t="s">
        <v>79</v>
      </c>
      <c r="H65" s="21">
        <v>10</v>
      </c>
    </row>
    <row r="66" spans="2:8" hidden="1" x14ac:dyDescent="0.25">
      <c r="B66" s="122" t="s">
        <v>60</v>
      </c>
      <c r="C66" s="18" t="s">
        <v>32</v>
      </c>
      <c r="D66" s="21">
        <v>0</v>
      </c>
      <c r="F66" s="122" t="s">
        <v>60</v>
      </c>
      <c r="G66" s="18" t="s">
        <v>32</v>
      </c>
      <c r="H66" s="21">
        <v>0</v>
      </c>
    </row>
    <row r="67" spans="2:8" hidden="1" x14ac:dyDescent="0.25">
      <c r="B67" s="123"/>
      <c r="C67" s="18" t="s">
        <v>80</v>
      </c>
      <c r="D67" s="21">
        <v>0.5</v>
      </c>
      <c r="F67" s="123"/>
      <c r="G67" s="18" t="s">
        <v>80</v>
      </c>
      <c r="H67" s="21">
        <v>0.5</v>
      </c>
    </row>
    <row r="68" spans="2:8" hidden="1" x14ac:dyDescent="0.25">
      <c r="B68" s="123"/>
      <c r="C68" s="18" t="s">
        <v>81</v>
      </c>
      <c r="D68" s="21">
        <v>1</v>
      </c>
      <c r="F68" s="123"/>
      <c r="G68" s="18" t="s">
        <v>81</v>
      </c>
      <c r="H68" s="21">
        <v>1</v>
      </c>
    </row>
    <row r="69" spans="2:8" hidden="1" x14ac:dyDescent="0.25">
      <c r="B69" s="123"/>
      <c r="C69" s="18" t="s">
        <v>82</v>
      </c>
      <c r="D69" s="21">
        <v>1.5</v>
      </c>
      <c r="F69" s="123"/>
      <c r="G69" s="18" t="s">
        <v>82</v>
      </c>
      <c r="H69" s="21">
        <v>1.5</v>
      </c>
    </row>
    <row r="70" spans="2:8" hidden="1" x14ac:dyDescent="0.25">
      <c r="B70" s="123"/>
      <c r="C70" s="18" t="s">
        <v>83</v>
      </c>
      <c r="D70" s="21">
        <v>2</v>
      </c>
      <c r="F70" s="123"/>
      <c r="G70" s="18" t="s">
        <v>83</v>
      </c>
      <c r="H70" s="21">
        <v>2</v>
      </c>
    </row>
    <row r="71" spans="2:8" hidden="1" x14ac:dyDescent="0.25">
      <c r="B71" s="124"/>
      <c r="C71" s="18" t="s">
        <v>90</v>
      </c>
      <c r="D71" s="21">
        <v>4</v>
      </c>
      <c r="F71" s="124"/>
      <c r="G71" s="18" t="s">
        <v>90</v>
      </c>
      <c r="H71" s="21">
        <v>4</v>
      </c>
    </row>
    <row r="72" spans="2:8" hidden="1" x14ac:dyDescent="0.25">
      <c r="B72" s="122" t="s">
        <v>61</v>
      </c>
      <c r="C72" s="18" t="s">
        <v>33</v>
      </c>
      <c r="D72" s="21">
        <v>0</v>
      </c>
      <c r="F72" s="122" t="s">
        <v>61</v>
      </c>
      <c r="G72" s="18" t="s">
        <v>33</v>
      </c>
      <c r="H72" s="21">
        <v>0</v>
      </c>
    </row>
    <row r="73" spans="2:8" hidden="1" x14ac:dyDescent="0.25">
      <c r="B73" s="123"/>
      <c r="C73" s="18" t="s">
        <v>86</v>
      </c>
      <c r="D73" s="21">
        <v>0.5</v>
      </c>
      <c r="F73" s="123"/>
      <c r="G73" s="18" t="s">
        <v>91</v>
      </c>
      <c r="H73" s="21">
        <v>1</v>
      </c>
    </row>
    <row r="74" spans="2:8" hidden="1" x14ac:dyDescent="0.25">
      <c r="B74" s="123"/>
      <c r="C74" s="18" t="s">
        <v>87</v>
      </c>
      <c r="D74" s="21">
        <v>0.75</v>
      </c>
      <c r="F74" s="123"/>
      <c r="G74" s="18" t="s">
        <v>92</v>
      </c>
      <c r="H74" s="21">
        <v>2</v>
      </c>
    </row>
    <row r="75" spans="2:8" hidden="1" x14ac:dyDescent="0.25">
      <c r="B75" s="124"/>
      <c r="C75" s="18" t="s">
        <v>89</v>
      </c>
      <c r="D75" s="21">
        <v>1</v>
      </c>
      <c r="F75" s="123"/>
      <c r="G75" s="18" t="s">
        <v>84</v>
      </c>
      <c r="H75" s="21">
        <v>3</v>
      </c>
    </row>
    <row r="76" spans="2:8" hidden="1" x14ac:dyDescent="0.25">
      <c r="F76" s="123"/>
      <c r="G76" s="18" t="s">
        <v>85</v>
      </c>
      <c r="H76" s="21">
        <v>4</v>
      </c>
    </row>
    <row r="77" spans="2:8" hidden="1" x14ac:dyDescent="0.25">
      <c r="F77" s="124"/>
      <c r="G77" s="18" t="s">
        <v>93</v>
      </c>
      <c r="H77" s="21">
        <v>5</v>
      </c>
    </row>
  </sheetData>
  <mergeCells count="22">
    <mergeCell ref="F38:H38"/>
    <mergeCell ref="B52:B54"/>
    <mergeCell ref="B55:B56"/>
    <mergeCell ref="B57:B58"/>
    <mergeCell ref="B59:B62"/>
    <mergeCell ref="B38:D38"/>
    <mergeCell ref="B63:B65"/>
    <mergeCell ref="B66:B71"/>
    <mergeCell ref="B72:B75"/>
    <mergeCell ref="F40:F43"/>
    <mergeCell ref="F44:F49"/>
    <mergeCell ref="F50:F51"/>
    <mergeCell ref="F52:F54"/>
    <mergeCell ref="F55:F56"/>
    <mergeCell ref="B40:B43"/>
    <mergeCell ref="B44:B49"/>
    <mergeCell ref="B50:B51"/>
    <mergeCell ref="F57:F58"/>
    <mergeCell ref="F59:F62"/>
    <mergeCell ref="F63:F65"/>
    <mergeCell ref="F66:F71"/>
    <mergeCell ref="F72:F77"/>
  </mergeCells>
  <dataValidations count="13">
    <dataValidation type="list" allowBlank="1" showInputMessage="1" showErrorMessage="1" sqref="C3" xr:uid="{FC7BFE12-E2AB-4E4E-A0A2-C8C59155596A}">
      <formula1>$C$44:$C$49</formula1>
    </dataValidation>
    <dataValidation type="list" allowBlank="1" showInputMessage="1" showErrorMessage="1" sqref="C2" xr:uid="{88CDA033-027E-4BFB-8780-E7C017ED55CB}">
      <formula1>$G$40:$G$42</formula1>
    </dataValidation>
    <dataValidation type="list" allowBlank="1" showInputMessage="1" showErrorMessage="1" sqref="C4" xr:uid="{96B6F271-A148-4CC5-ABF7-6697FF4400AB}">
      <formula1>$G$50:$G$51</formula1>
    </dataValidation>
    <dataValidation type="list" allowBlank="1" showInputMessage="1" showErrorMessage="1" sqref="C5" xr:uid="{EF40446A-FD4B-4F6F-9597-FE361A604F1B}">
      <formula1>$G$52:$G$54</formula1>
    </dataValidation>
    <dataValidation type="list" allowBlank="1" showInputMessage="1" showErrorMessage="1" sqref="C6" xr:uid="{CADCC540-DF2B-48A0-909E-27BBEDBDD84F}">
      <formula1>$G$55:$G$56</formula1>
    </dataValidation>
    <dataValidation type="list" allowBlank="1" showInputMessage="1" showErrorMessage="1" sqref="C7" xr:uid="{2C8AFC25-1451-47C2-927E-2F1873E6F4C1}">
      <formula1>$G$66:$G$71</formula1>
    </dataValidation>
    <dataValidation type="list" allowBlank="1" showInputMessage="1" showErrorMessage="1" sqref="C8" xr:uid="{530C2A1D-3012-405B-950A-4677A4C66C82}">
      <formula1>$G$72:$G$77</formula1>
    </dataValidation>
    <dataValidation type="list" allowBlank="1" showInputMessage="1" showErrorMessage="1" sqref="C9" xr:uid="{9C38F7B1-CD1E-42A4-ACE3-FA59E191C799}">
      <formula1>$G$57:$G$58</formula1>
    </dataValidation>
    <dataValidation type="list" allowBlank="1" showInputMessage="1" showErrorMessage="1" sqref="C10" xr:uid="{4BC45111-736F-4E03-9F81-56833F2DC081}">
      <formula1>$G$59:$G$62</formula1>
    </dataValidation>
    <dataValidation type="list" allowBlank="1" showInputMessage="1" showErrorMessage="1" sqref="C20 C11 C17" xr:uid="{3BF2BD44-970E-49BC-9BCB-318E041A56E3}">
      <formula1>$G$63:$G$65</formula1>
    </dataValidation>
    <dataValidation type="list" allowBlank="1" showInputMessage="1" showErrorMessage="1" sqref="C22 C29" xr:uid="{735F24F9-0A0C-459B-B465-53F53CCDA1B0}">
      <formula1>"Yes,No"</formula1>
    </dataValidation>
    <dataValidation type="date" allowBlank="1" showInputMessage="1" showErrorMessage="1" errorTitle="Data Type Error" error="Should be Data" sqref="C24 C31" xr:uid="{6190563D-B1D8-444F-993A-247A29CC779B}">
      <formula1>16438</formula1>
      <formula2>401769</formula2>
    </dataValidation>
    <dataValidation type="list" allowBlank="1" showInputMessage="1" showErrorMessage="1" sqref="C19" xr:uid="{69E9CF2F-E0F7-4873-8874-76B2CD924464}">
      <formula1>"No,Yes"</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5C959-0B26-48B5-BDCC-D49AAC6E41DF}">
  <sheetPr codeName="Sheet32">
    <tabColor rgb="FFA3B8BA"/>
  </sheetPr>
  <dimension ref="A1:C50"/>
  <sheetViews>
    <sheetView workbookViewId="0">
      <selection activeCell="A2" sqref="A2:C14"/>
    </sheetView>
  </sheetViews>
  <sheetFormatPr defaultColWidth="0" defaultRowHeight="15" zeroHeight="1" x14ac:dyDescent="0.25"/>
  <cols>
    <col min="1" max="1" width="8.85546875" customWidth="1"/>
    <col min="2" max="2" width="22.28515625" bestFit="1" customWidth="1"/>
    <col min="3" max="3" width="24.5703125" bestFit="1" customWidth="1"/>
    <col min="4" max="16384" width="8.85546875" hidden="1"/>
  </cols>
  <sheetData>
    <row r="1" spans="1:3" x14ac:dyDescent="0.25">
      <c r="A1" s="3" t="s">
        <v>0</v>
      </c>
      <c r="B1" s="4" t="s">
        <v>10</v>
      </c>
      <c r="C1" s="5" t="s">
        <v>11</v>
      </c>
    </row>
    <row r="2" spans="1:3" x14ac:dyDescent="0.25">
      <c r="A2" s="25">
        <v>2023</v>
      </c>
      <c r="B2" s="25">
        <v>100</v>
      </c>
      <c r="C2" s="25">
        <v>100</v>
      </c>
    </row>
    <row r="3" spans="1:3" x14ac:dyDescent="0.25">
      <c r="A3" s="25">
        <v>2024</v>
      </c>
      <c r="B3" s="25">
        <v>100</v>
      </c>
      <c r="C3" s="25">
        <v>100</v>
      </c>
    </row>
    <row r="4" spans="1:3" x14ac:dyDescent="0.25">
      <c r="A4" s="25">
        <v>2025</v>
      </c>
      <c r="B4" s="25">
        <v>100</v>
      </c>
      <c r="C4" s="25">
        <v>100</v>
      </c>
    </row>
    <row r="5" spans="1:3" x14ac:dyDescent="0.25">
      <c r="A5" s="25">
        <v>2026</v>
      </c>
      <c r="B5" s="25">
        <v>100</v>
      </c>
      <c r="C5" s="25">
        <v>100</v>
      </c>
    </row>
    <row r="6" spans="1:3" x14ac:dyDescent="0.25">
      <c r="A6" s="25">
        <v>2027</v>
      </c>
      <c r="B6" s="25">
        <v>100</v>
      </c>
      <c r="C6" s="25">
        <v>100</v>
      </c>
    </row>
    <row r="7" spans="1:3" x14ac:dyDescent="0.25">
      <c r="A7" s="25">
        <v>2028</v>
      </c>
      <c r="B7" s="25">
        <v>100</v>
      </c>
      <c r="C7" s="25">
        <v>100</v>
      </c>
    </row>
    <row r="8" spans="1:3" x14ac:dyDescent="0.25">
      <c r="A8" s="25">
        <v>2029</v>
      </c>
      <c r="B8" s="25">
        <v>100</v>
      </c>
      <c r="C8" s="25">
        <v>100</v>
      </c>
    </row>
    <row r="9" spans="1:3" x14ac:dyDescent="0.25">
      <c r="A9" s="25">
        <v>2030</v>
      </c>
      <c r="B9" s="25">
        <v>100</v>
      </c>
      <c r="C9" s="25">
        <v>100</v>
      </c>
    </row>
    <row r="10" spans="1:3" x14ac:dyDescent="0.25">
      <c r="A10" s="25">
        <v>2031</v>
      </c>
      <c r="B10" s="25">
        <v>12.5</v>
      </c>
      <c r="C10" s="25">
        <v>12.5</v>
      </c>
    </row>
    <row r="11" spans="1:3" x14ac:dyDescent="0.25">
      <c r="A11" s="25">
        <v>2032</v>
      </c>
      <c r="B11" s="25">
        <v>12.5</v>
      </c>
      <c r="C11" s="25">
        <v>12.5</v>
      </c>
    </row>
    <row r="12" spans="1:3" x14ac:dyDescent="0.25">
      <c r="A12" s="25">
        <v>2033</v>
      </c>
      <c r="B12" s="25">
        <v>12.5</v>
      </c>
      <c r="C12" s="25">
        <v>12.5</v>
      </c>
    </row>
    <row r="13" spans="1:3" x14ac:dyDescent="0.25">
      <c r="A13" s="25">
        <v>2034</v>
      </c>
      <c r="B13" s="25">
        <v>12.5</v>
      </c>
      <c r="C13" s="25">
        <v>12.5</v>
      </c>
    </row>
    <row r="14" spans="1:3" x14ac:dyDescent="0.25">
      <c r="A14" s="25">
        <v>2035</v>
      </c>
      <c r="B14" s="25">
        <v>12.5</v>
      </c>
      <c r="C14" s="25">
        <v>12.5</v>
      </c>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type="decimal" operator="greaterThanOrEqual" allowBlank="1" showInputMessage="1" showErrorMessage="1" errorTitle="Data Type Error" error="Should be greater than or equal to 0" sqref="B2:C50" xr:uid="{94A7196E-FBC8-4CB7-B6CE-2D763BB3DBED}">
      <formula1>0</formula1>
    </dataValidation>
    <dataValidation type="decimal" operator="greaterThan" allowBlank="1" showInputMessage="1" showErrorMessage="1" errorTitle="Data Type Error" error="Should be Number not Text" sqref="B51:C1048576" xr:uid="{771284CA-BF0A-47B5-98C7-105E47C59BD2}">
      <formula1>0</formula1>
    </dataValidation>
    <dataValidation type="whole" operator="greaterThan" allowBlank="1" showInputMessage="1" showErrorMessage="1" errorTitle="Data Type Error" error="Should be Number not Text" sqref="A2:A1048576" xr:uid="{BC16BECB-4F0E-4855-A29A-3433498C58BB}">
      <formula1>0</formula1>
    </dataValidation>
    <dataValidation operator="greaterThan" allowBlank="1" showInputMessage="1" showErrorMessage="1" errorTitle="Data Type Error" error="Should be Number not Text." sqref="D1:XFD1" xr:uid="{6D648557-248E-46E0-9517-7D5EAB522D5C}"/>
  </dataValidations>
  <pageMargins left="0.7" right="0.7" top="0.75" bottom="0.75" header="0.3" footer="0.3"/>
  <tableParts count="1">
    <tablePart r:id="rId1"/>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2A2487-3E26-444B-BFAF-83801C06B7AF}">
  <sheetPr codeName="Sheet33">
    <tabColor rgb="FFA3B8BA"/>
  </sheetPr>
  <dimension ref="A1:C50"/>
  <sheetViews>
    <sheetView workbookViewId="0">
      <selection activeCell="A2" sqref="A2:C14"/>
    </sheetView>
  </sheetViews>
  <sheetFormatPr defaultColWidth="0" defaultRowHeight="15" zeroHeight="1" x14ac:dyDescent="0.25"/>
  <cols>
    <col min="1" max="1" width="8.85546875" customWidth="1"/>
    <col min="2" max="2" width="16.42578125" bestFit="1" customWidth="1"/>
    <col min="3" max="3" width="20.85546875" bestFit="1" customWidth="1"/>
    <col min="4" max="16384" width="8.85546875" hidden="1"/>
  </cols>
  <sheetData>
    <row r="1" spans="1:3" x14ac:dyDescent="0.25">
      <c r="A1" s="12" t="s">
        <v>0</v>
      </c>
      <c r="B1" s="13" t="s">
        <v>15</v>
      </c>
      <c r="C1" s="14" t="s">
        <v>14</v>
      </c>
    </row>
    <row r="2" spans="1:3" x14ac:dyDescent="0.25">
      <c r="A2" s="25">
        <v>2023</v>
      </c>
      <c r="B2" s="25">
        <v>100</v>
      </c>
      <c r="C2" s="25">
        <v>100</v>
      </c>
    </row>
    <row r="3" spans="1:3" x14ac:dyDescent="0.25">
      <c r="A3" s="25">
        <v>2024</v>
      </c>
      <c r="B3" s="25">
        <v>100</v>
      </c>
      <c r="C3" s="25">
        <v>100</v>
      </c>
    </row>
    <row r="4" spans="1:3" x14ac:dyDescent="0.25">
      <c r="A4" s="25">
        <v>2025</v>
      </c>
      <c r="B4" s="25">
        <v>100</v>
      </c>
      <c r="C4" s="25">
        <v>100</v>
      </c>
    </row>
    <row r="5" spans="1:3" x14ac:dyDescent="0.25">
      <c r="A5" s="25">
        <v>2026</v>
      </c>
      <c r="B5" s="25">
        <v>100</v>
      </c>
      <c r="C5" s="25">
        <v>100</v>
      </c>
    </row>
    <row r="6" spans="1:3" x14ac:dyDescent="0.25">
      <c r="A6" s="25">
        <v>2027</v>
      </c>
      <c r="B6" s="25">
        <v>100</v>
      </c>
      <c r="C6" s="25">
        <v>100</v>
      </c>
    </row>
    <row r="7" spans="1:3" x14ac:dyDescent="0.25">
      <c r="A7" s="25">
        <v>2028</v>
      </c>
      <c r="B7" s="25">
        <v>100</v>
      </c>
      <c r="C7" s="25">
        <v>100</v>
      </c>
    </row>
    <row r="8" spans="1:3" x14ac:dyDescent="0.25">
      <c r="A8" s="25">
        <v>2029</v>
      </c>
      <c r="B8" s="25">
        <v>100</v>
      </c>
      <c r="C8" s="25">
        <v>100</v>
      </c>
    </row>
    <row r="9" spans="1:3" x14ac:dyDescent="0.25">
      <c r="A9" s="25">
        <v>2030</v>
      </c>
      <c r="B9" s="25">
        <v>100</v>
      </c>
      <c r="C9" s="25">
        <v>100</v>
      </c>
    </row>
    <row r="10" spans="1:3" x14ac:dyDescent="0.25">
      <c r="A10" s="25">
        <v>2031</v>
      </c>
      <c r="B10" s="25">
        <v>12.5</v>
      </c>
      <c r="C10" s="25">
        <v>12.5</v>
      </c>
    </row>
    <row r="11" spans="1:3" x14ac:dyDescent="0.25">
      <c r="A11" s="25">
        <v>2032</v>
      </c>
      <c r="B11" s="25">
        <v>12.5</v>
      </c>
      <c r="C11" s="25">
        <v>12.5</v>
      </c>
    </row>
    <row r="12" spans="1:3" x14ac:dyDescent="0.25">
      <c r="A12" s="25">
        <v>2033</v>
      </c>
      <c r="B12" s="25">
        <v>12.5</v>
      </c>
      <c r="C12" s="25">
        <v>12.5</v>
      </c>
    </row>
    <row r="13" spans="1:3" x14ac:dyDescent="0.25">
      <c r="A13" s="25">
        <v>2034</v>
      </c>
      <c r="B13" s="25">
        <v>12.5</v>
      </c>
      <c r="C13" s="25">
        <v>12.5</v>
      </c>
    </row>
    <row r="14" spans="1:3" x14ac:dyDescent="0.25">
      <c r="A14" s="25">
        <v>2035</v>
      </c>
      <c r="B14" s="25">
        <v>12.5</v>
      </c>
      <c r="C14" s="25">
        <v>12.5</v>
      </c>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type="decimal" operator="greaterThanOrEqual" allowBlank="1" showInputMessage="1" showErrorMessage="1" errorTitle="Data Type Error" error="Should be greater than or equal to 0" sqref="B2:C50" xr:uid="{15F19FD5-6011-4C28-943B-6C162AADE31D}">
      <formula1>0</formula1>
    </dataValidation>
    <dataValidation type="decimal" operator="greaterThan" allowBlank="1" showInputMessage="1" showErrorMessage="1" errorTitle="Data Type Error" error="Should be Number not Text" sqref="B51:C1048576" xr:uid="{1A86421D-3CFB-4AFD-BCD7-FACEE38377A7}">
      <formula1>0</formula1>
    </dataValidation>
    <dataValidation type="whole" operator="greaterThan" allowBlank="1" showInputMessage="1" showErrorMessage="1" errorTitle="Data Type Error" error="Should be Number not Text" sqref="A2:A1048576" xr:uid="{4CC1CE00-F312-4CFA-8E5C-3413B63B9589}">
      <formula1>0</formula1>
    </dataValidation>
    <dataValidation operator="greaterThan" allowBlank="1" showInputMessage="1" showErrorMessage="1" errorTitle="Data Type Error" error="Should be Number not Text." sqref="D1:XFD1" xr:uid="{2BD5A675-635D-4218-AC68-7E69191EEF87}"/>
  </dataValidations>
  <pageMargins left="0.7" right="0.7" top="0.75" bottom="0.75" header="0.3" footer="0.3"/>
  <tableParts count="1">
    <tablePart r:id="rId1"/>
  </tableParts>
</worksheet>
</file>

<file path=customUI/_rels/customUI14.xml.rels><?xml version="1.0" encoding="UTF-8" standalone="yes"?>
<Relationships xmlns="http://schemas.openxmlformats.org/package/2006/relationships"><Relationship Id="tangibleIC" Type="http://schemas.openxmlformats.org/officeDocument/2006/relationships/image" Target="images/tangibleIC.png"/><Relationship Id="tableIC" Type="http://schemas.openxmlformats.org/officeDocument/2006/relationships/image" Target="images/tableIC.png"/><Relationship Id="python" Type="http://schemas.openxmlformats.org/officeDocument/2006/relationships/image" Target="images/python.png"/><Relationship Id="optIC" Type="http://schemas.openxmlformats.org/officeDocument/2006/relationships/image" Target="images/optIC.png"/><Relationship Id="generalconfigIC" Type="http://schemas.openxmlformats.org/officeDocument/2006/relationships/image" Target="images/generalconfigIC.png"/><Relationship Id="welcomeIC" Type="http://schemas.openxmlformats.org/officeDocument/2006/relationships/image" Target="images/welcomeIC.png"/><Relationship Id="runIC" Type="http://schemas.openxmlformats.org/officeDocument/2006/relationships/image" Target="images/runIC.png"/><Relationship Id="intangibleIC" Type="http://schemas.openxmlformats.org/officeDocument/2006/relationships/image" Target="images/intangibleIC.png"/><Relationship Id="summaryIC" Type="http://schemas.openxmlformats.org/officeDocument/2006/relationships/image" Target="images/summaryIC.png"/><Relationship Id="pythonIC" Type="http://schemas.openxmlformats.org/officeDocument/2006/relationships/image" Target="images/pythonIC.png"/><Relationship Id="monteIC" Type="http://schemas.openxmlformats.org/officeDocument/2006/relationships/image" Target="images/monteIC.png"/><Relationship Id="sensIC" Type="http://schemas.openxmlformats.org/officeDocument/2006/relationships/image" Target="images/sensIC.png"/><Relationship Id="fiscalIC" Type="http://schemas.openxmlformats.org/officeDocument/2006/relationships/image" Target="images/fiscalIC.png"/><Relationship Id="opexIC" Type="http://schemas.openxmlformats.org/officeDocument/2006/relationships/image" Target="images/opexIC.png"/><Relationship Id="userguideIC" Type="http://schemas.openxmlformats.org/officeDocument/2006/relationships/image" Target="images/userguideIC.png"/><Relationship Id="CondaIC" Type="http://schemas.openxmlformats.org/officeDocument/2006/relationships/image" Target="images/CondaIC.png"/><Relationship Id="EMDIC" Type="http://schemas.openxmlformats.org/officeDocument/2006/relationships/image" Target="images/EMDIC.png"/><Relationship Id="ASRIC" Type="http://schemas.openxmlformats.org/officeDocument/2006/relationships/image" Target="images/ASRIC.png"/><Relationship Id="prodIC" Type="http://schemas.openxmlformats.org/officeDocument/2006/relationships/image" Target="images/prodIC.png"/></Relationships>
</file>

<file path=customUI/customUI14.xml><?xml version="1.0" encoding="utf-8"?>
<customUI xmlns="http://schemas.microsoft.com/office/2009/07/customui" onLoad="rbx_onLoad">
  <ribbon startFromScratch="false">
    <!--Hide all default tabs-->
    <tabs>
      <tab id="tab1" label="pySCnomics" insertBeforeMso="TabHelp">
        <!--Buttons-->
        <group id="grp_btnsPY" label="Buttons">
          <!--Large Buttons-->
          <button id="btns_btnPY1" label="Pyton Settings" size="large" onAction="Python_Settings" image="python" supertip="python Settings"/>
          <!--
                    <button id="btns_btnPY1" label="Pyton" size="normal" onAction="Python_Installation" image="python" supertip="python installation"  />
                    <button id="btns_btnPY2" label="Conda" size="normal" onAction="Conda_Installation" image="CondaIC" supertip="Conda Installation"  />
                    <button id="btns_btnPY3" label="Embeddable Package" size="normal" onAction="EmbeddablePackage_Installation" image="EMDIC" supertip="Embeddable Package Installation"  />                    
 					 -->
        </group>
        <group id="grp_btns" label="General">
          <!--Large Buttons-->
          <button id="btns_btn1" label="Welcome" size="large" onAction="goto_Cover" image="welcomeIC" supertip="Welcome to pyscnomics"/>
          <button id="btns_btn2" label="User Guide" size="large" onAction="goto_UserGuide" image="userguideIC" supertip="User Guide of pyscnomics"/>
        </group>
        <!--Buttons 2 (Custom Icons)-->
        <!--Split Button-->
        <group id="grp_splitBtn" label="Input - Configuration">
          <splitButton id="splitBtn" size="large">
            <menu id="splitBtn_menu" itemSize="large" label="Input - Configuration">
              <button id="splitBtn_GeneralConfig" image="generalconfigIC" label="General Configuration" onAction="splitBtn_GeneralConfig"/>
              <button id="splitBtn_FiscalConfig" image="fiscalIC" label="Fiscal Configuration" onAction="splitBtn_FiscalConfig"/>
            </menu>
          </splitButton>
        </group>
        <group id="grp_splitBtn2" label="Input - Costs">
          <splitButton id="splitBtn2" size="large">
            <menu id="splitBtn2_menu" itemSize="large" label="ddd">
              <button id="splitBtn2_Tangible" image="tangibleIC" label="Tangible" onAction="splitBtn2_Tangible"/>
              <button id="splitBtn2_Intangible" image="intangibleIC" label="Intangible" onAction="splitBtn2_Intangible"/>
              <button id="splitBtn2_Opex" image="opexIC" label="Opex" onAction="splitBtn2_Opex"/>
              <button id="splitBtn2_ASR" image="ASRIC" label="ASR" onAction="splitBtn2_ASR"/>
            </menu>
          </splitButton>
        </group>
        <group id="grp_btnsXY" label="Productions">
          <!--Large Buttons-->
          <button id="btnsXY_btn1" label="Production - Price" size="large" onAction="goto_ProdPrice" image="prodIC" supertip="Welcome to pyscnomics"/>
        </group>
        <group id="grp_btnsRes" label="Results">
          <!--Large Buttons-->
          <button id="btns_btnR1" label="Cashflow Table" size="large" onAction="goto_Table" image="tableIC" supertip="Cashflow Table"/>
          <button id="btns_btnR2" label="Economic Summary" size="large" onAction="goto_Summary" image="summaryIC" supertip="Economic SUmmary"/>
        </group>
        <!--
                 <group id="grp_btnsS" label="Economic Analysis">
                    <button id="btns_btnS1" label="Sensitivity" size="large" onAction="goto_Sens" image="sensIC" supertip="Sensitivity Analysis"  />
                    <button id="btns_btnS2" label="MonteCarlo" size="large" onAction="goto_Monte" image="monteIC" supertip="Monte-Carlo Simulation"  />
                    <button id="btns_btnS3" label="Optimization" size="large" onAction="goto_Optim" image="optIC" supertip="Optimization"  />                    
				</group>
 -->
        <group id="grp_btnX" label="Calculate">
          <button id="btns_btnX" label="RUN" size="large" onAction="goto_Execute" image="runIC" supertip="Calcute Economic Performance"/>
        </group>
      </tab>
      <!--Add group of buttons to Home tab-->
      <!--Hide Default Tabs-->
      <!--	    
            <tab idMso="TabHome" visible="false" />
            <tab idMso="TabInsert" visible="false" />
            <tab idMso="TabFormulas" visible="false" />
            <tab idMso="TabData" visible="false" />    
            <tab idMso="TabReview" visible="false" />
            <tab idMso="TabView" visible="false" />
            <tab idMso="TabDeveloper" visible="false" />
            <tab idMso="TabPageLayoutExcel" visible="false" />
            -->
    </tabs>
    <!--Contextual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10</vt:i4>
      </vt:variant>
    </vt:vector>
  </HeadingPairs>
  <TitlesOfParts>
    <vt:vector size="45" baseType="lpstr">
      <vt:lpstr>Cover</vt:lpstr>
      <vt:lpstr>UserGuide</vt:lpstr>
      <vt:lpstr>Summary</vt:lpstr>
      <vt:lpstr>General Config</vt:lpstr>
      <vt:lpstr>Optimization</vt:lpstr>
      <vt:lpstr>Monte Carlo</vt:lpstr>
      <vt:lpstr>Uncertainty</vt:lpstr>
      <vt:lpstr>Result Table GS</vt:lpstr>
      <vt:lpstr>Result Table GS (2)</vt:lpstr>
      <vt:lpstr>Result Table CR</vt:lpstr>
      <vt:lpstr>Result Table CR (2)</vt:lpstr>
      <vt:lpstr>Fiscal Config</vt:lpstr>
      <vt:lpstr>Prod Oil</vt:lpstr>
      <vt:lpstr>Prod LPG Propane</vt:lpstr>
      <vt:lpstr>Gross Split Config (2)</vt:lpstr>
      <vt:lpstr>Prod Oil (2)</vt:lpstr>
      <vt:lpstr>Prod Electricity</vt:lpstr>
      <vt:lpstr>Prod Electricity (2)</vt:lpstr>
      <vt:lpstr>Prod Gas</vt:lpstr>
      <vt:lpstr>Prod Gas (2)</vt:lpstr>
      <vt:lpstr>Prod LPG Propane (2)</vt:lpstr>
      <vt:lpstr>Prod Sulfur</vt:lpstr>
      <vt:lpstr>Cost Intangible</vt:lpstr>
      <vt:lpstr>Cost ASR</vt:lpstr>
      <vt:lpstr>Prod Sulfur (2)</vt:lpstr>
      <vt:lpstr>Prod CO2</vt:lpstr>
      <vt:lpstr>Sensitivity</vt:lpstr>
      <vt:lpstr>Cost Tangible</vt:lpstr>
      <vt:lpstr>Cost OPEX</vt:lpstr>
      <vt:lpstr>Cost Recovery Config</vt:lpstr>
      <vt:lpstr>Cost Recovery Config (2)</vt:lpstr>
      <vt:lpstr>Prod LPG Butane</vt:lpstr>
      <vt:lpstr>Gross Split Config</vt:lpstr>
      <vt:lpstr>Prod LPG Butane (2)</vt:lpstr>
      <vt:lpstr>Prod CO2 (2)</vt:lpstr>
      <vt:lpstr>_fiscalType</vt:lpstr>
      <vt:lpstr>_nButane</vt:lpstr>
      <vt:lpstr>_nCO2</vt:lpstr>
      <vt:lpstr>_nElectricity</vt:lpstr>
      <vt:lpstr>_nGas</vt:lpstr>
      <vt:lpstr>_nOil</vt:lpstr>
      <vt:lpstr>_nPropane</vt:lpstr>
      <vt:lpstr>_nSulfur</vt:lpstr>
      <vt:lpstr>_pyexe</vt:lpstr>
      <vt:lpstr>_pymain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Muhammad Adhim Mulia</dc:creator>
  <cp:lastModifiedBy>Aditya Hartono</cp:lastModifiedBy>
  <dcterms:created xsi:type="dcterms:W3CDTF">2023-08-30T07:03:21Z</dcterms:created>
  <dcterms:modified xsi:type="dcterms:W3CDTF">2023-11-28T11:21:53Z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38b525e5-f3da-4501-8f1e-526b6769fc56_Enabled">
    <vt:lpwstr>true</vt:lpwstr>
  </property>
  <property fmtid="{D5CDD505-2E9C-101B-9397-08002B2CF9AE}" pid="3" name="MSIP_Label_38b525e5-f3da-4501-8f1e-526b6769fc56_SetDate">
    <vt:lpwstr>2023-11-20T09:49:22Z</vt:lpwstr>
  </property>
  <property fmtid="{D5CDD505-2E9C-101B-9397-08002B2CF9AE}" pid="4" name="MSIP_Label_38b525e5-f3da-4501-8f1e-526b6769fc56_Method">
    <vt:lpwstr>Standard</vt:lpwstr>
  </property>
  <property fmtid="{D5CDD505-2E9C-101B-9397-08002B2CF9AE}" pid="5" name="MSIP_Label_38b525e5-f3da-4501-8f1e-526b6769fc56_Name">
    <vt:lpwstr>defa4170-0d19-0005-0004-bc88714345d2</vt:lpwstr>
  </property>
  <property fmtid="{D5CDD505-2E9C-101B-9397-08002B2CF9AE}" pid="6" name="MSIP_Label_38b525e5-f3da-4501-8f1e-526b6769fc56_SiteId">
    <vt:lpwstr>db6e1183-4c65-405c-82ce-7cd53fa6e9dc</vt:lpwstr>
  </property>
  <property fmtid="{D5CDD505-2E9C-101B-9397-08002B2CF9AE}" pid="7" name="MSIP_Label_38b525e5-f3da-4501-8f1e-526b6769fc56_ActionId">
    <vt:lpwstr>a519c005-33cc-4fe6-87f2-723dd18d4d83</vt:lpwstr>
  </property>
  <property fmtid="{D5CDD505-2E9C-101B-9397-08002B2CF9AE}" pid="8" name="MSIP_Label_38b525e5-f3da-4501-8f1e-526b6769fc56_ContentBits">
    <vt:lpwstr>0</vt:lpwstr>
  </property>
</Properties>
</file>