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6C6D79F1-4DE8-4045-9C27-A05B84C0DE72}" xr6:coauthVersionLast="47" xr6:coauthVersionMax="47" xr10:uidLastSave="{00000000-0000-0000-0000-000000000000}"/>
  <bookViews>
    <workbookView xWindow="28695" yWindow="0" windowWidth="19410" windowHeight="15585" tabRatio="912" firstSheet="21" activeTab="21" xr2:uid="{F41B6BF2-4712-40A6-B007-CDDECCED21AA}"/>
  </bookViews>
  <sheets>
    <sheet name="Cover" sheetId="19" state="hidden" r:id="rId1"/>
    <sheet name="UserGuide" sheetId="8" state="hidden" r:id="rId2"/>
    <sheet name="Summary" sheetId="18" state="hidden" r:id="rId3"/>
    <sheet name="General Config" sheetId="4" state="hidden" r:id="rId4"/>
    <sheet name="Cost Intangible" sheetId="73" state="hidden" r:id="rId5"/>
    <sheet name="Prod Oil (2)" sheetId="390" state="hidden" r:id="rId6"/>
    <sheet name="Cost ASR" sheetId="75" state="hidden" r:id="rId7"/>
    <sheet name="Prod CO2" sheetId="10" state="hidden" r:id="rId8"/>
    <sheet name="Sensitivity" sheetId="376" state="hidden" r:id="rId9"/>
    <sheet name="Optimization" sheetId="375" state="hidden" r:id="rId10"/>
    <sheet name="Monte Carlo" sheetId="378" state="hidden" r:id="rId11"/>
    <sheet name="Uncertainty" sheetId="377" state="hidden" r:id="rId12"/>
    <sheet name="Result Table GS" sheetId="347" state="hidden" r:id="rId13"/>
    <sheet name="Result Table CR" sheetId="346" state="hidden" r:id="rId14"/>
    <sheet name="Fiscal Config" sheetId="345" state="hidden" r:id="rId15"/>
    <sheet name="Prod Oil" sheetId="54" state="hidden" r:id="rId16"/>
    <sheet name="Cost Recovery Config" sheetId="16" state="hidden" r:id="rId17"/>
    <sheet name="Cost Recovery Config (2)" sheetId="343" state="hidden" r:id="rId18"/>
    <sheet name="Gross Split Config" sheetId="15" state="hidden" r:id="rId19"/>
    <sheet name="Gross Split Config (2)" sheetId="103" state="hidden" r:id="rId20"/>
    <sheet name="Prod LPG Butane" sheetId="7" state="hidden" r:id="rId21"/>
    <sheet name="Prod LPG Propane" sheetId="6" r:id="rId22"/>
    <sheet name="Cost OPEX" sheetId="74" state="hidden" r:id="rId23"/>
    <sheet name="Prod LPG Propane (2)" sheetId="391" state="hidden" r:id="rId24"/>
    <sheet name="Prod Electricity" sheetId="353" state="hidden" r:id="rId25"/>
    <sheet name="Prod Gas" sheetId="5" state="hidden" r:id="rId26"/>
    <sheet name="Cost Tangible" sheetId="72" state="hidden" r:id="rId27"/>
    <sheet name="Prod Sulfur" sheetId="9" state="hidden" r:id="rId28"/>
  </sheets>
  <functionGroups builtInGroupCount="19"/>
  <externalReferences>
    <externalReference r:id="rId29"/>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<sst xmlns="http://schemas.openxmlformats.org/spreadsheetml/2006/main" count="919" uniqueCount="389">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</sst>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file>

<file path=xl/ctrlProps/ctrlProp11.xml><?xml version="1.0" encoding="utf-8"?>
<formControlPr xmlns="http://schemas.microsoft.com/office/spreadsheetml/2009/9/main" objectType="Spin" dx="26" fmlaLink="$D$16" max="10" min="1" page="10"/>
</file>

<file path=xl/ctrlProps/ctrlProp12.xml><?xml version="1.0" encoding="utf-8"?>
<formControlPr xmlns="http://schemas.microsoft.com/office/spreadsheetml/2009/9/main" objectType="Spin" dx="26" fmlaLink="$D$17" max="10" min="1" page="10"/>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4"/>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8"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9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9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9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9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9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9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9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9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9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9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9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9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9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9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9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E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E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0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1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48" dataDxfId="147">
  <autoFilter ref="A1:F200" xr:uid="{7C91890B-09E6-4AFA-B40C-6F75BB3A42FE}"/>
  <tableColumns count="6">
    <tableColumn id="1" xr3:uid="{EA9912A2-FB4D-4FF7-8E68-51936E856411}" name="Year" dataDxfId="146"/>
    <tableColumn id="3" xr3:uid="{1CE8F2C7-DD5F-4DEA-9086-BF2335D1081C}" name="Associated With" dataDxfId="145"/>
    <tableColumn id="4" xr3:uid="{7E00D1F9-CE30-44EC-8013-F359F8BB7526}" name="Cost (MUSD)" dataDxfId="144"/>
    <tableColumn id="6" xr3:uid="{6AA0DA30-A6A0-4F5A-8A9D-599F23F31F9A}" name="VAT Portion" dataDxfId="143"/>
    <tableColumn id="2" xr3:uid="{20C207BB-9D25-48F4-A557-2DE98DC86DE2}" name="LBT Portion" dataDxfId="142"/>
    <tableColumn id="7" xr3:uid="{88C69571-67EC-47E5-9D42-08FE1421FD7B}" name="Description" dataDxfId="14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29394D8-7C9C-4495-8D53-64957ED264BF}" name="tbl_prod_oil19" displayName="tbl_prod_oil19" ref="A1:E50" totalsRowShown="0" headerRowDxfId="140" dataDxfId="139">
  <tableColumns count="5">
    <tableColumn id="1" xr3:uid="{A10A26E7-2761-4633-A9C8-A70BA1779909}" name="Year" dataDxfId="138"/>
    <tableColumn id="2" xr3:uid="{D8F5670D-F562-4A1E-BB1C-7AD36E283EF4}" name="Oil Sales (MMBOPY)" dataDxfId="137"/>
    <tableColumn id="3" xr3:uid="{F649F6A0-1653-42CA-9DF8-D80334821836}" name="Oil Price (USD/BBL)" dataDxfId="136"/>
    <tableColumn id="4" xr3:uid="{B4D2A611-E66E-4CDA-89BF-B83F5D02293C}" name="Condensate Sales (MMBOPY)" dataDxfId="135"/>
    <tableColumn id="5" xr3:uid="{9C1F75D1-2815-477C-866F-85205FF97A33}" name="Condensate Price (USD/BBL)" dataDxfId="13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33" dataDxfId="132">
  <autoFilter ref="A1:F200" xr:uid="{7C91890B-09E6-4AFA-B40C-6F75BB3A42FE}"/>
  <tableColumns count="6">
    <tableColumn id="1" xr3:uid="{D90C6F3C-116C-43AA-9F64-E2131D95E5C5}" name="Year" dataDxfId="131"/>
    <tableColumn id="3" xr3:uid="{9372B980-5592-43DD-ACB0-807DB4570841}" name="Associated With" dataDxfId="130"/>
    <tableColumn id="4" xr3:uid="{206A9B04-1A88-477A-8F64-4C0F0E3C5733}" name="Cost (MUSD)" dataDxfId="129"/>
    <tableColumn id="6" xr3:uid="{6949DE12-A1F2-402E-AD64-B2E62B7B03B0}" name="VAT Portion" dataDxfId="128"/>
    <tableColumn id="2" xr3:uid="{8AB5815F-EA72-48B7-8147-A2F48253134F}" name="LBT Portion" dataDxfId="127"/>
    <tableColumn id="7" xr3:uid="{409BC20B-C4FF-4632-A019-CE1FBF972D05}" name="Description" dataDxfId="126"/>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25" dataDxfId="124" tableBorderDxfId="123">
  <autoFilter ref="A1:C50" xr:uid="{AFC9D790-2204-4F4A-AEE5-A13F7CE6AF28}"/>
  <tableColumns count="3">
    <tableColumn id="1" xr3:uid="{B94BBB40-0B72-4B57-B720-38EEC1B95A78}" name="Year" dataDxfId="122"/>
    <tableColumn id="2" xr3:uid="{F53E2F6F-AB58-41DA-895C-419E73EC60A8}" name="CO2 Sales (Ton)" dataDxfId="121"/>
    <tableColumn id="3" xr3:uid="{6782EC61-C652-4E3C-B9F2-11DB4EFF1616}" name="Price (MMUSD/Unit)" dataDxfId="12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19" dataDxfId="118">
  <tableColumns count="5">
    <tableColumn id="1" xr3:uid="{F5C1188B-5A01-4D20-9CDA-43938053BE14}" name="Year" dataDxfId="117"/>
    <tableColumn id="2" xr3:uid="{488F6F74-60C4-41C0-8968-CFABEEC8C577}" name="Oil Sales (MMBOPY)" dataDxfId="116"/>
    <tableColumn id="3" xr3:uid="{FA019DEC-C16E-43AA-B922-7626C07066D2}" name="Oil Price (USD/BBL)" dataDxfId="115"/>
    <tableColumn id="4" xr3:uid="{E46E713A-179D-444E-88B6-019AD68876B5}" name="Condensate Sales (MMBOPY)" dataDxfId="114"/>
    <tableColumn id="5" xr3:uid="{04F0C769-33F5-487D-B7D5-F46799049A69}" name="Condensate Price (USD/BBL)" dataDxfId="113"/>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12" dataDxfId="111" tableBorderDxfId="110">
  <autoFilter ref="A1:C50" xr:uid="{A8B16AAF-E66E-4CE6-9E4E-EF4357083D9F}"/>
  <tableColumns count="3">
    <tableColumn id="1" xr3:uid="{6D5873CF-438A-4FB6-916E-EE4D8EA16C1B}" name="Year" dataDxfId="109"/>
    <tableColumn id="2" xr3:uid="{43FF55CD-251A-41D3-8DF3-39F98EEBC7E1}" name="LPG Butane Sales (MT)" dataDxfId="108"/>
    <tableColumn id="3" xr3:uid="{2AAABAE2-6AC9-4B24-A446-5622714DF15D}" name="LPG Butane Price(USD/T)" dataDxfId="107"/>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06" dataDxfId="105">
  <autoFilter ref="A1:C50" xr:uid="{4F6CF9AB-FA3D-4BB4-ADAA-CA685555616C}"/>
  <tableColumns count="3">
    <tableColumn id="1" xr3:uid="{0DB2853D-2883-477A-BEC2-C3A8EC6BE1B6}" name="Year" dataDxfId="104"/>
    <tableColumn id="2" xr3:uid="{01418EAC-C4F4-48E8-9287-8988948DB9F1}" name="LPG Propane Sales (MT)" dataDxfId="103"/>
    <tableColumn id="3" xr3:uid="{4374CFEA-F40D-4DFA-9E1A-50C068F77BB6}" name="LPG Propane Price (USD/T)" dataDxfId="102"/>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4" dataDxfId="13">
  <autoFilter ref="A1:H200" xr:uid="{7C91890B-09E6-4AFA-B40C-6F75BB3A42FE}"/>
  <tableColumns count="8">
    <tableColumn id="1" xr3:uid="{AC895082-1EAA-441F-8FD0-34C18A1CB089}" name="Year" dataDxfId="12"/>
    <tableColumn id="3" xr3:uid="{FE660166-2BA0-42A0-937E-5DBF97CED42C}" name="Associated With" dataDxfId="11"/>
    <tableColumn id="4" xr3:uid="{C739732C-69FF-4102-B6A2-101C10C34836}" name="Fixed Cost (MUSD)" dataDxfId="10"/>
    <tableColumn id="5" xr3:uid="{67A869D6-1E1C-47FA-9CB2-B9EBAB8A9115}" name="Production Rate" dataDxfId="9"/>
    <tableColumn id="8" xr3:uid="{45C3823F-84A4-4F62-A0A4-DA263536063F}" name="Cost Per Production Volume" dataDxfId="8"/>
    <tableColumn id="6" xr3:uid="{1A0F968A-3852-413A-94F7-58572EA4EED6}" name="VAT Portion" dataDxfId="7"/>
    <tableColumn id="2" xr3:uid="{3BE87D45-FDD7-4B44-8923-9B29FC792264}" name="LBT Portion" dataDxfId="6"/>
    <tableColumn id="7" xr3:uid="{4719FAF0-B894-4DE5-830E-BDF8B52BACBC}" name="Description" dataDxfId="5"/>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CCC72F-16A9-4139-874A-36DDB35D4671}" name="tbl_prod_lpgpropane2" displayName="tbl_prod_lpgpropane2" ref="A1:C50" totalsRowShown="0" headerRowDxfId="4" dataDxfId="3">
  <autoFilter ref="A1:C50" xr:uid="{4F6CF9AB-FA3D-4BB4-ADAA-CA685555616C}"/>
  <tableColumns count="3">
    <tableColumn id="1" xr3:uid="{7103F4F3-6E6A-418A-86ED-461B8B7D28A6}" name="Year" dataDxfId="2"/>
    <tableColumn id="2" xr3:uid="{468787F7-ACC8-4A1F-BAF4-E3E26CD5EA50}" name="LPG Propane Sales (MT)" dataDxfId="1"/>
    <tableColumn id="3" xr3:uid="{732CE9A5-03C0-4DF1-BBCF-97E089633D53}" name="LPG Propane Price (USD/T)" dataDxfId="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101" dataDxfId="100">
  <autoFilter ref="A1:C50" xr:uid="{DEE72A9B-4BBC-4F3F-80BF-BC7085A5EA38}"/>
  <tableColumns count="3">
    <tableColumn id="1" xr3:uid="{9046D9DD-2F71-4AF2-8197-1C4A99CD21F1}" name="Year" dataDxfId="99"/>
    <tableColumn id="2" xr3:uid="{AC666C38-3CBA-4F89-96AF-CD0114273121}" name="Electricity Sales (Unit)" dataDxfId="98"/>
    <tableColumn id="3" xr3:uid="{A9E705E7-0E52-4109-A72A-9C8AD1165D12}" name="Price (MMUSD/Unit)" dataDxfId="97"/>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96" dataDxfId="95">
  <autoFilter ref="A1:BJ50" xr:uid="{F3B5FD60-3EF6-4239-90D9-138C2E5C0533}"/>
  <tableColumns count="62">
    <tableColumn id="1" xr3:uid="{77AB1563-534C-4000-8990-E78C5E489BD7}" name="Year" dataDxfId="94"/>
    <tableColumn id="2" xr3:uid="{D229AC35-73B4-42FD-BBA3-AD438E380811}" name="Gas Production (BSCF)" dataDxfId="93"/>
    <tableColumn id="3" xr3:uid="{FCC8C31C-5036-4AF9-B6CE-1EEA31C5FAE9}" name="GSA 1 Volume (BSCF)" dataDxfId="92"/>
    <tableColumn id="4" xr3:uid="{C43DEA5B-2B33-4E7F-A57F-5476C60E7DCB}" name="GSA 1 GHV (BTU/SCF)" dataDxfId="91"/>
    <tableColumn id="5" xr3:uid="{41CF3913-D317-4E9F-B718-27DD21583BF7}" name="GSA 1 Price (USD/MMBTU)" dataDxfId="90"/>
    <tableColumn id="6" xr3:uid="{D3447C8E-599C-4059-A25A-5992EAF3CA98}" name="GSA 2 Volume (BSCF)" dataDxfId="89"/>
    <tableColumn id="7" xr3:uid="{08251CDD-AB2B-44EA-BB2B-B83A1024372A}" name="GSA 2 GHV (BTU/SCF)" dataDxfId="88"/>
    <tableColumn id="8" xr3:uid="{2AAA0FEE-F453-4CDC-BB43-9260633E2A77}" name="GSA 2 Price (USD/MMBTU)" dataDxfId="87"/>
    <tableColumn id="9" xr3:uid="{11DE7FD8-4E88-43BA-9FC1-5BFC6B7A4152}" name="GSA 3 Volume (BSCF)" dataDxfId="86"/>
    <tableColumn id="10" xr3:uid="{62D5C9C4-267A-4911-9B26-395CA0A13963}" name="GSA 3 GHV (BTU/SCF)" dataDxfId="85"/>
    <tableColumn id="11" xr3:uid="{8E831C1F-1E47-4011-B7F2-3315ADF97880}" name="GSA 3 Price (USD/MMBTU)" dataDxfId="84"/>
    <tableColumn id="12" xr3:uid="{7495CB1E-FAD1-4D28-AFB9-5721BE9D6A62}" name="GSA 4 Volume (BSCF)" dataDxfId="83"/>
    <tableColumn id="13" xr3:uid="{CCEEC0D9-E00C-4AE0-A6FB-2A21358BEFD2}" name="GSA 4 GHV (BTU/SCF)" dataDxfId="82"/>
    <tableColumn id="14" xr3:uid="{02D4E6A1-2B65-421C-8510-61E7E14C93AF}" name="GSA 4 Price (USD/MMBTU)" dataDxfId="81"/>
    <tableColumn id="15" xr3:uid="{81A66C00-B18B-44A8-B655-2F196AEDE152}" name="GSA 5 Volume (BSCF)" dataDxfId="80"/>
    <tableColumn id="16" xr3:uid="{E3C45877-F389-429D-8AA5-C760BD17A529}" name="GSA 5 GHV (BTU/SCF)" dataDxfId="79"/>
    <tableColumn id="17" xr3:uid="{29EC26AB-1FD3-4B90-8A35-51DD0A51A022}" name="GSA 5 Price (USD/MMBTU)" dataDxfId="78"/>
    <tableColumn id="18" xr3:uid="{13A537C0-0178-4CB4-B395-6E350791AFD2}" name="GSA 6 Volume (BSCF)5" dataDxfId="77"/>
    <tableColumn id="19" xr3:uid="{200121C4-4603-4606-9C7C-E8E2BEB00D03}" name="GSA 6 GHV (BTU/SCF)" dataDxfId="76"/>
    <tableColumn id="20" xr3:uid="{8C225936-78F4-424A-A66E-AC5E32060AAF}" name="GSA 6 Price (USD/MMBTU)" dataDxfId="75"/>
    <tableColumn id="21" xr3:uid="{44CE13E9-EEEF-4BEC-8518-6B116C1AD26B}" name="GSA 7 Volume (BSCF)" dataDxfId="74"/>
    <tableColumn id="22" xr3:uid="{ECD91665-11BC-45C6-9498-68BDC2D7C660}" name="GSA 7 GHV (BTU/SCF)" dataDxfId="73"/>
    <tableColumn id="23" xr3:uid="{BBCF0D25-A5E6-4644-964E-087F828A3214}" name="GSA 7 Price (USD/MMBTU)" dataDxfId="72"/>
    <tableColumn id="24" xr3:uid="{8DBCA4FF-FABE-4194-B3F6-1DBCEF167B28}" name="GSA 8 Volume (BSCF)" dataDxfId="71"/>
    <tableColumn id="25" xr3:uid="{C036027E-6E33-43E1-BE27-B060EB711E54}" name="GSA 8 GHV (BTU/SCF)" dataDxfId="70"/>
    <tableColumn id="26" xr3:uid="{F97DC2DB-AC07-4EF5-8063-0BE58357542D}" name="GSA 8 Price (USD/MMBTU)" dataDxfId="69"/>
    <tableColumn id="27" xr3:uid="{DA65A24F-CADB-4DE1-8A15-3A7FBA499C71}" name="GSA 9 Volume (BSCF)" dataDxfId="68"/>
    <tableColumn id="28" xr3:uid="{965B634C-0E56-49A6-8114-ACEABD08501E}" name="GSA 9 GHV (BTU/SCF)" dataDxfId="67"/>
    <tableColumn id="29" xr3:uid="{EBB76C16-8154-4DF6-ACC0-632DF52511A6}" name="GSA 9 Price (USD/MMBTU)" dataDxfId="66"/>
    <tableColumn id="30" xr3:uid="{2EE56E13-7901-46A4-B827-82F154323535}" name="GSA 10 Volume (BSCF)" dataDxfId="65"/>
    <tableColumn id="31" xr3:uid="{B059A543-383C-48AF-974C-15AEF15B1E83}" name="GSA 10 GHV (BTU/SCF)" dataDxfId="64"/>
    <tableColumn id="32" xr3:uid="{EB5FE66C-4F13-4C5A-9295-9CA6B5EBE0DB}" name="GSA 10 Price (USD/MMBTU)" dataDxfId="63"/>
    <tableColumn id="33" xr3:uid="{48C2A0C4-CDE1-43D4-80DA-9A04CFD50DF3}" name="GSA 11 Volume (BSCF)" dataDxfId="62"/>
    <tableColumn id="34" xr3:uid="{D58B2C50-D5D3-4FA0-BF0F-B249498FE2E5}" name="GSA 11 GHV (BTU/SCF)" dataDxfId="61"/>
    <tableColumn id="35" xr3:uid="{086395B3-EDF7-4416-824F-DADC5A41C808}" name="GSA 11 Price (USD/MMBTU)" dataDxfId="60"/>
    <tableColumn id="36" xr3:uid="{50F0227B-E5CB-4438-A313-A1630B0C4478}" name="GSA 12 Volume (BSCF)" dataDxfId="59"/>
    <tableColumn id="37" xr3:uid="{2E59E514-274A-4FF3-97F1-4C10C438F92C}" name="GSA 12 GHV (BTU/SCF)" dataDxfId="58"/>
    <tableColumn id="38" xr3:uid="{DC78227B-224D-4D70-AAA8-998E0854A236}" name="GSA 12 Price (USD/MMBTU)" dataDxfId="57"/>
    <tableColumn id="39" xr3:uid="{380FF60C-4086-4E19-B225-F579C632C9DF}" name="GSA 13 Volume (BSCF)5" dataDxfId="56"/>
    <tableColumn id="40" xr3:uid="{EA265128-A0AF-496A-8215-D7EA67E172D9}" name="GSA 13 GHV (BTU/SCF)" dataDxfId="55"/>
    <tableColumn id="41" xr3:uid="{6B34D3A2-F4F8-4588-9485-1E1F4AB9929F}" name="GSA 13 Price (USD/MMBTU)" dataDxfId="54"/>
    <tableColumn id="42" xr3:uid="{13937CA0-4E6B-49CB-82C8-CD285DE9A0AD}" name="GSA 14 Volume (BSCF)" dataDxfId="53"/>
    <tableColumn id="43" xr3:uid="{F104848B-FC0E-4CBC-8952-456A40422817}" name="GSA 14 GHV (BTU/SCF)" dataDxfId="52"/>
    <tableColumn id="44" xr3:uid="{A52502E1-9A56-45E0-B86B-4ADC54D7C46F}" name="GSA 14 Price (USD/MMBTU)" dataDxfId="51"/>
    <tableColumn id="45" xr3:uid="{D0E6F40C-E9D8-476C-974F-CD8BD0CC9E3E}" name="GSA 15 Volume (BSCF)" dataDxfId="50"/>
    <tableColumn id="46" xr3:uid="{D56CBA84-14DB-427F-BA7E-8A9A8CD3EF99}" name="GSA 15 GHV (BTU/SCF)" dataDxfId="49"/>
    <tableColumn id="47" xr3:uid="{79C8FA99-16A2-404A-8433-D73D4D3115E8}" name="GSA 15 Price (USD/MMBTU)" dataDxfId="48"/>
    <tableColumn id="48" xr3:uid="{7000071C-AB3D-4E5E-BAFD-6D0FF7DC3959}" name="GSA 16 Volume (BSCF)" dataDxfId="47"/>
    <tableColumn id="49" xr3:uid="{666AD423-FDD2-4B36-B9F4-1190CD03FDA3}" name="GSA 16 GHV (BTU/SCF)" dataDxfId="46"/>
    <tableColumn id="50" xr3:uid="{AE6DCD42-F2A8-4EA9-8085-856DCD64C3F8}" name="GSA 16 Price (USD/MMBTU)" dataDxfId="45"/>
    <tableColumn id="51" xr3:uid="{0691CFC8-568E-4AD2-920C-23CAEB458DAD}" name="GSA 17 Volume (BSCF)" dataDxfId="44"/>
    <tableColumn id="52" xr3:uid="{16C1EC1E-B5AC-4161-A0BF-CBB9D4021BC8}" name="GSA 17 GHV (BTU/SCF)" dataDxfId="43"/>
    <tableColumn id="53" xr3:uid="{1508BBC4-8EA3-47F1-8A28-5F141C9A3043}" name="GSA 17 Price (USD/MMBTU)" dataDxfId="42"/>
    <tableColumn id="62" xr3:uid="{969F6049-83E6-4535-A53A-482126AA77D7}" name="GSA 18 Volume (BSCF)" dataDxfId="41"/>
    <tableColumn id="61" xr3:uid="{03793DC0-561A-4F93-A29A-C63F176A5815}" name="GSA 18 GHV (BTU/SCF)" dataDxfId="40"/>
    <tableColumn id="60" xr3:uid="{FEAD4B29-4CB5-4083-BBB7-B1DBD002BE7E}" name="GSA 18 Price (USD/MMBTU)" dataDxfId="39"/>
    <tableColumn id="54" xr3:uid="{FDC4A9DF-4688-4830-B992-39D1F5107766}" name="GSA 19 Volume (BSCF)" dataDxfId="38"/>
    <tableColumn id="55" xr3:uid="{B0D7E298-E213-45EC-81C3-3AEA0B511A75}" name="GSA 19 GHV (BTU/SCF)" dataDxfId="37"/>
    <tableColumn id="56" xr3:uid="{65BE7B38-E137-4116-BE99-9732D0D27601}" name="GSA 19 Price (USD/MMBTU)" dataDxfId="36"/>
    <tableColumn id="57" xr3:uid="{66A45D79-4EFD-4A60-B7FC-2AAF364EBD1D}" name="GSA 20 Volume (BSCF)5" dataDxfId="35"/>
    <tableColumn id="58" xr3:uid="{F6354756-CE1B-4E3C-993B-28993F1AAAD2}" name="GSA 20 GHV (BTU/SCF)" dataDxfId="34"/>
    <tableColumn id="59" xr3:uid="{DCC94FD8-C643-4565-AB15-65A7E5B1F9AA}" name="GSA 20 Price (USD/MMBTU)" dataDxfId="33"/>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2" dataDxfId="31">
  <autoFilter ref="A1:K200" xr:uid="{7C91890B-09E6-4AFA-B40C-6F75BB3A42FE}"/>
  <tableColumns count="11">
    <tableColumn id="1" xr3:uid="{C5E29AD2-AE25-44BD-901B-58F05DE5E702}" name="Year" dataDxfId="30"/>
    <tableColumn id="3" xr3:uid="{34B633CC-B7D2-4E02-B4C0-6546AED90ECD}" name="Associated With" dataDxfId="29"/>
    <tableColumn id="4" xr3:uid="{15363438-3001-44B3-BFFB-44F0E337DA0F}" name="Cost (MUSD)" dataDxfId="28"/>
    <tableColumn id="5" xr3:uid="{26A9C678-E732-4913-AC99-C95C83093FA8}" name="PIS Year" dataDxfId="27"/>
    <tableColumn id="8" xr3:uid="{7364EFAD-EAA4-45EB-8863-C84BB6B52FCF}" name="Useful Life (Years)" dataDxfId="26"/>
    <tableColumn id="9" xr3:uid="{7894BF9B-F0BD-4BFE-BFA3-3BE9D613C40A}" name="Depreciation Factor" dataDxfId="25"/>
    <tableColumn id="11" xr3:uid="{3328797F-722A-43DE-B743-779488C03E40}" name="Salvage Value" dataDxfId="24"/>
    <tableColumn id="10" xr3:uid="{88614DD2-0187-4679-A89D-61C72EA94D65}" name="Applied By IC" dataDxfId="23"/>
    <tableColumn id="6" xr3:uid="{A9867297-A677-4A93-9B0F-A32163B58107}" name="VAT Portion" dataDxfId="22"/>
    <tableColumn id="12" xr3:uid="{E4597EDC-E479-4B07-9316-B7D3C15AAE4C}" name="LBT Portion" dataDxfId="21"/>
    <tableColumn id="7" xr3:uid="{E6363697-EFAA-4A7E-A486-8D9583D38261}" name="Description" dataDxfId="20"/>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19" dataDxfId="18">
  <autoFilter ref="A1:C50" xr:uid="{DEE72A9B-4BBC-4F3F-80BF-BC7085A5EA38}"/>
  <tableColumns count="3">
    <tableColumn id="1" xr3:uid="{36797F45-B4D8-4AAF-9EF9-72A94931E9BD}" name="Year" dataDxfId="17"/>
    <tableColumn id="2" xr3:uid="{F565D607-058E-4CC9-A868-ABC946C30F0A}" name="Sulfur Sales (Ton)" dataDxfId="16"/>
    <tableColumn id="3" xr3:uid="{FE95A159-27F7-4729-98BD-3BC24A13F318}" name="Price (MMUSD/Unit)" dataDxfId="15"/>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C9" sqref="C9:E9"/>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47666</v>
      </c>
      <c r="D7" s="93"/>
      <c r="E7" s="94"/>
    </row>
    <row r="8" spans="1:9" x14ac:dyDescent="0.25">
      <c r="B8" t="s">
        <v>381</v>
      </c>
      <c r="C8" s="92">
        <v>47667</v>
      </c>
      <c r="D8" s="93"/>
      <c r="E8" s="94"/>
    </row>
    <row r="9" spans="1:9" x14ac:dyDescent="0.25">
      <c r="B9" t="s">
        <v>382</v>
      </c>
      <c r="C9" s="92">
        <v>49674</v>
      </c>
      <c r="D9" s="93"/>
      <c r="E9" s="94"/>
    </row>
    <row r="10" spans="1:9" x14ac:dyDescent="0.25">
      <c r="B10" t="s">
        <v>100</v>
      </c>
      <c r="C10" s="92"/>
      <c r="D10" s="93"/>
      <c r="E10" s="94"/>
    </row>
    <row r="11" spans="1:9" hidden="1" x14ac:dyDescent="0.25">
      <c r="B11" t="s">
        <v>101</v>
      </c>
      <c r="C11" s="92"/>
      <c r="D11" s="93"/>
      <c r="E11" s="94"/>
    </row>
    <row r="12" spans="1:9" x14ac:dyDescent="0.25">
      <c r="B12" s="42" t="s">
        <v>102</v>
      </c>
      <c r="C12" s="43"/>
      <c r="D12" s="45">
        <v>2</v>
      </c>
      <c r="E12" s="44"/>
    </row>
    <row r="13" spans="1:9" x14ac:dyDescent="0.25">
      <c r="B13" s="42"/>
      <c r="C13" s="43"/>
      <c r="D13" s="45">
        <v>0</v>
      </c>
      <c r="E13" s="44"/>
      <c r="G13" s="62" t="s">
        <v>257</v>
      </c>
      <c r="H13" s="61">
        <v>4</v>
      </c>
      <c r="I13" s="60"/>
    </row>
    <row r="14" spans="1:9" x14ac:dyDescent="0.25">
      <c r="C14" s="43"/>
      <c r="D14" s="45">
        <v>2</v>
      </c>
      <c r="E14" s="44"/>
    </row>
    <row r="15" spans="1:9" x14ac:dyDescent="0.25">
      <c r="C15" s="43"/>
      <c r="D15" s="45">
        <v>0</v>
      </c>
      <c r="E15" s="44"/>
    </row>
    <row r="16" spans="1:9" x14ac:dyDescent="0.25">
      <c r="C16" s="43"/>
      <c r="D16" s="45">
        <v>0</v>
      </c>
      <c r="E16" s="44"/>
    </row>
    <row r="17" spans="2:5" x14ac:dyDescent="0.25">
      <c r="C17" s="43"/>
      <c r="D17" s="45">
        <v>0</v>
      </c>
      <c r="E17" s="44"/>
    </row>
    <row r="18" spans="2:5" x14ac:dyDescent="0.25">
      <c r="C18" s="43"/>
      <c r="D18" s="45">
        <v>0</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11E77-5E2F-43EB-A7A6-8D299B92E22B}">
  <sheetPr codeName="Sheet27">
    <tabColor rgb="FFA3B8BA"/>
  </sheetPr>
  <dimension ref="A1:E50"/>
  <sheetViews>
    <sheetView workbookViewId="0">
      <pane xSplit="1" topLeftCell="B1" activePane="topRight" state="frozen"/>
      <selection activeCell="D21" sqref="D21"/>
      <selection pane="topRight" activeCell="D9" sqref="D9"/>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C2FA6E4C-370E-4F32-BDF2-E94365AF50EF}">
      <formula1>0</formula1>
    </dataValidation>
    <dataValidation type="decimal" operator="greaterThanOrEqual" allowBlank="1" showInputMessage="1" showErrorMessage="1" errorTitle="Data Type Error" error="Should be greater than or equal to 0" sqref="B2:B50 D2:E50" xr:uid="{06327FA5-9B7B-429A-96F2-365782F0CB57}">
      <formula1>0</formula1>
    </dataValidation>
    <dataValidation type="whole" operator="greaterThan" allowBlank="1" showInputMessage="1" showErrorMessage="1" errorTitle="Data Type Error" error="Should be Number not Text." sqref="A2:A1048576" xr:uid="{4C67C60A-4E2A-4D47-B402-AC796A5489BA}">
      <formula1>0</formula1>
    </dataValidation>
    <dataValidation type="decimal" operator="greaterThan" allowBlank="1" showInputMessage="1" showErrorMessage="1" errorTitle="Data Type Error" error="Should be Number not Text." sqref="B51:E1048576" xr:uid="{47269E39-E48B-445A-A68D-5A75C451AD47}">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70.769230769230774</v>
      </c>
      <c r="D7" s="25">
        <f>IFERROR(AVERAGE(tbl_prod_oil[Oil Price (USD/BBL)]),0)</f>
        <v>88.461538461538467</v>
      </c>
      <c r="E7" s="25">
        <f>D7+$C$3*D7</f>
        <v>106.15384615384616</v>
      </c>
      <c r="G7" s="80"/>
      <c r="H7" s="80"/>
      <c r="I7" s="80"/>
      <c r="J7" s="80"/>
      <c r="K7" s="80"/>
      <c r="L7" s="80"/>
      <c r="M7" s="80"/>
      <c r="N7" s="80"/>
    </row>
    <row r="8" spans="1:14" x14ac:dyDescent="0.25">
      <c r="B8" t="s">
        <v>366</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367</v>
      </c>
      <c r="C11" s="25">
        <f t="shared" si="0"/>
        <v>920</v>
      </c>
      <c r="D11" s="25">
        <f>SUM(tbl_prod_oil[Oil Sales (MMBOPY)]) + SUM(tbl_prod_gas[Gas Production (BSCF)])</f>
        <v>1150</v>
      </c>
      <c r="E11" s="25">
        <f t="shared" si="1"/>
        <v>1380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x14ac:dyDescent="0.25">
      <c r="A15" s="9" t="s">
        <v>336</v>
      </c>
      <c r="D15" s="73" t="s">
        <v>338</v>
      </c>
      <c r="E15" s="73" t="s">
        <v>339</v>
      </c>
      <c r="F15" s="74" t="s">
        <v>341</v>
      </c>
      <c r="G15" s="73" t="s">
        <v>340</v>
      </c>
      <c r="H15" s="73" t="s">
        <v>342</v>
      </c>
      <c r="J15" s="72">
        <v>3</v>
      </c>
      <c r="M15" s="9" t="s">
        <v>349</v>
      </c>
    </row>
    <row r="16" spans="1:16" x14ac:dyDescent="0.25">
      <c r="B16" t="s">
        <v>337</v>
      </c>
      <c r="D16" s="29"/>
      <c r="E16" s="25">
        <v>1</v>
      </c>
      <c r="F16" s="77">
        <f>'Gross Split Config'!C13</f>
        <v>0.08</v>
      </c>
      <c r="G16" s="29"/>
      <c r="H16" s="29"/>
      <c r="N16" t="s">
        <v>337</v>
      </c>
      <c r="P16" s="76"/>
    </row>
    <row r="17" spans="2:16" x14ac:dyDescent="0.25">
      <c r="B17" t="s">
        <v>272</v>
      </c>
      <c r="D17" s="29"/>
      <c r="E17" s="25">
        <v>2</v>
      </c>
      <c r="F17" s="77">
        <f>'General Config'!C20</f>
        <v>0</v>
      </c>
      <c r="G17" s="29"/>
      <c r="H17" s="29"/>
      <c r="N17" t="s">
        <v>272</v>
      </c>
      <c r="P17" s="76"/>
    </row>
    <row r="18" spans="2:16"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88.461538461538467</v>
      </c>
      <c r="G3" s="78"/>
      <c r="H3" s="78"/>
      <c r="K3" s="80"/>
      <c r="L3" s="80"/>
      <c r="M3" s="80"/>
      <c r="N3" s="80"/>
      <c r="O3" s="80"/>
      <c r="P3" s="80"/>
      <c r="Q3" s="80"/>
      <c r="R3" s="80"/>
    </row>
    <row r="4" spans="1:18" x14ac:dyDescent="0.25">
      <c r="B4" t="s">
        <v>366</v>
      </c>
      <c r="C4" s="25" t="s">
        <v>370</v>
      </c>
      <c r="E4" s="78"/>
      <c r="F4" s="25">
        <f>Sensitivity!D8</f>
        <v>0</v>
      </c>
      <c r="G4" s="78"/>
      <c r="H4" s="78"/>
      <c r="K4" s="80"/>
      <c r="L4" s="80"/>
      <c r="M4" s="80"/>
      <c r="N4" s="80"/>
      <c r="O4" s="80"/>
      <c r="P4" s="80"/>
      <c r="Q4" s="80"/>
      <c r="R4" s="80"/>
    </row>
    <row r="5" spans="1:18" x14ac:dyDescent="0.25">
      <c r="B5" t="s">
        <v>230</v>
      </c>
      <c r="C5" s="25" t="s">
        <v>370</v>
      </c>
      <c r="E5" s="78"/>
      <c r="F5" s="25">
        <f>Sensitivity!D9</f>
        <v>0</v>
      </c>
      <c r="G5" s="78"/>
      <c r="H5" s="78"/>
      <c r="K5" s="80"/>
      <c r="L5" s="80"/>
      <c r="M5" s="80"/>
      <c r="N5" s="80"/>
      <c r="O5" s="80"/>
      <c r="P5" s="80"/>
      <c r="Q5" s="80"/>
      <c r="R5" s="80"/>
    </row>
    <row r="6" spans="1:18" x14ac:dyDescent="0.25">
      <c r="B6" t="s">
        <v>259</v>
      </c>
      <c r="C6" s="25" t="s">
        <v>370</v>
      </c>
      <c r="E6" s="78"/>
      <c r="F6" s="25">
        <f>Sensitivity!D10</f>
        <v>0</v>
      </c>
      <c r="G6" s="78"/>
      <c r="H6" s="78"/>
      <c r="K6" s="80"/>
      <c r="L6" s="80"/>
      <c r="M6" s="80"/>
      <c r="N6" s="80"/>
      <c r="O6" s="80"/>
      <c r="P6" s="80"/>
      <c r="Q6" s="80"/>
      <c r="R6" s="80"/>
    </row>
    <row r="7" spans="1:18" x14ac:dyDescent="0.25">
      <c r="B7" t="s">
        <v>367</v>
      </c>
      <c r="C7" s="25" t="s">
        <v>370</v>
      </c>
      <c r="E7" s="78"/>
      <c r="F7" s="25">
        <f>Sensitivity!D11</f>
        <v>1150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16" sqref="D16"/>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x14ac:dyDescent="0.25">
      <c r="A40" s="9" t="s">
        <v>383</v>
      </c>
    </row>
    <row r="41" spans="1:3"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E15" sqref="E15"/>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100</v>
      </c>
      <c r="C10" s="25">
        <v>100</v>
      </c>
      <c r="D10" s="25">
        <v>100</v>
      </c>
      <c r="E10" s="25">
        <v>100</v>
      </c>
    </row>
    <row r="11" spans="1:5" x14ac:dyDescent="0.25">
      <c r="A11" s="25">
        <v>2032</v>
      </c>
      <c r="B11" s="25">
        <v>100</v>
      </c>
      <c r="C11" s="25">
        <v>100</v>
      </c>
      <c r="D11" s="25">
        <v>100</v>
      </c>
      <c r="E11" s="25">
        <v>100</v>
      </c>
    </row>
    <row r="12" spans="1:5" x14ac:dyDescent="0.25">
      <c r="A12" s="25">
        <v>2033</v>
      </c>
      <c r="B12" s="25">
        <v>50</v>
      </c>
      <c r="C12" s="25">
        <v>50</v>
      </c>
      <c r="D12" s="25">
        <v>50</v>
      </c>
      <c r="E12" s="25">
        <v>50</v>
      </c>
    </row>
    <row r="13" spans="1:5" x14ac:dyDescent="0.25">
      <c r="A13" s="25">
        <v>2034</v>
      </c>
      <c r="B13" s="25">
        <v>50</v>
      </c>
      <c r="C13" s="25">
        <v>50</v>
      </c>
      <c r="D13" s="25">
        <v>50</v>
      </c>
      <c r="E13" s="25">
        <v>50</v>
      </c>
    </row>
    <row r="14" spans="1:5" x14ac:dyDescent="0.25">
      <c r="A14" s="25">
        <v>2035</v>
      </c>
      <c r="B14" s="25">
        <v>50</v>
      </c>
      <c r="C14" s="25">
        <v>50</v>
      </c>
      <c r="D14" s="25">
        <v>50</v>
      </c>
      <c r="E14" s="25">
        <v>50</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2:E14" xr:uid="{50625E7A-C52F-4209-A8F6-4DA6688B283C}">
      <formula1>0</formula1>
    </dataValidation>
    <dataValidation type="decimal" operator="greaterThanOrEqual" allowBlank="1" showInputMessage="1" showErrorMessage="1" errorTitle="Data Type Error" error="Should be greater than equal to 0" sqref="C2:E11 C15:C50" xr:uid="{5A81D88F-D8EC-4F0B-BB75-66EA50E40EF5}">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zoomScaleNormal="100" workbookViewId="0">
      <selection activeCell="C12" sqref="C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04" t="s">
        <v>250</v>
      </c>
      <c r="C38" s="106" t="s">
        <v>251</v>
      </c>
      <c r="D38" s="100" t="s">
        <v>255</v>
      </c>
      <c r="E38" s="98" t="s">
        <v>256</v>
      </c>
      <c r="F38" s="47"/>
    </row>
    <row r="39" spans="1:6" hidden="1" x14ac:dyDescent="0.25">
      <c r="B39" s="105"/>
      <c r="C39" s="107"/>
      <c r="D39" s="101"/>
      <c r="E39" s="9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108" t="s">
        <v>90</v>
      </c>
      <c r="C35" s="108"/>
      <c r="D35" s="108"/>
      <c r="F35" s="108" t="s">
        <v>97</v>
      </c>
      <c r="G35" s="108"/>
      <c r="H35" s="108"/>
    </row>
    <row r="36" spans="2:8" hidden="1" x14ac:dyDescent="0.25">
      <c r="B36" s="15" t="s">
        <v>49</v>
      </c>
      <c r="C36" s="15" t="s">
        <v>50</v>
      </c>
      <c r="D36" s="19" t="s">
        <v>76</v>
      </c>
      <c r="F36" s="15" t="s">
        <v>49</v>
      </c>
      <c r="G36" s="15" t="s">
        <v>50</v>
      </c>
      <c r="H36" s="19" t="s">
        <v>76</v>
      </c>
    </row>
    <row r="37" spans="2:8" hidden="1" x14ac:dyDescent="0.25">
      <c r="B37" s="115" t="s">
        <v>36</v>
      </c>
      <c r="C37" s="16" t="s">
        <v>51</v>
      </c>
      <c r="D37" s="21">
        <v>5</v>
      </c>
      <c r="F37" s="115" t="s">
        <v>36</v>
      </c>
      <c r="G37" s="16" t="s">
        <v>51</v>
      </c>
      <c r="H37" s="21">
        <v>5</v>
      </c>
    </row>
    <row r="38" spans="2:8" hidden="1" x14ac:dyDescent="0.25">
      <c r="B38" s="116"/>
      <c r="C38" s="16" t="s">
        <v>52</v>
      </c>
      <c r="D38" s="21">
        <v>0</v>
      </c>
      <c r="F38" s="116"/>
      <c r="G38" s="16" t="s">
        <v>52</v>
      </c>
      <c r="H38" s="21">
        <v>3</v>
      </c>
    </row>
    <row r="39" spans="2:8" hidden="1" x14ac:dyDescent="0.25">
      <c r="B39" s="116"/>
      <c r="C39" s="17" t="s">
        <v>75</v>
      </c>
      <c r="D39" s="21">
        <v>0</v>
      </c>
      <c r="F39" s="116"/>
      <c r="G39" s="17" t="s">
        <v>28</v>
      </c>
      <c r="H39" s="21">
        <v>0</v>
      </c>
    </row>
    <row r="40" spans="2:8" hidden="1" x14ac:dyDescent="0.25">
      <c r="B40" s="117"/>
      <c r="C40" s="20" t="s">
        <v>28</v>
      </c>
      <c r="D40" s="21">
        <v>-5</v>
      </c>
      <c r="F40" s="117"/>
      <c r="G40" s="19" t="s">
        <v>96</v>
      </c>
      <c r="H40" s="21" t="s">
        <v>96</v>
      </c>
    </row>
    <row r="41" spans="2:8" ht="14.45" hidden="1" customHeight="1" x14ac:dyDescent="0.25">
      <c r="B41" s="115" t="s">
        <v>60</v>
      </c>
      <c r="C41" s="17" t="s">
        <v>29</v>
      </c>
      <c r="D41" s="21">
        <v>0</v>
      </c>
      <c r="F41" s="115" t="s">
        <v>60</v>
      </c>
      <c r="G41" s="17" t="s">
        <v>29</v>
      </c>
      <c r="H41" s="21">
        <v>0</v>
      </c>
    </row>
    <row r="42" spans="2:8" hidden="1" x14ac:dyDescent="0.25">
      <c r="B42" s="116"/>
      <c r="C42" s="17" t="s">
        <v>69</v>
      </c>
      <c r="D42" s="21">
        <v>8</v>
      </c>
      <c r="F42" s="116"/>
      <c r="G42" s="17" t="s">
        <v>69</v>
      </c>
      <c r="H42" s="21">
        <v>8</v>
      </c>
    </row>
    <row r="43" spans="2:8" hidden="1" x14ac:dyDescent="0.25">
      <c r="B43" s="116"/>
      <c r="C43" s="17" t="s">
        <v>70</v>
      </c>
      <c r="D43" s="21">
        <v>10</v>
      </c>
      <c r="F43" s="116"/>
      <c r="G43" s="17" t="s">
        <v>70</v>
      </c>
      <c r="H43" s="21">
        <v>10</v>
      </c>
    </row>
    <row r="44" spans="2:8" hidden="1" x14ac:dyDescent="0.25">
      <c r="B44" s="116"/>
      <c r="C44" s="17" t="s">
        <v>71</v>
      </c>
      <c r="D44" s="21">
        <v>12</v>
      </c>
      <c r="F44" s="116"/>
      <c r="G44" s="17" t="s">
        <v>71</v>
      </c>
      <c r="H44" s="21">
        <v>12</v>
      </c>
    </row>
    <row r="45" spans="2:8" ht="30" hidden="1" x14ac:dyDescent="0.25">
      <c r="B45" s="116"/>
      <c r="C45" s="17" t="s">
        <v>72</v>
      </c>
      <c r="D45" s="21">
        <v>14</v>
      </c>
      <c r="F45" s="116"/>
      <c r="G45" s="17" t="s">
        <v>72</v>
      </c>
      <c r="H45" s="21">
        <v>14</v>
      </c>
    </row>
    <row r="46" spans="2:8" hidden="1" x14ac:dyDescent="0.25">
      <c r="B46" s="117"/>
      <c r="C46" s="17" t="s">
        <v>53</v>
      </c>
      <c r="D46" s="21">
        <v>16</v>
      </c>
      <c r="F46" s="117"/>
      <c r="G46" s="17" t="s">
        <v>53</v>
      </c>
      <c r="H46" s="21">
        <v>16</v>
      </c>
    </row>
    <row r="47" spans="2:8" hidden="1" x14ac:dyDescent="0.25">
      <c r="B47" s="115" t="s">
        <v>38</v>
      </c>
      <c r="C47" s="17" t="s">
        <v>46</v>
      </c>
      <c r="D47" s="21">
        <v>0</v>
      </c>
      <c r="F47" s="115" t="s">
        <v>38</v>
      </c>
      <c r="G47" s="17" t="s">
        <v>46</v>
      </c>
      <c r="H47" s="21">
        <v>0</v>
      </c>
    </row>
    <row r="48" spans="2:8" hidden="1" x14ac:dyDescent="0.25">
      <c r="B48" s="117"/>
      <c r="C48" s="18" t="s">
        <v>54</v>
      </c>
      <c r="D48" s="21">
        <v>1</v>
      </c>
      <c r="F48" s="117"/>
      <c r="G48" s="18" t="s">
        <v>54</v>
      </c>
      <c r="H48" s="21">
        <v>1</v>
      </c>
    </row>
    <row r="49" spans="2:8" hidden="1" x14ac:dyDescent="0.25">
      <c r="B49" s="109" t="s">
        <v>39</v>
      </c>
      <c r="C49" s="18" t="s">
        <v>30</v>
      </c>
      <c r="D49" s="21">
        <v>0</v>
      </c>
      <c r="F49" s="112" t="s">
        <v>39</v>
      </c>
      <c r="G49" s="18" t="s">
        <v>30</v>
      </c>
      <c r="H49" s="21">
        <v>0</v>
      </c>
    </row>
    <row r="50" spans="2:8" hidden="1" x14ac:dyDescent="0.25">
      <c r="B50" s="110"/>
      <c r="C50" s="18" t="s">
        <v>77</v>
      </c>
      <c r="D50" s="21">
        <v>2</v>
      </c>
      <c r="F50" s="114"/>
      <c r="G50" s="18" t="s">
        <v>55</v>
      </c>
      <c r="H50" s="21">
        <v>2</v>
      </c>
    </row>
    <row r="51" spans="2:8" hidden="1" x14ac:dyDescent="0.25">
      <c r="B51" s="111"/>
      <c r="C51" s="19" t="s">
        <v>96</v>
      </c>
      <c r="D51" s="19" t="s">
        <v>96</v>
      </c>
      <c r="F51" s="113"/>
      <c r="G51" s="18" t="s">
        <v>56</v>
      </c>
      <c r="H51" s="21">
        <v>4</v>
      </c>
    </row>
    <row r="52" spans="2:8" hidden="1" x14ac:dyDescent="0.25">
      <c r="B52" s="112" t="s">
        <v>40</v>
      </c>
      <c r="C52" s="18" t="s">
        <v>35</v>
      </c>
      <c r="D52" s="21">
        <v>0</v>
      </c>
      <c r="F52" s="112" t="s">
        <v>40</v>
      </c>
      <c r="G52" s="18" t="s">
        <v>35</v>
      </c>
      <c r="H52" s="21">
        <v>0</v>
      </c>
    </row>
    <row r="53" spans="2:8" hidden="1" x14ac:dyDescent="0.25">
      <c r="B53" s="113"/>
      <c r="C53" s="18" t="s">
        <v>73</v>
      </c>
      <c r="D53" s="21">
        <v>16</v>
      </c>
      <c r="F53" s="113"/>
      <c r="G53" s="18" t="s">
        <v>73</v>
      </c>
      <c r="H53" s="21">
        <v>16</v>
      </c>
    </row>
    <row r="54" spans="2:8" hidden="1" x14ac:dyDescent="0.25">
      <c r="B54" s="112" t="s">
        <v>43</v>
      </c>
      <c r="C54" s="18" t="s">
        <v>31</v>
      </c>
      <c r="D54" s="21">
        <v>1</v>
      </c>
      <c r="F54" s="112" t="s">
        <v>43</v>
      </c>
      <c r="G54" s="18" t="s">
        <v>31</v>
      </c>
      <c r="H54" s="21">
        <v>1</v>
      </c>
    </row>
    <row r="55" spans="2:8" hidden="1" x14ac:dyDescent="0.25">
      <c r="B55" s="113"/>
      <c r="C55" s="18" t="s">
        <v>74</v>
      </c>
      <c r="D55" s="21">
        <v>0</v>
      </c>
      <c r="F55" s="113"/>
      <c r="G55" s="18" t="s">
        <v>74</v>
      </c>
      <c r="H55" s="21">
        <v>0</v>
      </c>
    </row>
    <row r="56" spans="2:8" hidden="1" x14ac:dyDescent="0.25">
      <c r="B56" s="112" t="s">
        <v>61</v>
      </c>
      <c r="C56" s="18" t="s">
        <v>57</v>
      </c>
      <c r="D56" s="21">
        <v>0</v>
      </c>
      <c r="F56" s="112" t="s">
        <v>61</v>
      </c>
      <c r="G56" s="18" t="s">
        <v>57</v>
      </c>
      <c r="H56" s="21">
        <v>0</v>
      </c>
    </row>
    <row r="57" spans="2:8" hidden="1" x14ac:dyDescent="0.25">
      <c r="B57" s="114"/>
      <c r="C57" s="18" t="s">
        <v>78</v>
      </c>
      <c r="D57" s="21">
        <v>2</v>
      </c>
      <c r="F57" s="114"/>
      <c r="G57" s="18" t="s">
        <v>78</v>
      </c>
      <c r="H57" s="21">
        <v>2</v>
      </c>
    </row>
    <row r="58" spans="2:8" hidden="1" x14ac:dyDescent="0.25">
      <c r="B58" s="114"/>
      <c r="C58" s="18" t="s">
        <v>47</v>
      </c>
      <c r="D58" s="21">
        <v>3</v>
      </c>
      <c r="F58" s="114"/>
      <c r="G58" s="18" t="s">
        <v>47</v>
      </c>
      <c r="H58" s="21">
        <v>3</v>
      </c>
    </row>
    <row r="59" spans="2:8" hidden="1" x14ac:dyDescent="0.25">
      <c r="B59" s="113"/>
      <c r="C59" s="18" t="s">
        <v>79</v>
      </c>
      <c r="D59" s="21">
        <v>4</v>
      </c>
      <c r="F59" s="113"/>
      <c r="G59" s="18" t="s">
        <v>79</v>
      </c>
      <c r="H59" s="21">
        <v>4</v>
      </c>
    </row>
    <row r="60" spans="2:8" hidden="1" x14ac:dyDescent="0.25">
      <c r="B60" s="112" t="s">
        <v>27</v>
      </c>
      <c r="C60" s="18" t="s">
        <v>80</v>
      </c>
      <c r="D60" s="21">
        <v>0</v>
      </c>
      <c r="F60" s="112" t="s">
        <v>27</v>
      </c>
      <c r="G60" s="18" t="s">
        <v>80</v>
      </c>
      <c r="H60" s="21">
        <v>0</v>
      </c>
    </row>
    <row r="61" spans="2:8" hidden="1" x14ac:dyDescent="0.25">
      <c r="B61" s="114"/>
      <c r="C61" s="18" t="s">
        <v>48</v>
      </c>
      <c r="D61" s="21">
        <v>3</v>
      </c>
      <c r="F61" s="114"/>
      <c r="G61" s="18" t="s">
        <v>48</v>
      </c>
      <c r="H61" s="21">
        <v>6</v>
      </c>
    </row>
    <row r="62" spans="2:8" hidden="1" x14ac:dyDescent="0.25">
      <c r="B62" s="113"/>
      <c r="C62" s="18" t="s">
        <v>81</v>
      </c>
      <c r="D62" s="21">
        <v>5</v>
      </c>
      <c r="F62" s="113"/>
      <c r="G62" s="18" t="s">
        <v>81</v>
      </c>
      <c r="H62" s="21">
        <v>10</v>
      </c>
    </row>
    <row r="63" spans="2:8" hidden="1" x14ac:dyDescent="0.25">
      <c r="B63" s="112" t="s">
        <v>62</v>
      </c>
      <c r="C63" s="18" t="s">
        <v>33</v>
      </c>
      <c r="D63" s="21">
        <v>0</v>
      </c>
      <c r="F63" s="112" t="s">
        <v>62</v>
      </c>
      <c r="G63" s="18" t="s">
        <v>33</v>
      </c>
      <c r="H63" s="21">
        <v>0</v>
      </c>
    </row>
    <row r="64" spans="2:8" hidden="1" x14ac:dyDescent="0.25">
      <c r="B64" s="114"/>
      <c r="C64" s="18" t="s">
        <v>82</v>
      </c>
      <c r="D64" s="21">
        <v>0.5</v>
      </c>
      <c r="F64" s="114"/>
      <c r="G64" s="18" t="s">
        <v>82</v>
      </c>
      <c r="H64" s="21">
        <v>0.5</v>
      </c>
    </row>
    <row r="65" spans="2:8" hidden="1" x14ac:dyDescent="0.25">
      <c r="B65" s="114"/>
      <c r="C65" s="18" t="s">
        <v>83</v>
      </c>
      <c r="D65" s="21">
        <v>1</v>
      </c>
      <c r="F65" s="114"/>
      <c r="G65" s="18" t="s">
        <v>83</v>
      </c>
      <c r="H65" s="21">
        <v>1</v>
      </c>
    </row>
    <row r="66" spans="2:8" hidden="1" x14ac:dyDescent="0.25">
      <c r="B66" s="114"/>
      <c r="C66" s="18" t="s">
        <v>84</v>
      </c>
      <c r="D66" s="21">
        <v>1.5</v>
      </c>
      <c r="F66" s="114"/>
      <c r="G66" s="18" t="s">
        <v>84</v>
      </c>
      <c r="H66" s="21">
        <v>1.5</v>
      </c>
    </row>
    <row r="67" spans="2:8" hidden="1" x14ac:dyDescent="0.25">
      <c r="B67" s="114"/>
      <c r="C67" s="18" t="s">
        <v>85</v>
      </c>
      <c r="D67" s="21">
        <v>2</v>
      </c>
      <c r="F67" s="114"/>
      <c r="G67" s="18" t="s">
        <v>85</v>
      </c>
      <c r="H67" s="21">
        <v>2</v>
      </c>
    </row>
    <row r="68" spans="2:8" hidden="1" x14ac:dyDescent="0.25">
      <c r="B68" s="113"/>
      <c r="C68" s="18" t="s">
        <v>92</v>
      </c>
      <c r="D68" s="21">
        <v>4</v>
      </c>
      <c r="F68" s="113"/>
      <c r="G68" s="18" t="s">
        <v>92</v>
      </c>
      <c r="H68" s="21">
        <v>4</v>
      </c>
    </row>
    <row r="69" spans="2:8" hidden="1" x14ac:dyDescent="0.25">
      <c r="B69" s="112" t="s">
        <v>63</v>
      </c>
      <c r="C69" s="18" t="s">
        <v>34</v>
      </c>
      <c r="D69" s="21">
        <v>0</v>
      </c>
      <c r="F69" s="112" t="s">
        <v>63</v>
      </c>
      <c r="G69" s="18" t="s">
        <v>34</v>
      </c>
      <c r="H69" s="21">
        <v>0</v>
      </c>
    </row>
    <row r="70" spans="2:8" hidden="1" x14ac:dyDescent="0.25">
      <c r="B70" s="114"/>
      <c r="C70" s="18" t="s">
        <v>88</v>
      </c>
      <c r="D70" s="21">
        <v>0.5</v>
      </c>
      <c r="F70" s="114"/>
      <c r="G70" s="18" t="s">
        <v>93</v>
      </c>
      <c r="H70" s="21">
        <v>1</v>
      </c>
    </row>
    <row r="71" spans="2:8" hidden="1" x14ac:dyDescent="0.25">
      <c r="B71" s="114"/>
      <c r="C71" s="18" t="s">
        <v>89</v>
      </c>
      <c r="D71" s="21">
        <v>0.75</v>
      </c>
      <c r="F71" s="114"/>
      <c r="G71" s="18" t="s">
        <v>94</v>
      </c>
      <c r="H71" s="21">
        <v>2</v>
      </c>
    </row>
    <row r="72" spans="2:8" hidden="1" x14ac:dyDescent="0.25">
      <c r="B72" s="113"/>
      <c r="C72" s="18" t="s">
        <v>91</v>
      </c>
      <c r="D72" s="21">
        <v>1</v>
      </c>
      <c r="F72" s="114"/>
      <c r="G72" s="18" t="s">
        <v>86</v>
      </c>
      <c r="H72" s="21">
        <v>3</v>
      </c>
    </row>
    <row r="73" spans="2:8" hidden="1" x14ac:dyDescent="0.25">
      <c r="F73" s="114"/>
      <c r="G73" s="18" t="s">
        <v>87</v>
      </c>
      <c r="H73" s="21">
        <v>4</v>
      </c>
    </row>
    <row r="74" spans="2:8" hidden="1" x14ac:dyDescent="0.25">
      <c r="F74" s="113"/>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108" t="s">
        <v>90</v>
      </c>
      <c r="C33" s="108"/>
      <c r="D33" s="108"/>
      <c r="F33" s="108" t="s">
        <v>97</v>
      </c>
      <c r="G33" s="108"/>
      <c r="H33" s="108"/>
    </row>
    <row r="34" spans="2:8" ht="15" hidden="1" x14ac:dyDescent="0.25">
      <c r="B34" s="15" t="s">
        <v>49</v>
      </c>
      <c r="C34" s="15" t="s">
        <v>50</v>
      </c>
      <c r="D34" s="19" t="s">
        <v>76</v>
      </c>
      <c r="F34" s="15" t="s">
        <v>49</v>
      </c>
      <c r="G34" s="15" t="s">
        <v>50</v>
      </c>
      <c r="H34" s="19" t="s">
        <v>76</v>
      </c>
    </row>
    <row r="35" spans="2:8" ht="15" hidden="1" x14ac:dyDescent="0.25">
      <c r="B35" s="115" t="s">
        <v>36</v>
      </c>
      <c r="C35" s="16" t="s">
        <v>51</v>
      </c>
      <c r="D35" s="21">
        <v>5</v>
      </c>
      <c r="F35" s="115" t="s">
        <v>36</v>
      </c>
      <c r="G35" s="16" t="s">
        <v>51</v>
      </c>
      <c r="H35" s="21">
        <v>5</v>
      </c>
    </row>
    <row r="36" spans="2:8" ht="15" hidden="1" x14ac:dyDescent="0.25">
      <c r="B36" s="116"/>
      <c r="C36" s="16" t="s">
        <v>52</v>
      </c>
      <c r="D36" s="21">
        <v>0</v>
      </c>
      <c r="F36" s="116"/>
      <c r="G36" s="16" t="s">
        <v>52</v>
      </c>
      <c r="H36" s="21">
        <v>3</v>
      </c>
    </row>
    <row r="37" spans="2:8" ht="15" hidden="1" x14ac:dyDescent="0.25">
      <c r="B37" s="116"/>
      <c r="C37" s="17" t="s">
        <v>75</v>
      </c>
      <c r="D37" s="21">
        <v>0</v>
      </c>
      <c r="F37" s="116"/>
      <c r="G37" s="17" t="s">
        <v>28</v>
      </c>
      <c r="H37" s="21">
        <v>0</v>
      </c>
    </row>
    <row r="38" spans="2:8" ht="15" hidden="1" x14ac:dyDescent="0.25">
      <c r="B38" s="117"/>
      <c r="C38" s="20" t="s">
        <v>28</v>
      </c>
      <c r="D38" s="21">
        <v>-5</v>
      </c>
      <c r="F38" s="117"/>
      <c r="G38" s="19" t="s">
        <v>96</v>
      </c>
      <c r="H38" s="21" t="s">
        <v>96</v>
      </c>
    </row>
    <row r="39" spans="2:8" ht="14.45" hidden="1" customHeight="1" x14ac:dyDescent="0.25">
      <c r="B39" s="115" t="s">
        <v>60</v>
      </c>
      <c r="C39" s="17" t="s">
        <v>29</v>
      </c>
      <c r="D39" s="21">
        <v>0</v>
      </c>
      <c r="F39" s="115" t="s">
        <v>60</v>
      </c>
      <c r="G39" s="17" t="s">
        <v>29</v>
      </c>
      <c r="H39" s="21">
        <v>0</v>
      </c>
    </row>
    <row r="40" spans="2:8" ht="15" hidden="1" x14ac:dyDescent="0.25">
      <c r="B40" s="116"/>
      <c r="C40" s="17" t="s">
        <v>69</v>
      </c>
      <c r="D40" s="21">
        <v>8</v>
      </c>
      <c r="F40" s="116"/>
      <c r="G40" s="17" t="s">
        <v>69</v>
      </c>
      <c r="H40" s="21">
        <v>8</v>
      </c>
    </row>
    <row r="41" spans="2:8" ht="15" hidden="1" x14ac:dyDescent="0.25">
      <c r="B41" s="116"/>
      <c r="C41" s="17" t="s">
        <v>70</v>
      </c>
      <c r="D41" s="21">
        <v>10</v>
      </c>
      <c r="F41" s="116"/>
      <c r="G41" s="17" t="s">
        <v>70</v>
      </c>
      <c r="H41" s="21">
        <v>10</v>
      </c>
    </row>
    <row r="42" spans="2:8" ht="15" hidden="1" x14ac:dyDescent="0.25">
      <c r="B42" s="116"/>
      <c r="C42" s="17" t="s">
        <v>71</v>
      </c>
      <c r="D42" s="21">
        <v>12</v>
      </c>
      <c r="F42" s="116"/>
      <c r="G42" s="17" t="s">
        <v>71</v>
      </c>
      <c r="H42" s="21">
        <v>12</v>
      </c>
    </row>
    <row r="43" spans="2:8" ht="30" hidden="1" x14ac:dyDescent="0.25">
      <c r="B43" s="116"/>
      <c r="C43" s="17" t="s">
        <v>72</v>
      </c>
      <c r="D43" s="21">
        <v>14</v>
      </c>
      <c r="F43" s="116"/>
      <c r="G43" s="17" t="s">
        <v>72</v>
      </c>
      <c r="H43" s="21">
        <v>14</v>
      </c>
    </row>
    <row r="44" spans="2:8" ht="15" hidden="1" x14ac:dyDescent="0.25">
      <c r="B44" s="117"/>
      <c r="C44" s="17" t="s">
        <v>53</v>
      </c>
      <c r="D44" s="21">
        <v>16</v>
      </c>
      <c r="F44" s="117"/>
      <c r="G44" s="17" t="s">
        <v>53</v>
      </c>
      <c r="H44" s="21">
        <v>16</v>
      </c>
    </row>
    <row r="45" spans="2:8" ht="15" hidden="1" x14ac:dyDescent="0.25">
      <c r="B45" s="115" t="s">
        <v>38</v>
      </c>
      <c r="C45" s="17" t="s">
        <v>46</v>
      </c>
      <c r="D45" s="21">
        <v>0</v>
      </c>
      <c r="F45" s="115" t="s">
        <v>38</v>
      </c>
      <c r="G45" s="17" t="s">
        <v>46</v>
      </c>
      <c r="H45" s="21">
        <v>0</v>
      </c>
    </row>
    <row r="46" spans="2:8" ht="15" hidden="1" x14ac:dyDescent="0.25">
      <c r="B46" s="117"/>
      <c r="C46" s="18" t="s">
        <v>54</v>
      </c>
      <c r="D46" s="21">
        <v>1</v>
      </c>
      <c r="F46" s="117"/>
      <c r="G46" s="18" t="s">
        <v>54</v>
      </c>
      <c r="H46" s="21">
        <v>1</v>
      </c>
    </row>
    <row r="47" spans="2:8" ht="15" hidden="1" x14ac:dyDescent="0.25">
      <c r="B47" s="109" t="s">
        <v>39</v>
      </c>
      <c r="C47" s="18" t="s">
        <v>30</v>
      </c>
      <c r="D47" s="21">
        <v>0</v>
      </c>
      <c r="F47" s="112" t="s">
        <v>39</v>
      </c>
      <c r="G47" s="18" t="s">
        <v>30</v>
      </c>
      <c r="H47" s="21">
        <v>0</v>
      </c>
    </row>
    <row r="48" spans="2:8" ht="15" hidden="1" x14ac:dyDescent="0.25">
      <c r="B48" s="110"/>
      <c r="C48" s="18" t="s">
        <v>77</v>
      </c>
      <c r="D48" s="21">
        <v>2</v>
      </c>
      <c r="F48" s="114"/>
      <c r="G48" s="18" t="s">
        <v>55</v>
      </c>
      <c r="H48" s="21">
        <v>2</v>
      </c>
    </row>
    <row r="49" spans="2:8" ht="15" hidden="1" x14ac:dyDescent="0.25">
      <c r="B49" s="111"/>
      <c r="C49" s="19" t="s">
        <v>96</v>
      </c>
      <c r="D49" s="19" t="s">
        <v>96</v>
      </c>
      <c r="F49" s="113"/>
      <c r="G49" s="18" t="s">
        <v>56</v>
      </c>
      <c r="H49" s="21">
        <v>4</v>
      </c>
    </row>
    <row r="50" spans="2:8" ht="15" hidden="1" x14ac:dyDescent="0.25">
      <c r="B50" s="112" t="s">
        <v>40</v>
      </c>
      <c r="C50" s="18" t="s">
        <v>35</v>
      </c>
      <c r="D50" s="21">
        <v>0</v>
      </c>
      <c r="F50" s="112" t="s">
        <v>40</v>
      </c>
      <c r="G50" s="18" t="s">
        <v>35</v>
      </c>
      <c r="H50" s="21">
        <v>0</v>
      </c>
    </row>
    <row r="51" spans="2:8" ht="15" hidden="1" x14ac:dyDescent="0.25">
      <c r="B51" s="113"/>
      <c r="C51" s="18" t="s">
        <v>73</v>
      </c>
      <c r="D51" s="21">
        <v>16</v>
      </c>
      <c r="F51" s="113"/>
      <c r="G51" s="18" t="s">
        <v>73</v>
      </c>
      <c r="H51" s="21">
        <v>16</v>
      </c>
    </row>
    <row r="52" spans="2:8" ht="15" hidden="1" x14ac:dyDescent="0.25">
      <c r="B52" s="112" t="s">
        <v>43</v>
      </c>
      <c r="C52" s="18" t="s">
        <v>31</v>
      </c>
      <c r="D52" s="21">
        <v>1</v>
      </c>
      <c r="F52" s="112" t="s">
        <v>43</v>
      </c>
      <c r="G52" s="18" t="s">
        <v>31</v>
      </c>
      <c r="H52" s="21">
        <v>1</v>
      </c>
    </row>
    <row r="53" spans="2:8" ht="15" hidden="1" x14ac:dyDescent="0.25">
      <c r="B53" s="113"/>
      <c r="C53" s="18" t="s">
        <v>74</v>
      </c>
      <c r="D53" s="21">
        <v>0</v>
      </c>
      <c r="F53" s="113"/>
      <c r="G53" s="18" t="s">
        <v>74</v>
      </c>
      <c r="H53" s="21">
        <v>0</v>
      </c>
    </row>
    <row r="54" spans="2:8" ht="15" hidden="1" x14ac:dyDescent="0.25">
      <c r="B54" s="112" t="s">
        <v>61</v>
      </c>
      <c r="C54" s="18" t="s">
        <v>57</v>
      </c>
      <c r="D54" s="21">
        <v>0</v>
      </c>
      <c r="F54" s="112" t="s">
        <v>61</v>
      </c>
      <c r="G54" s="18" t="s">
        <v>57</v>
      </c>
      <c r="H54" s="21">
        <v>0</v>
      </c>
    </row>
    <row r="55" spans="2:8" ht="15" hidden="1" x14ac:dyDescent="0.25">
      <c r="B55" s="114"/>
      <c r="C55" s="18" t="s">
        <v>78</v>
      </c>
      <c r="D55" s="21">
        <v>2</v>
      </c>
      <c r="F55" s="114"/>
      <c r="G55" s="18" t="s">
        <v>78</v>
      </c>
      <c r="H55" s="21">
        <v>2</v>
      </c>
    </row>
    <row r="56" spans="2:8" ht="15" hidden="1" x14ac:dyDescent="0.25">
      <c r="B56" s="114"/>
      <c r="C56" s="18" t="s">
        <v>47</v>
      </c>
      <c r="D56" s="21">
        <v>3</v>
      </c>
      <c r="F56" s="114"/>
      <c r="G56" s="18" t="s">
        <v>47</v>
      </c>
      <c r="H56" s="21">
        <v>3</v>
      </c>
    </row>
    <row r="57" spans="2:8" ht="15" hidden="1" x14ac:dyDescent="0.25">
      <c r="B57" s="113"/>
      <c r="C57" s="18" t="s">
        <v>79</v>
      </c>
      <c r="D57" s="21">
        <v>4</v>
      </c>
      <c r="F57" s="113"/>
      <c r="G57" s="18" t="s">
        <v>79</v>
      </c>
      <c r="H57" s="21">
        <v>4</v>
      </c>
    </row>
    <row r="58" spans="2:8" ht="15" hidden="1" x14ac:dyDescent="0.25">
      <c r="B58" s="112" t="s">
        <v>27</v>
      </c>
      <c r="C58" s="18" t="s">
        <v>80</v>
      </c>
      <c r="D58" s="21">
        <v>0</v>
      </c>
      <c r="F58" s="112" t="s">
        <v>27</v>
      </c>
      <c r="G58" s="18" t="s">
        <v>58</v>
      </c>
      <c r="H58" s="21">
        <v>0</v>
      </c>
    </row>
    <row r="59" spans="2:8" ht="15" hidden="1" x14ac:dyDescent="0.25">
      <c r="B59" s="114"/>
      <c r="C59" s="18" t="s">
        <v>48</v>
      </c>
      <c r="D59" s="21">
        <v>3</v>
      </c>
      <c r="F59" s="114"/>
      <c r="G59" s="18" t="s">
        <v>32</v>
      </c>
      <c r="H59" s="21">
        <v>6</v>
      </c>
    </row>
    <row r="60" spans="2:8" ht="15" hidden="1" x14ac:dyDescent="0.25">
      <c r="B60" s="113"/>
      <c r="C60" s="18" t="s">
        <v>81</v>
      </c>
      <c r="D60" s="21">
        <v>5</v>
      </c>
      <c r="F60" s="113"/>
      <c r="G60" s="18" t="s">
        <v>59</v>
      </c>
      <c r="H60" s="21">
        <v>10</v>
      </c>
    </row>
    <row r="61" spans="2:8" ht="15" hidden="1" x14ac:dyDescent="0.25">
      <c r="B61" s="112" t="s">
        <v>62</v>
      </c>
      <c r="C61" s="18" t="s">
        <v>33</v>
      </c>
      <c r="D61" s="21">
        <v>0</v>
      </c>
      <c r="F61" s="112" t="s">
        <v>62</v>
      </c>
      <c r="G61" s="18" t="s">
        <v>33</v>
      </c>
      <c r="H61" s="21">
        <v>0</v>
      </c>
    </row>
    <row r="62" spans="2:8" ht="15" hidden="1" x14ac:dyDescent="0.25">
      <c r="B62" s="114"/>
      <c r="C62" s="18" t="s">
        <v>82</v>
      </c>
      <c r="D62" s="21">
        <v>0.5</v>
      </c>
      <c r="F62" s="114"/>
      <c r="G62" s="18" t="s">
        <v>82</v>
      </c>
      <c r="H62" s="21">
        <v>0.5</v>
      </c>
    </row>
    <row r="63" spans="2:8" ht="15" hidden="1" x14ac:dyDescent="0.25">
      <c r="B63" s="114"/>
      <c r="C63" s="18" t="s">
        <v>83</v>
      </c>
      <c r="D63" s="21">
        <v>1</v>
      </c>
      <c r="F63" s="114"/>
      <c r="G63" s="18" t="s">
        <v>83</v>
      </c>
      <c r="H63" s="21">
        <v>1</v>
      </c>
    </row>
    <row r="64" spans="2:8" ht="15" hidden="1" x14ac:dyDescent="0.25">
      <c r="B64" s="114"/>
      <c r="C64" s="18" t="s">
        <v>84</v>
      </c>
      <c r="D64" s="21">
        <v>1.5</v>
      </c>
      <c r="F64" s="114"/>
      <c r="G64" s="18" t="s">
        <v>84</v>
      </c>
      <c r="H64" s="21">
        <v>1.5</v>
      </c>
    </row>
    <row r="65" spans="2:8" ht="15" hidden="1" x14ac:dyDescent="0.25">
      <c r="B65" s="114"/>
      <c r="C65" s="18" t="s">
        <v>85</v>
      </c>
      <c r="D65" s="21">
        <v>2</v>
      </c>
      <c r="F65" s="114"/>
      <c r="G65" s="18" t="s">
        <v>85</v>
      </c>
      <c r="H65" s="21">
        <v>2</v>
      </c>
    </row>
    <row r="66" spans="2:8" ht="15" hidden="1" x14ac:dyDescent="0.25">
      <c r="B66" s="113"/>
      <c r="C66" s="18" t="s">
        <v>92</v>
      </c>
      <c r="D66" s="21">
        <v>4</v>
      </c>
      <c r="F66" s="113"/>
      <c r="G66" s="18" t="s">
        <v>92</v>
      </c>
      <c r="H66" s="21">
        <v>4</v>
      </c>
    </row>
    <row r="67" spans="2:8" ht="15" hidden="1" x14ac:dyDescent="0.25">
      <c r="B67" s="112" t="s">
        <v>63</v>
      </c>
      <c r="C67" s="18" t="s">
        <v>34</v>
      </c>
      <c r="D67" s="21">
        <v>0</v>
      </c>
      <c r="F67" s="112" t="s">
        <v>63</v>
      </c>
      <c r="G67" s="18" t="s">
        <v>34</v>
      </c>
      <c r="H67" s="21">
        <v>0</v>
      </c>
    </row>
    <row r="68" spans="2:8" ht="15" hidden="1" x14ac:dyDescent="0.25">
      <c r="B68" s="114"/>
      <c r="C68" s="18" t="s">
        <v>88</v>
      </c>
      <c r="D68" s="21">
        <v>0.5</v>
      </c>
      <c r="F68" s="114"/>
      <c r="G68" s="18" t="s">
        <v>93</v>
      </c>
      <c r="H68" s="21">
        <v>1</v>
      </c>
    </row>
    <row r="69" spans="2:8" ht="15" hidden="1" x14ac:dyDescent="0.25">
      <c r="B69" s="114"/>
      <c r="C69" s="18" t="s">
        <v>89</v>
      </c>
      <c r="D69" s="21">
        <v>0.75</v>
      </c>
      <c r="F69" s="114"/>
      <c r="G69" s="18" t="s">
        <v>94</v>
      </c>
      <c r="H69" s="21">
        <v>2</v>
      </c>
    </row>
    <row r="70" spans="2:8" ht="15" hidden="1" x14ac:dyDescent="0.25">
      <c r="B70" s="113"/>
      <c r="C70" s="18" t="s">
        <v>91</v>
      </c>
      <c r="D70" s="21">
        <v>1</v>
      </c>
      <c r="F70" s="114"/>
      <c r="G70" s="18" t="s">
        <v>86</v>
      </c>
      <c r="H70" s="21">
        <v>3</v>
      </c>
    </row>
    <row r="71" spans="2:8" ht="15" hidden="1" x14ac:dyDescent="0.25">
      <c r="F71" s="114"/>
      <c r="G71" s="18" t="s">
        <v>87</v>
      </c>
      <c r="H71" s="21">
        <v>4</v>
      </c>
    </row>
    <row r="72" spans="2:8" ht="15" hidden="1" x14ac:dyDescent="0.25">
      <c r="F72" s="113"/>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tabSelected="1" workbookViewId="0">
      <selection activeCell="C20" sqref="C20"/>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v>
      </c>
    </row>
    <row r="3" spans="1:3" x14ac:dyDescent="0.25">
      <c r="A3" s="25">
        <v>2024</v>
      </c>
      <c r="B3" s="25">
        <v>100</v>
      </c>
      <c r="C3" s="25">
        <v>10</v>
      </c>
    </row>
    <row r="4" spans="1:3" x14ac:dyDescent="0.25">
      <c r="A4" s="25">
        <v>2025</v>
      </c>
      <c r="B4" s="25">
        <v>100</v>
      </c>
      <c r="C4" s="25">
        <v>10</v>
      </c>
    </row>
    <row r="5" spans="1:3" x14ac:dyDescent="0.25">
      <c r="A5" s="25">
        <v>2026</v>
      </c>
      <c r="B5" s="25">
        <v>100</v>
      </c>
      <c r="C5" s="25">
        <v>10</v>
      </c>
    </row>
    <row r="6" spans="1:3" x14ac:dyDescent="0.25">
      <c r="A6" s="25">
        <v>2027</v>
      </c>
      <c r="B6" s="25">
        <v>100</v>
      </c>
      <c r="C6" s="25">
        <v>10</v>
      </c>
    </row>
    <row r="7" spans="1:3" x14ac:dyDescent="0.25">
      <c r="A7" s="25">
        <v>2028</v>
      </c>
      <c r="B7" s="25">
        <v>100</v>
      </c>
      <c r="C7" s="25">
        <v>10</v>
      </c>
    </row>
    <row r="8" spans="1:3" x14ac:dyDescent="0.25">
      <c r="A8" s="25">
        <v>2029</v>
      </c>
      <c r="B8" s="25">
        <v>100</v>
      </c>
      <c r="C8" s="25">
        <v>10</v>
      </c>
    </row>
    <row r="9" spans="1:3" x14ac:dyDescent="0.25">
      <c r="A9" s="25">
        <v>2030</v>
      </c>
      <c r="B9" s="25">
        <v>100</v>
      </c>
      <c r="C9" s="25">
        <v>10</v>
      </c>
    </row>
    <row r="10" spans="1:3" x14ac:dyDescent="0.25">
      <c r="A10" s="25">
        <v>2031</v>
      </c>
      <c r="B10" s="25">
        <v>50</v>
      </c>
      <c r="C10" s="25">
        <v>5</v>
      </c>
    </row>
    <row r="11" spans="1:3" x14ac:dyDescent="0.25">
      <c r="A11" s="25">
        <v>2032</v>
      </c>
      <c r="B11" s="25">
        <v>50</v>
      </c>
      <c r="C11" s="25">
        <v>5</v>
      </c>
    </row>
    <row r="12" spans="1:3" x14ac:dyDescent="0.25">
      <c r="A12" s="25">
        <v>2033</v>
      </c>
      <c r="B12" s="25">
        <v>50</v>
      </c>
      <c r="C12" s="25">
        <v>5</v>
      </c>
    </row>
    <row r="13" spans="1:3" x14ac:dyDescent="0.25">
      <c r="A13" s="25">
        <v>2034</v>
      </c>
      <c r="B13" s="25">
        <v>50</v>
      </c>
      <c r="C13" s="25">
        <v>5</v>
      </c>
    </row>
    <row r="14" spans="1:3" x14ac:dyDescent="0.25">
      <c r="A14" s="25">
        <v>2035</v>
      </c>
      <c r="B14" s="25">
        <v>50</v>
      </c>
      <c r="C14" s="25">
        <v>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CDABA-6ED1-40E5-9921-8CB463509D8C}">
  <sheetPr codeName="Sheet28">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C1E04003-6172-46E8-9982-1871F72AAD40}">
      <formula1>0</formula1>
    </dataValidation>
    <dataValidation type="decimal" operator="greaterThan" allowBlank="1" showInputMessage="1" showErrorMessage="1" errorTitle="Data Type Error" error="Should be Number not Text" sqref="B51:C1048576" xr:uid="{F9B6ADBE-F8D2-4699-98FD-60D35F5511DF}">
      <formula1>0</formula1>
    </dataValidation>
    <dataValidation type="whole" operator="greaterThan" allowBlank="1" showInputMessage="1" showErrorMessage="1" errorTitle="Data Type Error" error="Should be Number not Text" sqref="A2:A1048576" xr:uid="{BFB117ED-46C2-4F8E-B25F-82374645C8C6}">
      <formula1>0</formula1>
    </dataValidation>
    <dataValidation operator="greaterThan" allowBlank="1" showInputMessage="1" showErrorMessage="1" errorTitle="Data Type Error" error="Should be Number not Text." sqref="D1:XFD1" xr:uid="{7A59071A-4315-4524-9E2E-3CF6B75A25CE}"/>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F1" activePane="topRight" state="frozen"/>
      <selection pane="topRight" activeCell="A51" sqref="A51:XFD1048576"/>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C15" sqref="C15"/>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vt:i4>
      </vt:variant>
    </vt:vector>
  </HeadingPairs>
  <TitlesOfParts>
    <vt:vector size="36" baseType="lpstr">
      <vt:lpstr>Cover</vt:lpstr>
      <vt:lpstr>UserGuide</vt:lpstr>
      <vt:lpstr>Summary</vt:lpstr>
      <vt:lpstr>General Config</vt:lpstr>
      <vt:lpstr>Cost Intangible</vt:lpstr>
      <vt:lpstr>Prod Oil (2)</vt:lpstr>
      <vt:lpstr>Cost ASR</vt:lpstr>
      <vt:lpstr>Prod CO2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LPG Propane</vt:lpstr>
      <vt:lpstr>Cost OPEX</vt:lpstr>
      <vt:lpstr>Prod LPG Propane (2)</vt:lpstr>
      <vt:lpstr>Prod Electricity</vt:lpstr>
      <vt:lpstr>Prod Gas</vt:lpstr>
      <vt:lpstr>Cost Tangible</vt:lpstr>
      <vt:lpstr>Prod Sulfur</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2023-11-26T07:28:20Z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