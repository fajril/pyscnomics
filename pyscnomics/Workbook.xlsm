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4.xml" ContentType="application/vnd.openxmlformats-officedocument.drawing+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4CB2115E-BEF4-4CD0-90D4-416CA46CFE4A}" xr6:coauthVersionLast="47" xr6:coauthVersionMax="47" xr10:uidLastSave="{00000000-0000-0000-0000-000000000000}"/>
  <bookViews>
    <workbookView xWindow="28695" yWindow="0" windowWidth="19410" windowHeight="15585" tabRatio="857" activeTab="15" xr2:uid="{F41B6BF2-4712-40A6-B007-CDDECCED21AA}"/>
  </bookViews>
  <sheets>
    <sheet name="Cover" sheetId="19" r:id="rId1"/>
    <sheet name="UserGuide" sheetId="8" r:id="rId2"/>
    <sheet name="Result" sheetId="18" r:id="rId3"/>
    <sheet name="General Config" sheetId="4" r:id="rId4"/>
    <sheet name="Fiscal Config" sheetId="345" r:id="rId5"/>
    <sheet name="Prod Oil" sheetId="54" r:id="rId6"/>
    <sheet name="Prod Gas" sheetId="5" state="hidden" r:id="rId7"/>
    <sheet name="Prod LPG Propane" sheetId="6" state="hidden" r:id="rId8"/>
    <sheet name="Prod LPG Butane" sheetId="7" state="hidden" r:id="rId9"/>
    <sheet name="Prod CO2" sheetId="10" state="hidden" r:id="rId10"/>
    <sheet name="Prod Sulfur" sheetId="9" state="hidden" r:id="rId11"/>
    <sheet name="Gross Split Config (2)" sheetId="103" state="hidden" r:id="rId12"/>
    <sheet name="Cost Recovery Config" sheetId="16" r:id="rId13"/>
    <sheet name="Gross Split Config" sheetId="15" state="hidden" r:id="rId14"/>
    <sheet name="Cost Recovery Config (2)" sheetId="343" state="hidden" r:id="rId15"/>
    <sheet name="Cost Tangible" sheetId="72" r:id="rId16"/>
    <sheet name="Cost Intangible" sheetId="73" r:id="rId17"/>
    <sheet name="Cost OPEX" sheetId="74" r:id="rId18"/>
    <sheet name="Cost ASR" sheetId="75" r:id="rId19"/>
    <sheet name="Result Table CR" sheetId="346" r:id="rId20"/>
    <sheet name="Result Table GS" sheetId="347" r:id="rId21"/>
  </sheets>
  <functionGroups builtInGroupCount="19"/>
  <externalReferences>
    <externalReference r:id="rId22"/>
  </externalReferences>
  <definedNames>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345" l="1"/>
  <c r="B17" i="8" l="1"/>
</calcChain>
</file>

<file path=xl/sharedStrings.xml><?xml version="1.0" encoding="utf-8"?>
<sst xmlns="http://schemas.openxmlformats.org/spreadsheetml/2006/main" count="812" uniqueCount="340">
  <si>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</si>
  <si>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</si>
  <si>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</si>
  <si>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</si>
  <si>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</si>
  <si>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</si>
  <si>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</si>
  <si>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</si>
  <si>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</si>
  <si>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</si>
  <si>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</si>
  <si>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</si>
  <si>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</si>
  <si>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</si>
  <si>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</si>
  <si>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</si>
  <si>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</si>
  <si>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</si>
  <si>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</si>
  <si>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</si>
  <si>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</si>
  <si>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</si>
  <si>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PPN Portion</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</si>
  <si>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</si>
  <si>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</si>
  <si>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</si>
  <si>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</si>
  <si>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</si>
  <si>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</si>
  <si>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</si>
  <si>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</si>
  <si>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</si>
  <si>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</si>
  <si>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</si>
  <si>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</si>
  <si>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</si>
  <si>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</si>
  <si>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</si>
  <si>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</si>
  <si>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</si>
  <si>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</si>
  <si>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</si>
  <si>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</si>
  <si>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</si>
  <si>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</si>
  <si>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</si>
  <si>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</si>
  <si>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</si>
  <si>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</si>
  <si>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</si>
  <si>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</si>
  <si>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</si>
  <si>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</si>
  <si>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</si>
  <si>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</si>
  <si>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</si>
  <si>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</si>
  <si>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</si>
  <si>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</si>
  <si>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</si>
  <si>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</si>
  <si>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</si>
  <si>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</si>
  <si>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</si>
  <si>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</si>
  <si>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</si>
  <si>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</si>
  <si>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</si>
  <si>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</si>
  <si>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</si>
  <si>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</si>
  <si>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</si>
  <si>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</si>
  <si>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</si>
  <si>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</si>
  <si>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</si>
  <si>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</si>
  <si>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</si>
  <si>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</si>
  <si>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</si>
  <si>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</si>
  <si>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</si>
  <si>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</si>
  <si>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</si>
  <si>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</si>
  <si>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</si>
  <si>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</si>
  <si>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</si>
  <si>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</si>
  <si>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</si>
  <si>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</si>
  <si>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</si>
  <si>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</si>
  <si>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</si>
  <si>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</si>
  <si>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</si>
  <si>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</si>
  <si>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</si>
  <si>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</si>
  <si>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</si>
  <si>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</si>
  <si>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</si>
  <si>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</si>
  <si>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</si>
  <si>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</si>
  <si>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</si>
  <si>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</si>
  <si>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</si>
  <si>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</si>
  <si>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</si>
  <si>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</si>
  <si>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</si>
  <si>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</si>
  <si>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</si>
  <si>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</si>
  <si>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</si>
  <si>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</si>
  <si>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</si>
  <si>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</si>
  <si>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</si>
  <si>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</si>
  <si>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</si>
  <si>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</si>
  <si>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</si>
  <si>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</si>
  <si>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</si>
  <si>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</si>
  <si>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</si>
  <si>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</si>
  <si>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</si>
  <si>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</si>
  <si>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</si>
  <si>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</si>
  <si>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</si>
  <si>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</si>
  <si>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</si>
  <si>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</si>
  <si>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</si>
  <si>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</si>
  <si>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</si>
  <si>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</si>
  <si>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</si>
  <si>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</si>
  <si>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</si>
  <si>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</si>
  <si>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</si>
  <si>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</si>
  <si>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</si>
  <si>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</si>
  <si>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</si>
  <si>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</si>
  <si>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</si>
  <si>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</si>
  <si>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</si>
  <si>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</si>
  <si>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</si>
  <si>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</si>
  <si>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</si>
  <si>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</si>
  <si>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</si>
  <si>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</si>
  <si>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</si>
  <si>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</si>
  <si>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</si>
  <si>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</si>
  <si>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</si>
  <si>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</si>
  <si>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</si>
  <si>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</si>
  <si>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</si>
  <si>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</si>
  <si>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</si>
  <si>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</si>
  <si>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</si>
  <si>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</si>
  <si>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</si>
  <si>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</si>
  <si>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</si>
  <si>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</si>
  <si>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</si>
  <si>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</si>
  <si>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</si>
  <si>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</si>
  <si>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</si>
  <si>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</si>
  <si>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</si>
  <si>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</si>
  <si>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 xml:space="preserve">Yellow - represents the data tab. Users should not change the structure (add or delete rows or columns) of these sections. </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</si>
  <si>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</si>
  <si>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</si>
  <si>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</si>
  <si>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</si>
  <si>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</si>
  <si>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</si>
  <si>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</si>
  <si>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</si>
  <si>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</si>
  <si>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</si>
  <si>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</si>
  <si>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</si>
  <si>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</si>
  <si>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</si>
  <si>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</si>
  <si>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</si>
  <si>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</si>
  <si>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</si>
  <si>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</si>
  <si>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</si>
  <si>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</si>
  <si>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</si>
  <si>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</si>
  <si>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</si>
  <si>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</si>
  <si>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</si>
  <si>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</si>
  <si>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</si>
  <si>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</si>
  <si>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</si>
  <si>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</si>
  <si>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</si>
  <si>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</si>
  <si>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</si>
  <si>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</si>
  <si>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</si>
  <si>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</si>
  <si>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</si>
  <si>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</si>
  <si>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</si>
  <si>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</si>
  <si>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</si>
  <si>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</si>
  <si>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</si>
  <si>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</si>
  <si>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</si>
  <si>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</si>
  <si>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</si>
  <si>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</si>
  <si>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Carry Fwd. Deductible Cost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</si>
  <si>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</si>
  <si>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</si>
  <si>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</si>
  <si>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</si>
  <si>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</si>
  <si>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</si>
  <si>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</si>
  <si>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</si>
  <si>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</si>
  <si>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</si>
  <si>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</si>
  <si>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</si>
  <si>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</si>
  <si>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</si>
  <si>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</si>
  <si>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</si>
  <si>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</si>
  <si>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</si>
  <si>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</si>
  <si>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</si>
  <si>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</si>
  <si>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</si>
  <si>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</si>
  <si>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</si>
  <si>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DMO is Weighted</t>
  </si>
  <si>
    <t>General DMO Configuration</t>
  </si>
  <si>
    <t>Discount Rate</t>
  </si>
  <si>
    <t>Tax Configuration</t>
  </si>
  <si>
    <t>Tax Rate</t>
  </si>
  <si>
    <t>Tax Payment Method</t>
  </si>
  <si>
    <t>Tax Mode</t>
  </si>
  <si>
    <t>Direct Mode</t>
  </si>
  <si>
    <t>Net Present Value Configuration</t>
  </si>
  <si>
    <t>NPV Mode</t>
  </si>
  <si>
    <t>Full Cycle Real Terms</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</si>
  <si>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</si>
  <si>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</si>
  <si>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</si>
  <si>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</si>
  <si>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</si>
  <si>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</si>
  <si>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</si>
  <si>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</si>
  <si>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</si>
  <si>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</si>
  <si>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</si>
  <si>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</si>
  <si>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</si>
  <si>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</si>
  <si>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</si>
  <si>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</si>
  <si>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</si>
  <si>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</si>
  <si>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</si>
  <si>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</si>
  <si>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</si>
  <si>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</si>
  <si>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</si>
  <si>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</si>
  <si>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</si>
  <si>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</si>
  <si>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</si>
  <si>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</si>
  <si>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</si>
  <si>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</si>
  <si>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</si>
  <si>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</si>
  <si>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</si>
  <si>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</si>
  <si>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</si>
  <si>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</si>
  <si>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</si>
  <si>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</si>
  <si>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</si>
  <si>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</si>
  <si>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</si>
  <si>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</si>
  <si>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</si>
  <si>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</si>
  <si>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</si>
  <si>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</si>
  <si>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</si>
  <si>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</si>
  <si>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</si>
  <si>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</si>
  <si>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</si>
  <si>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</si>
  <si>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</si>
  <si>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</si>
  <si>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</si>
  <si>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</si>
  <si>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</si>
  <si>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</si>
  <si>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</si>
  <si>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</si>
  <si>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</si>
  <si>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</si>
  <si>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pySCnomics</t>
  </si>
  <si>
    <t>None</t>
  </si>
  <si>
    <t>PSC Cost Recovery (CR)</t>
  </si>
  <si>
    <t>User Input - Multi Value</t>
  </si>
  <si>
    <t>Declining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</si>
</sst>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3" formatCode="_(* #,##0.00_);_(* \(#,##0.00\);_(* &quot;-&quot;??_);_(@_)"/>
    <numFmt numFmtId="164" formatCode="_-* #,##0_-;\-* #,##0_-;_-* &quot;-&quot;_-;_-@_-"/>
    <numFmt numFmtId="165" formatCode="_-* #,##0.00_-;\-* #,##0.00_-;_-* &quot;-&quot;??_-;_-@_-"/>
    <numFmt numFmtId="166" formatCode="_(* #,##0.00_);_(* \(#,##0.00\);_(* &quot;-&quot;_);_(@_)"/>
  </numFmts>
  <fonts count="2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rgb="FFFFE699"/>
        <bgColor indexed="64"/>
      </patternFill>
    </fill>
    <fill>
      <patternFill patternType="solid">
        <fgColor rgb="FFA9D08E"/>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07">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0" fillId="8" borderId="0" xfId="0" applyFill="1"/>
    <xf numFmtId="0" fontId="0" fillId="9" borderId="0" xfId="0" applyFill="1"/>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11" borderId="4" xfId="0" applyFont="1" applyFill="1" applyBorder="1" applyAlignment="1">
      <alignment horizontal="center"/>
    </xf>
    <xf numFmtId="0" fontId="19" fillId="13" borderId="0" xfId="0" applyFont="1" applyFill="1" applyAlignment="1">
      <alignment horizontal="center" vertical="center"/>
    </xf>
    <xf numFmtId="0" fontId="0" fillId="14" borderId="0" xfId="0" applyFill="1"/>
    <xf numFmtId="0" fontId="20" fillId="13" borderId="4" xfId="0" applyFont="1" applyFill="1" applyBorder="1" applyAlignment="1">
      <alignment horizontal="center" vertical="center"/>
    </xf>
    <xf numFmtId="0" fontId="2" fillId="14" borderId="33" xfId="0" applyFont="1" applyFill="1" applyBorder="1" applyAlignment="1">
      <alignment horizontal="center" vertical="center"/>
    </xf>
    <xf numFmtId="0" fontId="21" fillId="12" borderId="0" xfId="0" applyFont="1" applyFill="1" applyAlignment="1">
      <alignment horizontal="left" vertical="center"/>
    </xf>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10"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2" fontId="7" fillId="4" borderId="14" xfId="0" applyNumberFormat="1" applyFont="1" applyFill="1" applyBorder="1" applyAlignment="1">
      <alignment horizontal="center" vertical="center"/>
    </xf>
    <xf numFmtId="2" fontId="7" fillId="4" borderId="15" xfId="0" applyNumberFormat="1" applyFont="1" applyFill="1" applyBorder="1" applyAlignment="1">
      <alignment horizontal="center" vertical="center"/>
    </xf>
    <xf numFmtId="2" fontId="7" fillId="4" borderId="16" xfId="0" applyNumberFormat="1" applyFont="1" applyFill="1" applyBorder="1" applyAlignment="1">
      <alignment horizontal="center" vertical="center"/>
    </xf>
    <xf numFmtId="0" fontId="3" fillId="0" borderId="4" xfId="0" applyFont="1" applyBorder="1" applyAlignment="1">
      <alignment horizontal="center"/>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131">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A3B8BA"/>
      <color rgb="FF9C0305"/>
      <color rgb="FF588001"/>
      <color rgb="FF436300"/>
      <color rgb="FFB3FF03"/>
      <color rgb="FFCAFF80"/>
      <color rgb="FF6E9E01"/>
      <color rgb="FFF0FFDE"/>
      <color rgb="FFD2FF95"/>
      <color rgb="FFFC08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file>

<file path=xl/ctrlProps/ctrlProp8.xml><?xml version="1.0" encoding="utf-8"?>
<formControlPr xmlns="http://schemas.microsoft.com/office/spreadsheetml/2009/9/main" objectType="Spin" dx="26" fmlaLink="$D$11" max="20" min="1" page="10"/>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6"/>
</file>

<file path=xl/ctrlProps/ctrlProp14.xml><?xml version="1.0" encoding="utf-8"?>
<formControlPr xmlns="http://schemas.microsoft.com/office/spreadsheetml/2009/9/main" objectType="Spin" dx="26" fmlaLink="$H$11" max="20" min="1" page="10" val="4"/>
</file>

<file path=xl/ctrlProps/ctrlProp15.xml><?xml version="1.0" encoding="utf-8"?>
<formControlPr xmlns="http://schemas.microsoft.com/office/spreadsheetml/2009/9/main" objectType="Spin" dx="26" fmlaLink="'Fiscal Config'!$C$2" max="4" min="1" page="10" val="3"/>
</file>

<file path=xl/ctrlProps/ctrlProp16.xml><?xml version="1.0" encoding="utf-8"?>
<formControlPr xmlns="http://schemas.microsoft.com/office/spreadsheetml/2009/9/main" objectType="Spin" dx="26" fmlaLink="$C$7" max="3" min="1" page="10" val="3"/>
</file>

<file path=xl/ctrlProps/ctrlProp17.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19050</xdr:rowOff>
        </xdr:from>
        <xdr:to>
          <xdr:col>2</xdr:col>
          <xdr:colOff>514350</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19050</xdr:rowOff>
        </xdr:from>
        <xdr:to>
          <xdr:col>2</xdr:col>
          <xdr:colOff>514350</xdr:colOff>
          <xdr:row>10</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352425</xdr:colOff>
          <xdr:row>12</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2</xdr:col>
          <xdr:colOff>514350</xdr:colOff>
          <xdr:row>14</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514350</xdr:colOff>
          <xdr:row>13</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361950</xdr:colOff>
          <xdr:row>10</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4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0C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0E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30" dataDxfId="129">
  <tableColumns count="5">
    <tableColumn id="1" xr3:uid="{F5C1188B-5A01-4D20-9CDA-43938053BE14}" name="Year" dataDxfId="128"/>
    <tableColumn id="2" xr3:uid="{488F6F74-60C4-41C0-8968-CFABEEC8C577}" name="Oil Sales (MMBOPY)" dataDxfId="127"/>
    <tableColumn id="3" xr3:uid="{FA019DEC-C16E-43AA-B922-7626C07066D2}" name="Oil Price (USD/BBL)" dataDxfId="126"/>
    <tableColumn id="4" xr3:uid="{E46E713A-179D-444E-88B6-019AD68876B5}" name="Condensate Sales (MMBOPY)" dataDxfId="125"/>
    <tableColumn id="5" xr3:uid="{04F0C769-33F5-487D-B7D5-F46799049A69}" name="Condensate Price (USD/BBL)" dataDxfId="124"/>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23" dataDxfId="122">
  <autoFilter ref="A1:BJ50" xr:uid="{F3B5FD60-3EF6-4239-90D9-138C2E5C0533}"/>
  <tableColumns count="62">
    <tableColumn id="1" xr3:uid="{77AB1563-534C-4000-8990-E78C5E489BD7}" name="Year" dataDxfId="121"/>
    <tableColumn id="2" xr3:uid="{D229AC35-73B4-42FD-BBA3-AD438E380811}" name="Gas Production (BSCF)" dataDxfId="120"/>
    <tableColumn id="3" xr3:uid="{FCC8C31C-5036-4AF9-B6CE-1EEA31C5FAE9}" name="GSA 1 Volume (BSCF)" dataDxfId="119"/>
    <tableColumn id="4" xr3:uid="{C43DEA5B-2B33-4E7F-A57F-5476C60E7DCB}" name="GSA 1 GHV (BTU/SCF)" dataDxfId="118"/>
    <tableColumn id="5" xr3:uid="{41CF3913-D317-4E9F-B718-27DD21583BF7}" name="GSA 1 Price (USD/MMBTU)" dataDxfId="117"/>
    <tableColumn id="6" xr3:uid="{D3447C8E-599C-4059-A25A-5992EAF3CA98}" name="GSA 2 Volume (BSCF)" dataDxfId="116"/>
    <tableColumn id="7" xr3:uid="{08251CDD-AB2B-44EA-BB2B-B83A1024372A}" name="GSA 2 GHV (BTU/SCF)" dataDxfId="115"/>
    <tableColumn id="8" xr3:uid="{2AAA0FEE-F453-4CDC-BB43-9260633E2A77}" name="GSA 2 Price (USD/MMBTU)" dataDxfId="114"/>
    <tableColumn id="9" xr3:uid="{11DE7FD8-4E88-43BA-9FC1-5BFC6B7A4152}" name="GSA 3 Volume (BSCF)" dataDxfId="113"/>
    <tableColumn id="10" xr3:uid="{62D5C9C4-267A-4911-9B26-395CA0A13963}" name="GSA 3 GHV (BTU/SCF)" dataDxfId="112"/>
    <tableColumn id="11" xr3:uid="{8E831C1F-1E47-4011-B7F2-3315ADF97880}" name="GSA 3 Price (USD/MMBTU)" dataDxfId="111"/>
    <tableColumn id="12" xr3:uid="{7495CB1E-FAD1-4D28-AFB9-5721BE9D6A62}" name="GSA 4 Volume (BSCF)" dataDxfId="110"/>
    <tableColumn id="13" xr3:uid="{CCEEC0D9-E00C-4AE0-A6FB-2A21358BEFD2}" name="GSA 4 GHV (BTU/SCF)" dataDxfId="109"/>
    <tableColumn id="14" xr3:uid="{02D4E6A1-2B65-421C-8510-61E7E14C93AF}" name="GSA 4 Price (USD/MMBTU)" dataDxfId="108"/>
    <tableColumn id="15" xr3:uid="{81A66C00-B18B-44A8-B655-2F196AEDE152}" name="GSA 5 Volume (BSCF)" dataDxfId="107"/>
    <tableColumn id="16" xr3:uid="{E3C45877-F389-429D-8AA5-C760BD17A529}" name="GSA 5 GHV (BTU/SCF)" dataDxfId="106"/>
    <tableColumn id="17" xr3:uid="{29EC26AB-1FD3-4B90-8A35-51DD0A51A022}" name="GSA 5 Price (USD/MMBTU)" dataDxfId="105"/>
    <tableColumn id="18" xr3:uid="{13A537C0-0178-4CB4-B395-6E350791AFD2}" name="GSA 6 Volume (BSCF)5" dataDxfId="104"/>
    <tableColumn id="19" xr3:uid="{200121C4-4603-4606-9C7C-E8E2BEB00D03}" name="GSA 6 GHV (BTU/SCF)" dataDxfId="103"/>
    <tableColumn id="20" xr3:uid="{8C225936-78F4-424A-A66E-AC5E32060AAF}" name="GSA 6 Price (USD/MMBTU)" dataDxfId="102"/>
    <tableColumn id="21" xr3:uid="{44CE13E9-EEEF-4BEC-8518-6B116C1AD26B}" name="GSA 7 Volume (BSCF)" dataDxfId="101"/>
    <tableColumn id="22" xr3:uid="{ECD91665-11BC-45C6-9498-68BDC2D7C660}" name="GSA 7 GHV (BTU/SCF)" dataDxfId="100"/>
    <tableColumn id="23" xr3:uid="{BBCF0D25-A5E6-4644-964E-087F828A3214}" name="GSA 7 Price (USD/MMBTU)" dataDxfId="99"/>
    <tableColumn id="24" xr3:uid="{8DBCA4FF-FABE-4194-B3F6-1DBCEF167B28}" name="GSA 8 Volume (BSCF)" dataDxfId="98"/>
    <tableColumn id="25" xr3:uid="{C036027E-6E33-43E1-BE27-B060EB711E54}" name="GSA 8 GHV (BTU/SCF)" dataDxfId="97"/>
    <tableColumn id="26" xr3:uid="{F97DC2DB-AC07-4EF5-8063-0BE58357542D}" name="GSA 8 Price (USD/MMBTU)" dataDxfId="96"/>
    <tableColumn id="27" xr3:uid="{DA65A24F-CADB-4DE1-8A15-3A7FBA499C71}" name="GSA 9 Volume (BSCF)" dataDxfId="95"/>
    <tableColumn id="28" xr3:uid="{965B634C-0E56-49A6-8114-ACEABD08501E}" name="GSA 9 GHV (BTU/SCF)" dataDxfId="94"/>
    <tableColumn id="29" xr3:uid="{EBB76C16-8154-4DF6-ACC0-632DF52511A6}" name="GSA 9 Price (USD/MMBTU)" dataDxfId="93"/>
    <tableColumn id="30" xr3:uid="{2EE56E13-7901-46A4-B827-82F154323535}" name="GSA 10 Volume (BSCF)" dataDxfId="92"/>
    <tableColumn id="31" xr3:uid="{B059A543-383C-48AF-974C-15AEF15B1E83}" name="GSA 10 GHV (BTU/SCF)" dataDxfId="91"/>
    <tableColumn id="32" xr3:uid="{EB5FE66C-4F13-4C5A-9295-9CA6B5EBE0DB}" name="GSA 10 Price (USD/MMBTU)" dataDxfId="90"/>
    <tableColumn id="33" xr3:uid="{48C2A0C4-CDE1-43D4-80DA-9A04CFD50DF3}" name="GSA 11 Volume (BSCF)" dataDxfId="89"/>
    <tableColumn id="34" xr3:uid="{D58B2C50-D5D3-4FA0-BF0F-B249498FE2E5}" name="GSA 11 GHV (BTU/SCF)" dataDxfId="88"/>
    <tableColumn id="35" xr3:uid="{086395B3-EDF7-4416-824F-DADC5A41C808}" name="GSA 11 Price (USD/MMBTU)" dataDxfId="87"/>
    <tableColumn id="36" xr3:uid="{50F0227B-E5CB-4438-A313-A1630B0C4478}" name="GSA 12 Volume (BSCF)" dataDxfId="86"/>
    <tableColumn id="37" xr3:uid="{2E59E514-274A-4FF3-97F1-4C10C438F92C}" name="GSA 12 GHV (BTU/SCF)" dataDxfId="85"/>
    <tableColumn id="38" xr3:uid="{DC78227B-224D-4D70-AAA8-998E0854A236}" name="GSA 12 Price (USD/MMBTU)" dataDxfId="84"/>
    <tableColumn id="39" xr3:uid="{380FF60C-4086-4E19-B225-F579C632C9DF}" name="GSA 13 Volume (BSCF)5" dataDxfId="83"/>
    <tableColumn id="40" xr3:uid="{EA265128-A0AF-496A-8215-D7EA67E172D9}" name="GSA 13 GHV (BTU/SCF)" dataDxfId="82"/>
    <tableColumn id="41" xr3:uid="{6B34D3A2-F4F8-4588-9485-1E1F4AB9929F}" name="GSA 13 Price (USD/MMBTU)" dataDxfId="81"/>
    <tableColumn id="42" xr3:uid="{13937CA0-4E6B-49CB-82C8-CD285DE9A0AD}" name="GSA 14 Volume (BSCF)" dataDxfId="80"/>
    <tableColumn id="43" xr3:uid="{F104848B-FC0E-4CBC-8952-456A40422817}" name="GSA 14 GHV (BTU/SCF)" dataDxfId="79"/>
    <tableColumn id="44" xr3:uid="{A52502E1-9A56-45E0-B86B-4ADC54D7C46F}" name="GSA 14 Price (USD/MMBTU)" dataDxfId="78"/>
    <tableColumn id="45" xr3:uid="{D0E6F40C-E9D8-476C-974F-CD8BD0CC9E3E}" name="GSA 15 Volume (BSCF)" dataDxfId="77"/>
    <tableColumn id="46" xr3:uid="{D56CBA84-14DB-427F-BA7E-8A9A8CD3EF99}" name="GSA 15 GHV (BTU/SCF)" dataDxfId="76"/>
    <tableColumn id="47" xr3:uid="{79C8FA99-16A2-404A-8433-D73D4D3115E8}" name="GSA 15 Price (USD/MMBTU)" dataDxfId="75"/>
    <tableColumn id="48" xr3:uid="{7000071C-AB3D-4E5E-BAFD-6D0FF7DC3959}" name="GSA 16 Volume (BSCF)" dataDxfId="74"/>
    <tableColumn id="49" xr3:uid="{666AD423-FDD2-4B36-B9F4-1190CD03FDA3}" name="GSA 16 GHV (BTU/SCF)" dataDxfId="73"/>
    <tableColumn id="50" xr3:uid="{AE6DCD42-F2A8-4EA9-8085-856DCD64C3F8}" name="GSA 16 Price (USD/MMBTU)" dataDxfId="72"/>
    <tableColumn id="51" xr3:uid="{0691CFC8-568E-4AD2-920C-23CAEB458DAD}" name="GSA 17 Volume (BSCF)" dataDxfId="71"/>
    <tableColumn id="52" xr3:uid="{16C1EC1E-B5AC-4161-A0BF-CBB9D4021BC8}" name="GSA 17 GHV (BTU/SCF)" dataDxfId="70"/>
    <tableColumn id="53" xr3:uid="{1508BBC4-8EA3-47F1-8A28-5F141C9A3043}" name="GSA 17 Price (USD/MMBTU)" dataDxfId="69"/>
    <tableColumn id="62" xr3:uid="{969F6049-83E6-4535-A53A-482126AA77D7}" name="GSA 18 Volume (BSCF)" dataDxfId="68"/>
    <tableColumn id="61" xr3:uid="{03793DC0-561A-4F93-A29A-C63F176A5815}" name="GSA 18 GHV (BTU/SCF)" dataDxfId="67"/>
    <tableColumn id="60" xr3:uid="{FEAD4B29-4CB5-4083-BBB7-B1DBD002BE7E}" name="GSA 18 Price (USD/MMBTU)" dataDxfId="66"/>
    <tableColumn id="54" xr3:uid="{FDC4A9DF-4688-4830-B992-39D1F5107766}" name="GSA 19 Volume (BSCF)" dataDxfId="65"/>
    <tableColumn id="55" xr3:uid="{B0D7E298-E213-45EC-81C3-3AEA0B511A75}" name="GSA 19 GHV (BTU/SCF)" dataDxfId="64"/>
    <tableColumn id="56" xr3:uid="{65BE7B38-E137-4116-BE99-9732D0D27601}" name="GSA 19 Price (USD/MMBTU)" dataDxfId="63"/>
    <tableColumn id="57" xr3:uid="{66A45D79-4EFD-4A60-B7FC-2AAF364EBD1D}" name="GSA 20 Volume (BSCF)5" dataDxfId="62"/>
    <tableColumn id="58" xr3:uid="{F6354756-CE1B-4E3C-993B-28993F1AAAD2}" name="GSA 20 GHV (BTU/SCF)" dataDxfId="61"/>
    <tableColumn id="59" xr3:uid="{DCC94FD8-C643-4565-AB15-65A7E5B1F9AA}" name="GSA 20 Price (USD/MMBTU)" dataDxfId="6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59" dataDxfId="58">
  <autoFilter ref="A1:C50" xr:uid="{4F6CF9AB-FA3D-4BB4-ADAA-CA685555616C}"/>
  <tableColumns count="3">
    <tableColumn id="1" xr3:uid="{0DB2853D-2883-477A-BEC2-C3A8EC6BE1B6}" name="Year" dataDxfId="57"/>
    <tableColumn id="2" xr3:uid="{01418EAC-C4F4-48E8-9287-8988948DB9F1}" name="LPG Propane Sales (MT)" dataDxfId="56"/>
    <tableColumn id="3" xr3:uid="{4374CFEA-F40D-4DFA-9E1A-50C068F77BB6}" name="LPG Propane Price (USD/T)" dataDxfId="55"/>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54" dataDxfId="53" tableBorderDxfId="52">
  <autoFilter ref="A1:C50" xr:uid="{A8B16AAF-E66E-4CE6-9E4E-EF4357083D9F}"/>
  <tableColumns count="3">
    <tableColumn id="1" xr3:uid="{6D5873CF-438A-4FB6-916E-EE4D8EA16C1B}" name="Year" dataDxfId="51"/>
    <tableColumn id="2" xr3:uid="{43FF55CD-251A-41D3-8DF3-39F98EEBC7E1}" name="LPG Butane Sales (MT)" dataDxfId="50"/>
    <tableColumn id="3" xr3:uid="{2AAABAE2-6AC9-4B24-A446-5622714DF15D}" name="LPG Butane Price(USD/T)" dataDxfId="49"/>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48" dataDxfId="47" tableBorderDxfId="46">
  <autoFilter ref="A1:C50" xr:uid="{AFC9D790-2204-4F4A-AEE5-A13F7CE6AF28}"/>
  <tableColumns count="3">
    <tableColumn id="1" xr3:uid="{B94BBB40-0B72-4B57-B720-38EEC1B95A78}" name="Year" dataDxfId="45"/>
    <tableColumn id="2" xr3:uid="{F53E2F6F-AB58-41DA-895C-419E73EC60A8}" name="CO2 Sales (Ton)" dataDxfId="44"/>
    <tableColumn id="3" xr3:uid="{6782EC61-C652-4E3C-B9F2-11DB4EFF1616}" name="Price (MMUSD/Unit)" dataDxfId="43"/>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42" dataDxfId="41">
  <autoFilter ref="A1:C50" xr:uid="{DEE72A9B-4BBC-4F3F-80BF-BC7085A5EA38}"/>
  <tableColumns count="3">
    <tableColumn id="1" xr3:uid="{36797F45-B4D8-4AAF-9EF9-72A94931E9BD}" name="Year" dataDxfId="40"/>
    <tableColumn id="2" xr3:uid="{F565D607-058E-4CC9-A868-ABC946C30F0A}" name="Sulfur Sales (Ton)" dataDxfId="39"/>
    <tableColumn id="3" xr3:uid="{FE95A159-27F7-4729-98BD-3BC24A13F318}" name="Price (MMUSD/Unit)" dataDxfId="38"/>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37" dataDxfId="36">
  <autoFilter ref="A1:K200" xr:uid="{7C91890B-09E6-4AFA-B40C-6F75BB3A42FE}"/>
  <tableColumns count="11">
    <tableColumn id="1" xr3:uid="{C5E29AD2-AE25-44BD-901B-58F05DE5E702}" name="Year" dataDxfId="35"/>
    <tableColumn id="3" xr3:uid="{34B633CC-B7D2-4E02-B4C0-6546AED90ECD}" name="Associated With" dataDxfId="34"/>
    <tableColumn id="4" xr3:uid="{15363438-3001-44B3-BFFB-44F0E337DA0F}" name="Cost (MUSD)" dataDxfId="33"/>
    <tableColumn id="5" xr3:uid="{26A9C678-E732-4913-AC99-C95C83093FA8}" name="PIS Year" dataDxfId="32"/>
    <tableColumn id="8" xr3:uid="{7364EFAD-EAA4-45EB-8863-C84BB6B52FCF}" name="Useful Life (Years)" dataDxfId="31"/>
    <tableColumn id="9" xr3:uid="{7894BF9B-F0BD-4BFE-BFA3-3BE9D613C40A}" name="Depreciation Factor" dataDxfId="30"/>
    <tableColumn id="11" xr3:uid="{3328797F-722A-43DE-B743-779488C03E40}" name="Salvage Value" dataDxfId="29"/>
    <tableColumn id="10" xr3:uid="{88614DD2-0187-4679-A89D-61C72EA94D65}" name="Applied By IC" dataDxfId="28"/>
    <tableColumn id="6" xr3:uid="{A9867297-A677-4A93-9B0F-A32163B58107}" name="VAT Portion" dataDxfId="27"/>
    <tableColumn id="12" xr3:uid="{E4597EDC-E479-4B07-9316-B7D3C15AAE4C}" name="LBT Portion" dataDxfId="26"/>
    <tableColumn id="7" xr3:uid="{E6363697-EFAA-4A7E-A486-8D9583D38261}" name="Description" dataDxfId="25"/>
  </tableColumns>
  <tableStyleInfo name="TableStyleLight1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24" dataDxfId="23">
  <autoFilter ref="A1:F200" xr:uid="{7C91890B-09E6-4AFA-B40C-6F75BB3A42FE}"/>
  <tableColumns count="6">
    <tableColumn id="1" xr3:uid="{EA9912A2-FB4D-4FF7-8E68-51936E856411}" name="Year" dataDxfId="22"/>
    <tableColumn id="3" xr3:uid="{1CE8F2C7-DD5F-4DEA-9086-BF2335D1081C}" name="Associated With" dataDxfId="21"/>
    <tableColumn id="4" xr3:uid="{7E00D1F9-CE30-44EC-8013-F359F8BB7526}" name="Cost (MUSD)" dataDxfId="20"/>
    <tableColumn id="6" xr3:uid="{6AA0DA30-A6A0-4F5A-8A9D-599F23F31F9A}" name="VAT Portion" dataDxfId="19"/>
    <tableColumn id="2" xr3:uid="{20C207BB-9D25-48F4-A557-2DE98DC86DE2}" name="LBT Portion" dataDxfId="18"/>
    <tableColumn id="7" xr3:uid="{88C69571-67EC-47E5-9D42-08FE1421FD7B}" name="Description" dataDxfId="17"/>
  </tableColumns>
  <tableStyleInfo name="TableStyleLight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6" dataDxfId="15">
  <autoFilter ref="A1:H200" xr:uid="{7C91890B-09E6-4AFA-B40C-6F75BB3A42FE}"/>
  <tableColumns count="8">
    <tableColumn id="1" xr3:uid="{AC895082-1EAA-441F-8FD0-34C18A1CB089}" name="Year" dataDxfId="14"/>
    <tableColumn id="3" xr3:uid="{FE660166-2BA0-42A0-937E-5DBF97CED42C}" name="Associated With" dataDxfId="13"/>
    <tableColumn id="4" xr3:uid="{C739732C-69FF-4102-B6A2-101C10C34836}" name="Fixed Cost (MUSD)" dataDxfId="12"/>
    <tableColumn id="5" xr3:uid="{67A869D6-1E1C-47FA-9CB2-B9EBAB8A9115}" name="Production Rate" dataDxfId="11"/>
    <tableColumn id="8" xr3:uid="{45C3823F-84A4-4F62-A0A4-DA263536063F}" name="Cost Per Production Volume" dataDxfId="10"/>
    <tableColumn id="6" xr3:uid="{1A0F968A-3852-413A-94F7-58572EA4EED6}" name="VAT Portion" dataDxfId="9"/>
    <tableColumn id="2" xr3:uid="{3BE87D45-FDD7-4B44-8923-9B29FC792264}" name="LBT Portion" dataDxfId="8"/>
    <tableColumn id="7" xr3:uid="{4719FAF0-B894-4DE5-830E-BDF8B52BACBC}" name="Description" dataDxfId="7"/>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E200" totalsRowShown="0" headerRowDxfId="6" dataDxfId="5">
  <autoFilter ref="A1:E200" xr:uid="{7C91890B-09E6-4AFA-B40C-6F75BB3A42FE}"/>
  <tableColumns count="5">
    <tableColumn id="1" xr3:uid="{D90C6F3C-116C-43AA-9F64-E2131D95E5C5}" name="Year" dataDxfId="4"/>
    <tableColumn id="3" xr3:uid="{9372B980-5592-43DD-ACB0-807DB4570841}" name="Associated With" dataDxfId="3"/>
    <tableColumn id="4" xr3:uid="{206A9B04-1A88-477A-8F64-4C0F0E3C5733}" name="Cost (MUSD)" dataDxfId="2"/>
    <tableColumn id="6" xr3:uid="{6949DE12-A1F2-402E-AD64-B2E62B7B03B0}" name="PPN Portion" dataDxfId="1"/>
    <tableColumn id="7" xr3:uid="{409BC20B-C4FF-4632-A019-CE1FBF972D05}" name="Description" dataDxfId="0"/>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theme="8" tint="-0.249977111117893"/>
  </sheetPr>
  <dimension ref="A1:M17"/>
  <sheetViews>
    <sheetView showGridLines="0" showRowColHeaders="0" zoomScale="170" zoomScaleNormal="170" workbookViewId="0">
      <selection activeCell="L15" sqref="L15"/>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74" t="s">
        <v>335</v>
      </c>
      <c r="F9" s="74"/>
      <c r="G9" s="74"/>
      <c r="H9" s="74"/>
    </row>
    <row r="10" spans="1:8" x14ac:dyDescent="0.25"/>
    <row r="11" spans="1:8" x14ac:dyDescent="0.25"/>
    <row r="12" spans="1:8" x14ac:dyDescent="0.25"/>
    <row r="13" spans="1:8" x14ac:dyDescent="0.25"/>
    <row r="14" spans="1:8" x14ac:dyDescent="0.25"/>
    <row r="15" spans="1:8" ht="15.75" x14ac:dyDescent="0.25">
      <c r="A15" s="43">
        <v>2023</v>
      </c>
      <c r="B15" s="42"/>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theme="8" tint="-0.249977111117893"/>
    <pageSetUpPr autoPageBreaks="0"/>
  </sheetPr>
  <dimension ref="A1:U68"/>
  <sheetViews>
    <sheetView showGridLines="0" showRowColHeaders="0" zoomScale="85" zoomScaleNormal="85" workbookViewId="0">
      <selection activeCell="B8" sqref="B8"/>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182</v>
      </c>
    </row>
    <row r="3" spans="1:19" ht="4.1500000000000004" customHeight="1" x14ac:dyDescent="0.25"/>
    <row r="4" spans="1:19" ht="30" customHeight="1" x14ac:dyDescent="0.25">
      <c r="B4" s="75" t="s">
        <v>183</v>
      </c>
      <c r="C4" s="75"/>
      <c r="D4" s="75"/>
      <c r="E4" s="75"/>
      <c r="F4" s="75"/>
      <c r="G4" s="75"/>
      <c r="H4" s="75"/>
      <c r="I4" s="75"/>
      <c r="J4" s="75"/>
      <c r="K4" s="75"/>
      <c r="L4" s="75"/>
      <c r="M4" s="75"/>
      <c r="N4" s="75"/>
      <c r="O4" s="75"/>
      <c r="P4" s="75"/>
      <c r="Q4" s="75"/>
      <c r="R4" s="75"/>
      <c r="S4" s="75"/>
    </row>
    <row r="5" spans="1:19" x14ac:dyDescent="0.25"/>
    <row r="6" spans="1:19" x14ac:dyDescent="0.25">
      <c r="A6" s="6" t="s">
        <v>184</v>
      </c>
    </row>
    <row r="7" spans="1:19" ht="6" customHeight="1" x14ac:dyDescent="0.25">
      <c r="A7" s="6"/>
    </row>
    <row r="8" spans="1:19" x14ac:dyDescent="0.25">
      <c r="B8" s="30"/>
      <c r="C8" s="75" t="s">
        <v>187</v>
      </c>
      <c r="D8" s="75"/>
      <c r="E8" s="75"/>
      <c r="F8" s="75"/>
      <c r="G8" s="75"/>
      <c r="H8" s="75"/>
      <c r="I8" s="75"/>
      <c r="J8" s="75"/>
      <c r="K8" s="75"/>
      <c r="L8" s="75"/>
      <c r="M8" s="75"/>
      <c r="N8" s="75"/>
      <c r="O8" s="75"/>
      <c r="P8" s="75"/>
      <c r="Q8" s="75"/>
      <c r="R8" s="75"/>
      <c r="S8" s="75"/>
    </row>
    <row r="9" spans="1:19" ht="6" customHeight="1" x14ac:dyDescent="0.25"/>
    <row r="10" spans="1:19" ht="14.45" customHeight="1" x14ac:dyDescent="0.25">
      <c r="B10" s="31"/>
      <c r="C10" s="75" t="s">
        <v>185</v>
      </c>
      <c r="D10" s="75"/>
      <c r="E10" s="75"/>
      <c r="F10" s="75"/>
      <c r="G10" s="75"/>
      <c r="H10" s="75"/>
      <c r="I10" s="75"/>
      <c r="J10" s="75"/>
      <c r="K10" s="75"/>
      <c r="L10" s="75"/>
      <c r="M10" s="75"/>
      <c r="N10" s="75"/>
      <c r="O10" s="75"/>
      <c r="P10" s="75"/>
      <c r="Q10" s="75"/>
      <c r="R10" s="75"/>
      <c r="S10" s="75"/>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186</v>
      </c>
    </row>
    <row r="16" spans="1:19" ht="6" customHeight="1" x14ac:dyDescent="0.25"/>
    <row r="17" spans="1:3" x14ac:dyDescent="0.25">
      <c r="B17" s="8">
        <f>+G12</f>
        <v>0</v>
      </c>
      <c r="C17" t="s">
        <v>188</v>
      </c>
    </row>
    <row r="18" spans="1:3" ht="12.6" customHeight="1" x14ac:dyDescent="0.25"/>
    <row r="19" spans="1:3" x14ac:dyDescent="0.25">
      <c r="A19" s="6" t="s">
        <v>13</v>
      </c>
    </row>
    <row r="20" spans="1:3" ht="1.9" customHeight="1" x14ac:dyDescent="0.25">
      <c r="A20" s="6"/>
    </row>
    <row r="21" spans="1:3" x14ac:dyDescent="0.25">
      <c r="A21" s="9" t="s">
        <v>189</v>
      </c>
    </row>
    <row r="22" spans="1:3" x14ac:dyDescent="0.25">
      <c r="A22" s="10"/>
      <c r="B22" t="s">
        <v>190</v>
      </c>
    </row>
    <row r="23" spans="1:3" ht="6.6" customHeight="1" x14ac:dyDescent="0.25">
      <c r="A23" s="10"/>
    </row>
    <row r="24" spans="1:3" x14ac:dyDescent="0.25">
      <c r="A24" s="9" t="s">
        <v>191</v>
      </c>
    </row>
    <row r="25" spans="1:3" x14ac:dyDescent="0.25">
      <c r="B25" t="s">
        <v>192</v>
      </c>
    </row>
    <row r="26" spans="1:3" ht="7.15" customHeight="1" x14ac:dyDescent="0.25"/>
    <row r="27" spans="1:3" x14ac:dyDescent="0.25">
      <c r="A27" s="9" t="s">
        <v>195</v>
      </c>
    </row>
    <row r="28" spans="1:3" x14ac:dyDescent="0.25">
      <c r="B28" t="s">
        <v>193</v>
      </c>
    </row>
    <row r="29" spans="1:3" ht="6.6" customHeight="1" x14ac:dyDescent="0.25"/>
    <row r="30" spans="1:3" x14ac:dyDescent="0.25">
      <c r="A30" s="9" t="s">
        <v>196</v>
      </c>
    </row>
    <row r="31" spans="1:3" x14ac:dyDescent="0.25">
      <c r="B31" t="s">
        <v>194</v>
      </c>
    </row>
    <row r="32" spans="1:3" ht="7.9" customHeight="1" x14ac:dyDescent="0.25"/>
    <row r="33" spans="1:2" x14ac:dyDescent="0.25">
      <c r="A33" s="9" t="s">
        <v>197</v>
      </c>
    </row>
    <row r="34" spans="1:2" x14ac:dyDescent="0.25">
      <c r="B34" t="s">
        <v>198</v>
      </c>
    </row>
    <row r="35" spans="1:2" ht="7.9" customHeight="1" x14ac:dyDescent="0.25"/>
    <row r="36" spans="1:2" x14ac:dyDescent="0.25">
      <c r="A36" s="9" t="s">
        <v>199</v>
      </c>
    </row>
    <row r="37" spans="1:2" x14ac:dyDescent="0.25">
      <c r="B37" t="s">
        <v>200</v>
      </c>
    </row>
    <row r="38" spans="1:2" ht="9" customHeight="1" x14ac:dyDescent="0.25"/>
    <row r="39" spans="1:2" x14ac:dyDescent="0.25">
      <c r="A39" s="9" t="s">
        <v>202</v>
      </c>
    </row>
    <row r="40" spans="1:2" x14ac:dyDescent="0.25">
      <c r="B40" t="s">
        <v>201</v>
      </c>
    </row>
    <row r="41" spans="1:2" ht="9" customHeight="1" x14ac:dyDescent="0.25"/>
    <row r="42" spans="1:2" x14ac:dyDescent="0.25">
      <c r="A42" s="9" t="s">
        <v>203</v>
      </c>
    </row>
    <row r="43" spans="1:2" x14ac:dyDescent="0.25">
      <c r="B43" t="s">
        <v>205</v>
      </c>
    </row>
    <row r="44" spans="1:2" ht="9" customHeight="1" x14ac:dyDescent="0.25"/>
    <row r="45" spans="1:2" x14ac:dyDescent="0.25">
      <c r="A45" s="9" t="s">
        <v>204</v>
      </c>
    </row>
    <row r="46" spans="1:2" x14ac:dyDescent="0.25">
      <c r="B46" t="s">
        <v>206</v>
      </c>
    </row>
    <row r="47" spans="1:2" ht="9.6" customHeight="1" x14ac:dyDescent="0.25"/>
    <row r="48" spans="1:2" x14ac:dyDescent="0.25">
      <c r="A48" s="9" t="s">
        <v>207</v>
      </c>
    </row>
    <row r="49" spans="1:2" x14ac:dyDescent="0.25">
      <c r="A49" s="10"/>
      <c r="B49" t="s">
        <v>208</v>
      </c>
    </row>
    <row r="50" spans="1:2" ht="10.15" customHeight="1" x14ac:dyDescent="0.25"/>
    <row r="51" spans="1:2" x14ac:dyDescent="0.25">
      <c r="A51" s="9" t="s">
        <v>211</v>
      </c>
    </row>
    <row r="52" spans="1:2" x14ac:dyDescent="0.25">
      <c r="A52" s="10"/>
      <c r="B52" t="s">
        <v>209</v>
      </c>
    </row>
    <row r="53" spans="1:2" ht="10.15" customHeight="1" x14ac:dyDescent="0.25"/>
    <row r="54" spans="1:2" x14ac:dyDescent="0.25">
      <c r="A54" s="9" t="s">
        <v>212</v>
      </c>
    </row>
    <row r="55" spans="1:2" x14ac:dyDescent="0.25">
      <c r="A55" s="10"/>
      <c r="B55" t="s">
        <v>210</v>
      </c>
    </row>
    <row r="56" spans="1:2" ht="10.15" customHeight="1" x14ac:dyDescent="0.25"/>
    <row r="57" spans="1:2" x14ac:dyDescent="0.25">
      <c r="A57" s="9" t="s">
        <v>213</v>
      </c>
    </row>
    <row r="58" spans="1:2" x14ac:dyDescent="0.25">
      <c r="A58" s="10"/>
      <c r="B58" t="s">
        <v>214</v>
      </c>
    </row>
    <row r="59" spans="1:2" x14ac:dyDescent="0.25"/>
    <row r="60" spans="1:2" x14ac:dyDescent="0.25"/>
    <row r="61" spans="1:2" x14ac:dyDescent="0.25"/>
    <row r="62" spans="1:2" x14ac:dyDescent="0.25"/>
    <row r="63" spans="1:2" x14ac:dyDescent="0.25"/>
    <row r="64" spans="1:2" x14ac:dyDescent="0.25"/>
    <row r="65" x14ac:dyDescent="0.25"/>
    <row r="66" x14ac:dyDescent="0.25"/>
    <row r="67" x14ac:dyDescent="0.25"/>
    <row r="68"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theme="9" tint="0.39997558519241921"/>
  </sheetPr>
  <dimension ref="A1:F38"/>
  <sheetViews>
    <sheetView showGridLines="0" showRowColHeaders="0" zoomScale="115" zoomScaleNormal="115" workbookViewId="0">
      <selection activeCell="E5" sqref="E5"/>
    </sheetView>
  </sheetViews>
  <sheetFormatPr defaultColWidth="0" defaultRowHeight="15" zeroHeight="1" x14ac:dyDescent="0.25"/>
  <cols>
    <col min="1" max="1" width="3.28515625" customWidth="1"/>
    <col min="2" max="2" width="8.85546875" customWidth="1"/>
    <col min="3" max="3" width="23.28515625" bestFit="1" customWidth="1"/>
    <col min="4" max="4" width="8.85546875" customWidth="1"/>
    <col min="5" max="5" width="12.5703125" bestFit="1" customWidth="1"/>
    <col min="6" max="6" width="4.28515625" customWidth="1"/>
    <col min="7" max="16384" width="8.85546875" hidden="1"/>
  </cols>
  <sheetData>
    <row r="1" spans="2:5" x14ac:dyDescent="0.25"/>
    <row r="2" spans="2:5" x14ac:dyDescent="0.25">
      <c r="B2" s="77" t="s">
        <v>123</v>
      </c>
      <c r="C2" s="77" t="s">
        <v>215</v>
      </c>
      <c r="D2" s="77" t="s">
        <v>216</v>
      </c>
      <c r="E2" s="77" t="s">
        <v>217</v>
      </c>
    </row>
    <row r="3" spans="2:5" x14ac:dyDescent="0.25">
      <c r="B3" s="77"/>
      <c r="C3" s="77"/>
      <c r="D3" s="77"/>
      <c r="E3" s="77"/>
    </row>
    <row r="4" spans="2:5" x14ac:dyDescent="0.25">
      <c r="B4" s="77"/>
      <c r="C4" s="77"/>
      <c r="D4" s="77"/>
      <c r="E4" s="77"/>
    </row>
    <row r="5" spans="2:5" x14ac:dyDescent="0.25">
      <c r="B5" s="32">
        <v>1</v>
      </c>
      <c r="C5" s="33" t="s">
        <v>218</v>
      </c>
      <c r="D5" s="32" t="s">
        <v>219</v>
      </c>
      <c r="E5" s="34">
        <v>0</v>
      </c>
    </row>
    <row r="6" spans="2:5" x14ac:dyDescent="0.25">
      <c r="B6" s="32">
        <v>2</v>
      </c>
      <c r="C6" s="33" t="s">
        <v>220</v>
      </c>
      <c r="D6" s="32" t="s">
        <v>221</v>
      </c>
      <c r="E6" s="34">
        <v>0</v>
      </c>
    </row>
    <row r="7" spans="2:5" x14ac:dyDescent="0.25">
      <c r="B7" s="32">
        <v>3</v>
      </c>
      <c r="C7" s="33" t="s">
        <v>222</v>
      </c>
      <c r="D7" s="32" t="s">
        <v>223</v>
      </c>
      <c r="E7" s="34">
        <v>0</v>
      </c>
    </row>
    <row r="8" spans="2:5" x14ac:dyDescent="0.25">
      <c r="B8" s="76">
        <v>4</v>
      </c>
      <c r="C8" s="33" t="s">
        <v>224</v>
      </c>
      <c r="D8" s="32" t="s">
        <v>223</v>
      </c>
      <c r="E8" s="34">
        <v>0</v>
      </c>
    </row>
    <row r="9" spans="2:5" x14ac:dyDescent="0.25">
      <c r="B9" s="76"/>
      <c r="C9" s="35" t="s">
        <v>225</v>
      </c>
      <c r="D9" s="32" t="s">
        <v>223</v>
      </c>
      <c r="E9" s="34">
        <v>0</v>
      </c>
    </row>
    <row r="10" spans="2:5" x14ac:dyDescent="0.25">
      <c r="B10" s="76"/>
      <c r="C10" s="35" t="s">
        <v>226</v>
      </c>
      <c r="D10" s="32" t="s">
        <v>223</v>
      </c>
      <c r="E10" s="34">
        <v>0</v>
      </c>
    </row>
    <row r="11" spans="2:5" x14ac:dyDescent="0.25">
      <c r="B11" s="32">
        <v>5</v>
      </c>
      <c r="C11" s="33" t="s">
        <v>227</v>
      </c>
      <c r="D11" s="32" t="s">
        <v>223</v>
      </c>
      <c r="E11" s="34">
        <v>0</v>
      </c>
    </row>
    <row r="12" spans="2:5" x14ac:dyDescent="0.25">
      <c r="B12" s="76">
        <v>6</v>
      </c>
      <c r="C12" s="33" t="s">
        <v>228</v>
      </c>
      <c r="D12" s="32" t="s">
        <v>223</v>
      </c>
      <c r="E12" s="34">
        <v>0</v>
      </c>
    </row>
    <row r="13" spans="2:5" x14ac:dyDescent="0.25">
      <c r="B13" s="76"/>
      <c r="C13" s="35" t="s">
        <v>229</v>
      </c>
      <c r="D13" s="32" t="s">
        <v>223</v>
      </c>
      <c r="E13" s="34">
        <v>0</v>
      </c>
    </row>
    <row r="14" spans="2:5" x14ac:dyDescent="0.25">
      <c r="B14" s="76"/>
      <c r="C14" s="35" t="s">
        <v>230</v>
      </c>
      <c r="D14" s="32" t="s">
        <v>223</v>
      </c>
      <c r="E14" s="34">
        <v>0</v>
      </c>
    </row>
    <row r="15" spans="2:5" x14ac:dyDescent="0.25">
      <c r="B15" s="76">
        <v>7</v>
      </c>
      <c r="C15" s="33" t="s">
        <v>231</v>
      </c>
      <c r="D15" s="32" t="s">
        <v>223</v>
      </c>
      <c r="E15" s="34">
        <v>0</v>
      </c>
    </row>
    <row r="16" spans="2:5" x14ac:dyDescent="0.25">
      <c r="B16" s="76"/>
      <c r="C16" s="35" t="s">
        <v>232</v>
      </c>
      <c r="D16" s="32" t="s">
        <v>223</v>
      </c>
      <c r="E16" s="34">
        <v>0</v>
      </c>
    </row>
    <row r="17" spans="2:5" x14ac:dyDescent="0.25">
      <c r="B17" s="76"/>
      <c r="C17" s="35" t="s">
        <v>233</v>
      </c>
      <c r="D17" s="32" t="s">
        <v>223</v>
      </c>
      <c r="E17" s="34">
        <v>0</v>
      </c>
    </row>
    <row r="18" spans="2:5" x14ac:dyDescent="0.25">
      <c r="B18" s="76">
        <v>8</v>
      </c>
      <c r="C18" s="33" t="s">
        <v>234</v>
      </c>
      <c r="D18" s="32" t="s">
        <v>223</v>
      </c>
      <c r="E18" s="34">
        <v>0</v>
      </c>
    </row>
    <row r="19" spans="2:5" x14ac:dyDescent="0.25">
      <c r="B19" s="76"/>
      <c r="C19" s="33" t="s">
        <v>235</v>
      </c>
      <c r="D19" s="32" t="s">
        <v>236</v>
      </c>
      <c r="E19" s="41">
        <v>0</v>
      </c>
    </row>
    <row r="20" spans="2:5" x14ac:dyDescent="0.25">
      <c r="B20" s="76">
        <v>9</v>
      </c>
      <c r="C20" s="33" t="s">
        <v>237</v>
      </c>
      <c r="D20" s="32" t="s">
        <v>223</v>
      </c>
      <c r="E20" s="34">
        <v>0</v>
      </c>
    </row>
    <row r="21" spans="2:5" x14ac:dyDescent="0.25">
      <c r="B21" s="76"/>
      <c r="C21" s="33" t="s">
        <v>235</v>
      </c>
      <c r="D21" s="32" t="s">
        <v>236</v>
      </c>
      <c r="E21" s="34">
        <v>0</v>
      </c>
    </row>
    <row r="22" spans="2:5" x14ac:dyDescent="0.25">
      <c r="B22" s="76">
        <v>10</v>
      </c>
      <c r="C22" s="33" t="s">
        <v>238</v>
      </c>
      <c r="D22" s="32"/>
      <c r="E22" s="34"/>
    </row>
    <row r="23" spans="2:5" x14ac:dyDescent="0.25">
      <c r="B23" s="76"/>
      <c r="C23" s="35" t="s">
        <v>239</v>
      </c>
      <c r="D23" s="32" t="s">
        <v>223</v>
      </c>
      <c r="E23" s="34">
        <v>0</v>
      </c>
    </row>
    <row r="24" spans="2:5" x14ac:dyDescent="0.25">
      <c r="B24" s="76"/>
      <c r="C24" s="35" t="s">
        <v>240</v>
      </c>
      <c r="D24" s="32" t="s">
        <v>236</v>
      </c>
      <c r="E24" s="41">
        <v>0</v>
      </c>
    </row>
    <row r="25" spans="2:5" x14ac:dyDescent="0.25">
      <c r="B25" s="76"/>
      <c r="C25" s="35" t="s">
        <v>241</v>
      </c>
      <c r="D25" s="32" t="s">
        <v>223</v>
      </c>
      <c r="E25" s="34">
        <v>0</v>
      </c>
    </row>
    <row r="26" spans="2:5" x14ac:dyDescent="0.25">
      <c r="B26" s="76"/>
      <c r="C26" s="35" t="s">
        <v>240</v>
      </c>
      <c r="D26" s="32" t="s">
        <v>236</v>
      </c>
      <c r="E26" s="41">
        <v>0</v>
      </c>
    </row>
    <row r="27" spans="2:5" x14ac:dyDescent="0.25">
      <c r="B27" s="76"/>
      <c r="C27" s="36" t="s">
        <v>242</v>
      </c>
      <c r="D27" s="37" t="s">
        <v>223</v>
      </c>
      <c r="E27" s="34">
        <v>0</v>
      </c>
    </row>
    <row r="28" spans="2:5" x14ac:dyDescent="0.25">
      <c r="B28" s="76"/>
      <c r="C28" s="36" t="s">
        <v>243</v>
      </c>
      <c r="D28" s="37" t="s">
        <v>223</v>
      </c>
      <c r="E28" s="34">
        <v>0</v>
      </c>
    </row>
    <row r="29" spans="2:5" x14ac:dyDescent="0.25">
      <c r="B29" s="76"/>
      <c r="C29" s="36" t="s">
        <v>244</v>
      </c>
      <c r="D29" s="37" t="s">
        <v>245</v>
      </c>
      <c r="E29" s="34">
        <v>0</v>
      </c>
    </row>
    <row r="30" spans="2:5" x14ac:dyDescent="0.25">
      <c r="B30" s="76"/>
      <c r="C30" s="36" t="s">
        <v>246</v>
      </c>
      <c r="D30" s="38"/>
      <c r="E30" s="34">
        <v>0</v>
      </c>
    </row>
    <row r="31" spans="2:5" x14ac:dyDescent="0.25">
      <c r="B31" s="76">
        <v>11</v>
      </c>
      <c r="C31" s="39" t="s">
        <v>247</v>
      </c>
      <c r="D31" s="37"/>
      <c r="E31" s="34"/>
    </row>
    <row r="32" spans="2:5" x14ac:dyDescent="0.25">
      <c r="B32" s="76"/>
      <c r="C32" s="36" t="s">
        <v>226</v>
      </c>
      <c r="D32" s="37" t="s">
        <v>223</v>
      </c>
      <c r="E32" s="34">
        <v>0</v>
      </c>
    </row>
    <row r="33" spans="2:5" x14ac:dyDescent="0.25">
      <c r="B33" s="76"/>
      <c r="C33" s="36" t="s">
        <v>248</v>
      </c>
      <c r="D33" s="37" t="s">
        <v>223</v>
      </c>
      <c r="E33" s="34">
        <v>0</v>
      </c>
    </row>
    <row r="34" spans="2:5" x14ac:dyDescent="0.25">
      <c r="B34" s="76"/>
      <c r="C34" s="36" t="s">
        <v>249</v>
      </c>
      <c r="D34" s="37" t="s">
        <v>223</v>
      </c>
      <c r="E34" s="34">
        <v>0</v>
      </c>
    </row>
    <row r="35" spans="2:5" x14ac:dyDescent="0.25">
      <c r="B35" s="76"/>
      <c r="C35" s="36" t="s">
        <v>250</v>
      </c>
      <c r="D35" s="37" t="s">
        <v>223</v>
      </c>
      <c r="E35" s="34">
        <v>0</v>
      </c>
    </row>
    <row r="36" spans="2:5" x14ac:dyDescent="0.25">
      <c r="B36" s="76"/>
      <c r="C36" s="36" t="s">
        <v>240</v>
      </c>
      <c r="D36" s="37" t="s">
        <v>236</v>
      </c>
      <c r="E36" s="41">
        <v>0</v>
      </c>
    </row>
    <row r="37" spans="2:5" x14ac:dyDescent="0.25">
      <c r="B37" s="76"/>
      <c r="C37" s="36" t="s">
        <v>251</v>
      </c>
      <c r="D37" s="40" t="s">
        <v>223</v>
      </c>
      <c r="E37" s="34">
        <v>0</v>
      </c>
    </row>
    <row r="38" spans="2:5" x14ac:dyDescent="0.25"/>
  </sheetData>
  <mergeCells count="11">
    <mergeCell ref="B12:B14"/>
    <mergeCell ref="B2:B4"/>
    <mergeCell ref="C2:C4"/>
    <mergeCell ref="D2:D4"/>
    <mergeCell ref="E2:E4"/>
    <mergeCell ref="B8:B10"/>
    <mergeCell ref="B15:B17"/>
    <mergeCell ref="B18:B19"/>
    <mergeCell ref="B20:B21"/>
    <mergeCell ref="B22:B30"/>
    <mergeCell ref="B31:B3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theme="7" tint="0.39997558519241921"/>
  </sheetPr>
  <dimension ref="A1:J19"/>
  <sheetViews>
    <sheetView showGridLines="0" showRowColHeaders="0" zoomScale="140" zoomScaleNormal="140" workbookViewId="0">
      <selection activeCell="B15" sqref="B15"/>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hidden="1" customWidth="1"/>
    <col min="8" max="8" width="3.7109375" hidden="1" customWidth="1"/>
    <col min="9" max="9" width="5.28515625" hidden="1" customWidth="1"/>
    <col min="10" max="10" width="2.28515625" customWidth="1"/>
    <col min="11" max="16384" width="8.85546875" hidden="1"/>
  </cols>
  <sheetData>
    <row r="1" spans="1:9" x14ac:dyDescent="0.25">
      <c r="A1" s="9" t="s">
        <v>104</v>
      </c>
      <c r="B1" s="9"/>
    </row>
    <row r="2" spans="1:9" x14ac:dyDescent="0.25">
      <c r="B2" t="s">
        <v>19</v>
      </c>
      <c r="C2" s="78" t="s">
        <v>337</v>
      </c>
      <c r="D2" s="79"/>
      <c r="E2" s="80"/>
    </row>
    <row r="3" spans="1:9" x14ac:dyDescent="0.25">
      <c r="B3" t="s">
        <v>20</v>
      </c>
      <c r="C3" s="78">
        <v>2023</v>
      </c>
      <c r="D3" s="79"/>
      <c r="E3" s="80"/>
    </row>
    <row r="4" spans="1:9" x14ac:dyDescent="0.25">
      <c r="B4" t="s">
        <v>264</v>
      </c>
      <c r="C4" s="78">
        <v>0.1</v>
      </c>
      <c r="D4" s="79"/>
      <c r="E4" s="80"/>
    </row>
    <row r="5" spans="1:9" x14ac:dyDescent="0.25">
      <c r="B5" t="s">
        <v>21</v>
      </c>
      <c r="C5" s="78" t="s">
        <v>336</v>
      </c>
      <c r="D5" s="79"/>
      <c r="E5" s="80"/>
    </row>
    <row r="6" spans="1:9" x14ac:dyDescent="0.25">
      <c r="B6" t="s">
        <v>99</v>
      </c>
      <c r="C6" s="81">
        <v>44927</v>
      </c>
      <c r="D6" s="82"/>
      <c r="E6" s="83"/>
    </row>
    <row r="7" spans="1:9" x14ac:dyDescent="0.25">
      <c r="B7" t="s">
        <v>100</v>
      </c>
      <c r="C7" s="81">
        <v>48579</v>
      </c>
      <c r="D7" s="82"/>
      <c r="E7" s="83"/>
    </row>
    <row r="8" spans="1:9" x14ac:dyDescent="0.25">
      <c r="B8" t="s">
        <v>101</v>
      </c>
      <c r="C8" s="81"/>
      <c r="D8" s="82"/>
      <c r="E8" s="83"/>
    </row>
    <row r="9" spans="1:9" hidden="1" x14ac:dyDescent="0.25">
      <c r="B9" t="s">
        <v>102</v>
      </c>
      <c r="C9" s="81"/>
      <c r="D9" s="82"/>
      <c r="E9" s="83"/>
    </row>
    <row r="10" spans="1:9" x14ac:dyDescent="0.25">
      <c r="B10" s="44" t="s">
        <v>103</v>
      </c>
      <c r="C10" s="45"/>
      <c r="D10" s="47">
        <v>1</v>
      </c>
      <c r="E10" s="46"/>
    </row>
    <row r="11" spans="1:9" x14ac:dyDescent="0.25">
      <c r="B11" s="44"/>
      <c r="C11" s="45"/>
      <c r="D11" s="47">
        <v>0</v>
      </c>
      <c r="E11" s="46"/>
      <c r="G11" s="64" t="s">
        <v>260</v>
      </c>
      <c r="H11" s="63">
        <v>4</v>
      </c>
      <c r="I11" s="62"/>
    </row>
    <row r="12" spans="1:9" x14ac:dyDescent="0.25">
      <c r="C12" s="45"/>
      <c r="D12" s="47">
        <v>0</v>
      </c>
      <c r="E12" s="46"/>
    </row>
    <row r="13" spans="1:9" x14ac:dyDescent="0.25">
      <c r="C13" s="45"/>
      <c r="D13" s="47">
        <v>0</v>
      </c>
      <c r="E13" s="46"/>
    </row>
    <row r="14" spans="1:9" x14ac:dyDescent="0.25">
      <c r="C14" s="45"/>
      <c r="D14" s="47">
        <v>0</v>
      </c>
      <c r="E14" s="46"/>
    </row>
    <row r="15" spans="1:9" x14ac:dyDescent="0.25">
      <c r="C15" s="45"/>
      <c r="D15" s="47">
        <v>0</v>
      </c>
      <c r="E15" s="46"/>
    </row>
    <row r="16" spans="1:9" x14ac:dyDescent="0.25"/>
    <row r="17" spans="2:5" ht="14.45" customHeight="1" x14ac:dyDescent="0.25">
      <c r="B17" t="s">
        <v>275</v>
      </c>
      <c r="C17" s="84">
        <v>0.26</v>
      </c>
      <c r="D17" s="85"/>
      <c r="E17" s="86"/>
    </row>
    <row r="18" spans="2:5" x14ac:dyDescent="0.25">
      <c r="B18" t="s">
        <v>276</v>
      </c>
      <c r="C18" s="84">
        <v>0</v>
      </c>
      <c r="D18" s="85"/>
      <c r="E18" s="86"/>
    </row>
    <row r="19" spans="2:5" x14ac:dyDescent="0.25"/>
  </sheetData>
  <mergeCells count="10">
    <mergeCell ref="C2:E2"/>
    <mergeCell ref="C3:E3"/>
    <mergeCell ref="C5:E5"/>
    <mergeCell ref="C6:E6"/>
    <mergeCell ref="C18:E18"/>
    <mergeCell ref="C4:E4"/>
    <mergeCell ref="C17:E17"/>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5"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7:E18" xr:uid="{44EC628A-CE61-43D2-96A9-10235EA6A9DA}">
      <formula1>0</formula1>
      <formula2>1</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macro="[0]!ThisWorkbook.ShowSheetOil">
                <anchor moveWithCells="1">
                  <from>
                    <xdr:col>2</xdr:col>
                    <xdr:colOff>38100</xdr:colOff>
                    <xdr:row>9</xdr:row>
                    <xdr:rowOff>19050</xdr:rowOff>
                  </from>
                  <to>
                    <xdr:col>2</xdr:col>
                    <xdr:colOff>514350</xdr:colOff>
                    <xdr:row>10</xdr:row>
                    <xdr:rowOff>0</xdr:rowOff>
                  </to>
                </anchor>
              </controlPr>
            </control>
          </mc:Choice>
        </mc:AlternateContent>
        <mc:AlternateContent xmlns:mc="http://schemas.openxmlformats.org/markup-compatibility/2006">
          <mc:Choice Requires="x14">
            <control shapeId="2065" r:id="rId5" name="Check Box 17">
              <controlPr defaultSize="0" autoFill="0" autoLine="0" autoPict="0" macro="[0]!ThisWorkbook.ShowSheetGas">
                <anchor moveWithCells="1">
                  <from>
                    <xdr:col>2</xdr:col>
                    <xdr:colOff>38100</xdr:colOff>
                    <xdr:row>10</xdr:row>
                    <xdr:rowOff>19050</xdr:rowOff>
                  </from>
                  <to>
                    <xdr:col>2</xdr:col>
                    <xdr:colOff>514350</xdr:colOff>
                    <xdr:row>10</xdr:row>
                    <xdr:rowOff>171450</xdr:rowOff>
                  </to>
                </anchor>
              </controlPr>
            </control>
          </mc:Choice>
        </mc:AlternateContent>
        <mc:AlternateContent xmlns:mc="http://schemas.openxmlformats.org/markup-compatibility/2006">
          <mc:Choice Requires="x14">
            <control shapeId="2066" r:id="rId6"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171450</xdr:rowOff>
                  </to>
                </anchor>
              </controlPr>
            </control>
          </mc:Choice>
        </mc:AlternateContent>
        <mc:AlternateContent xmlns:mc="http://schemas.openxmlformats.org/markup-compatibility/2006">
          <mc:Choice Requires="x14">
            <control shapeId="2067" r:id="rId7" name="Check Box 19">
              <controlPr defaultSize="0" autoFill="0" autoLine="0" autoPict="0" macro="[0]!ThisWorkbook.ShowSheetLPGButane">
                <anchor moveWithCells="1">
                  <from>
                    <xdr:col>2</xdr:col>
                    <xdr:colOff>38100</xdr:colOff>
                    <xdr:row>12</xdr:row>
                    <xdr:rowOff>19050</xdr:rowOff>
                  </from>
                  <to>
                    <xdr:col>3</xdr:col>
                    <xdr:colOff>352425</xdr:colOff>
                    <xdr:row>12</xdr:row>
                    <xdr:rowOff>171450</xdr:rowOff>
                  </to>
                </anchor>
              </controlPr>
            </control>
          </mc:Choice>
        </mc:AlternateContent>
        <mc:AlternateContent xmlns:mc="http://schemas.openxmlformats.org/markup-compatibility/2006">
          <mc:Choice Requires="x14">
            <control shapeId="2068" r:id="rId8" name="Check Box 20">
              <controlPr defaultSize="0" autoFill="0" autoLine="0" autoPict="0" macro="[0]!ThisWorkbook.ShowSheetSulfur">
                <anchor moveWithCells="1">
                  <from>
                    <xdr:col>2</xdr:col>
                    <xdr:colOff>38100</xdr:colOff>
                    <xdr:row>14</xdr:row>
                    <xdr:rowOff>19050</xdr:rowOff>
                  </from>
                  <to>
                    <xdr:col>2</xdr:col>
                    <xdr:colOff>514350</xdr:colOff>
                    <xdr:row>14</xdr:row>
                    <xdr:rowOff>171450</xdr:rowOff>
                  </to>
                </anchor>
              </controlPr>
            </control>
          </mc:Choice>
        </mc:AlternateContent>
        <mc:AlternateContent xmlns:mc="http://schemas.openxmlformats.org/markup-compatibility/2006">
          <mc:Choice Requires="x14">
            <control shapeId="2069" r:id="rId9" name="Check Box 21">
              <controlPr defaultSize="0" autoFill="0" autoLine="0" autoPict="0" macro="[0]!ThisWorkbook.ShowSheetCO2">
                <anchor moveWithCells="1">
                  <from>
                    <xdr:col>2</xdr:col>
                    <xdr:colOff>38100</xdr:colOff>
                    <xdr:row>13</xdr:row>
                    <xdr:rowOff>9525</xdr:rowOff>
                  </from>
                  <to>
                    <xdr:col>2</xdr:col>
                    <xdr:colOff>514350</xdr:colOff>
                    <xdr:row>13</xdr:row>
                    <xdr:rowOff>171450</xdr:rowOff>
                  </to>
                </anchor>
              </controlPr>
            </control>
          </mc:Choice>
        </mc:AlternateContent>
        <mc:AlternateContent xmlns:mc="http://schemas.openxmlformats.org/markup-compatibility/2006">
          <mc:Choice Requires="x14">
            <control shapeId="2072" r:id="rId10" name="Spinner 24">
              <controlPr defaultSize="0" autoPict="0" macro="[0]!ThisWorkbook.NewSheetOil">
                <anchor moveWithCells="1" sizeWithCells="1">
                  <from>
                    <xdr:col>4</xdr:col>
                    <xdr:colOff>333375</xdr:colOff>
                    <xdr:row>9</xdr:row>
                    <xdr:rowOff>9525</xdr:rowOff>
                  </from>
                  <to>
                    <xdr:col>4</xdr:col>
                    <xdr:colOff>504825</xdr:colOff>
                    <xdr:row>9</xdr:row>
                    <xdr:rowOff>171450</xdr:rowOff>
                  </to>
                </anchor>
              </controlPr>
            </control>
          </mc:Choice>
        </mc:AlternateContent>
        <mc:AlternateContent xmlns:mc="http://schemas.openxmlformats.org/markup-compatibility/2006">
          <mc:Choice Requires="x14">
            <control shapeId="2073" r:id="rId11" name="Spinner 25">
              <controlPr defaultSize="0" autoPict="0" macro="[0]!ThisWorkbook.NewSheetGas">
                <anchor moveWithCells="1" sizeWithCells="1">
                  <from>
                    <xdr:col>4</xdr:col>
                    <xdr:colOff>333375</xdr:colOff>
                    <xdr:row>10</xdr:row>
                    <xdr:rowOff>9525</xdr:rowOff>
                  </from>
                  <to>
                    <xdr:col>4</xdr:col>
                    <xdr:colOff>504825</xdr:colOff>
                    <xdr:row>10</xdr:row>
                    <xdr:rowOff>171450</xdr:rowOff>
                  </to>
                </anchor>
              </controlPr>
            </control>
          </mc:Choice>
        </mc:AlternateContent>
        <mc:AlternateContent xmlns:mc="http://schemas.openxmlformats.org/markup-compatibility/2006">
          <mc:Choice Requires="x14">
            <control shapeId="2074" r:id="rId12" name="Spinner 26">
              <controlPr defaultSize="0" autoPict="0" macro="[0]!ThisWorkbook.NewSheetLPGPropane">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5" r:id="rId13" name="Spinner 27">
              <controlPr defaultSize="0" autoPict="0" macro="[0]!ThisWorkbook.NewSheetLPGButane">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6" r:id="rId14" name="Spinner 28">
              <controlPr defaultSize="0" autoPict="0" macro="[0]!ThisWorkbook.NewSheetCO2">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7" r:id="rId15" name="Spinner 29">
              <controlPr defaultSize="0" autoPict="0" macro="[0]!ThisWorkbook.NewSheetSulfur">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9" r:id="rId16"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7" name="Spinner 38">
              <controlPr defaultSize="0" autoPict="0" macro="[0]!ThisWorkbook.GSANumberHandler">
                <anchor moveWithCells="1" sizeWithCells="1">
                  <from>
                    <xdr:col>8</xdr:col>
                    <xdr:colOff>190500</xdr:colOff>
                    <xdr:row>10</xdr:row>
                    <xdr:rowOff>9525</xdr:rowOff>
                  </from>
                  <to>
                    <xdr:col>8</xdr:col>
                    <xdr:colOff>361950</xdr:colOff>
                    <xdr:row>10</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theme="7" tint="0.39997558519241921"/>
  </sheetPr>
  <dimension ref="A1:D26"/>
  <sheetViews>
    <sheetView showGridLines="0" showRowColHeaders="0" zoomScale="140" zoomScaleNormal="140" workbookViewId="0">
      <selection activeCell="C13" sqref="C13"/>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265</v>
      </c>
    </row>
    <row r="2" spans="1:3" x14ac:dyDescent="0.25">
      <c r="B2" t="s">
        <v>268</v>
      </c>
      <c r="C2" s="22" t="s">
        <v>338</v>
      </c>
    </row>
    <row r="3" spans="1:3" hidden="1" x14ac:dyDescent="0.25">
      <c r="B3" t="s">
        <v>266</v>
      </c>
      <c r="C3" s="22">
        <v>0.44</v>
      </c>
    </row>
    <row r="4" spans="1:3" x14ac:dyDescent="0.25"/>
    <row r="5" spans="1:3" x14ac:dyDescent="0.25">
      <c r="B5" s="66" t="s">
        <v>0</v>
      </c>
      <c r="C5" s="66" t="s">
        <v>266</v>
      </c>
    </row>
    <row r="6" spans="1:3" x14ac:dyDescent="0.25">
      <c r="B6" s="22">
        <f>YEAR('General Config'!C6)</f>
        <v>2023</v>
      </c>
      <c r="C6" s="67">
        <v>0.4</v>
      </c>
    </row>
    <row r="7" spans="1:3" x14ac:dyDescent="0.25">
      <c r="B7" s="22">
        <v>2024</v>
      </c>
      <c r="C7" s="67">
        <v>0.4</v>
      </c>
    </row>
    <row r="8" spans="1:3" x14ac:dyDescent="0.25">
      <c r="B8" s="22">
        <v>2025</v>
      </c>
      <c r="C8" s="67">
        <v>0.42</v>
      </c>
    </row>
    <row r="9" spans="1:3" x14ac:dyDescent="0.25">
      <c r="B9" s="22">
        <v>2027</v>
      </c>
      <c r="C9" s="67">
        <v>0.42</v>
      </c>
    </row>
    <row r="10" spans="1:3" x14ac:dyDescent="0.25">
      <c r="B10" s="22">
        <v>2030</v>
      </c>
      <c r="C10" s="22">
        <v>0.43</v>
      </c>
    </row>
    <row r="11" spans="1:3" x14ac:dyDescent="0.25">
      <c r="B11" s="22">
        <v>2032</v>
      </c>
      <c r="C11" s="22">
        <v>0.45</v>
      </c>
    </row>
    <row r="12" spans="1:3" x14ac:dyDescent="0.25"/>
    <row r="13" spans="1:3" x14ac:dyDescent="0.25">
      <c r="B13" t="s">
        <v>267</v>
      </c>
      <c r="C13" s="22" t="s">
        <v>269</v>
      </c>
    </row>
    <row r="14" spans="1:3" x14ac:dyDescent="0.25"/>
    <row r="15" spans="1:3" x14ac:dyDescent="0.25">
      <c r="A15" s="9" t="s">
        <v>285</v>
      </c>
    </row>
    <row r="16" spans="1:3" x14ac:dyDescent="0.25">
      <c r="B16" t="s">
        <v>286</v>
      </c>
      <c r="C16" s="22" t="s">
        <v>287</v>
      </c>
    </row>
    <row r="17" spans="1:3" x14ac:dyDescent="0.25"/>
    <row r="18" spans="1:3" x14ac:dyDescent="0.25">
      <c r="A18" s="9" t="s">
        <v>270</v>
      </c>
    </row>
    <row r="19" spans="1:3" x14ac:dyDescent="0.25">
      <c r="B19" t="s">
        <v>271</v>
      </c>
      <c r="C19" s="22" t="s">
        <v>272</v>
      </c>
    </row>
    <row r="20" spans="1:3" x14ac:dyDescent="0.25"/>
    <row r="21" spans="1:3" x14ac:dyDescent="0.25">
      <c r="A21" s="9" t="s">
        <v>281</v>
      </c>
    </row>
    <row r="22" spans="1:3" x14ac:dyDescent="0.25">
      <c r="B22" t="s">
        <v>282</v>
      </c>
      <c r="C22" s="22">
        <v>0.02</v>
      </c>
    </row>
    <row r="23" spans="1:3" x14ac:dyDescent="0.25"/>
    <row r="24" spans="1:3" x14ac:dyDescent="0.25">
      <c r="A24" s="9" t="s">
        <v>283</v>
      </c>
    </row>
    <row r="25" spans="1:3" x14ac:dyDescent="0.25">
      <c r="B25" t="s">
        <v>284</v>
      </c>
      <c r="C25" s="22" t="s">
        <v>339</v>
      </c>
    </row>
    <row r="26" spans="1:3" x14ac:dyDescent="0.25"/>
  </sheetData>
  <dataValidations count="7">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"Full Cycle Real Terms,Full Cycle Nominal Terms"</formula1>
    </dataValidation>
    <dataValidation type="decimal" allowBlank="1" showInputMessage="1" showErrorMessage="1" errorTitle="Data type" error="Should be in float" sqref="C22" xr:uid="{96A2F105-AA38-48E8-B01A-371391349B1D}">
      <formula1>0</formula1>
      <formula2>1</formula2>
    </dataValidation>
    <dataValidation type="list" allowBlank="1" showInputMessage="1" showErrorMessage="1" errorTitle="Data type" error="Should be in float" sqref="C25" xr:uid="{D2E979B4-AAE3-46DD-AC35-37A5EC49D599}">
      <formula1>"Declining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xr:uid="{1DE8691F-764D-4B8B-BA0A-CE7EE0C4C6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theme="7" tint="0.39997558519241921"/>
  </sheetPr>
  <dimension ref="A1:E50"/>
  <sheetViews>
    <sheetView workbookViewId="0">
      <pane xSplit="1" topLeftCell="B1" activePane="topRight" state="frozen"/>
      <selection activeCell="D21" sqref="D21"/>
      <selection pane="topRight" activeCell="C10" sqref="C10"/>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9" t="s">
        <v>0</v>
      </c>
      <c r="B1" s="69" t="s">
        <v>1</v>
      </c>
      <c r="C1" s="69" t="s">
        <v>2</v>
      </c>
      <c r="D1" s="69" t="s">
        <v>3</v>
      </c>
      <c r="E1" s="69" t="s">
        <v>4</v>
      </c>
    </row>
    <row r="2" spans="1:5" x14ac:dyDescent="0.25">
      <c r="A2" s="25">
        <v>2023</v>
      </c>
      <c r="B2" s="25"/>
      <c r="C2" s="25"/>
      <c r="D2" s="25"/>
      <c r="E2" s="25"/>
    </row>
    <row r="3" spans="1:5" x14ac:dyDescent="0.25">
      <c r="A3" s="25">
        <v>2024</v>
      </c>
      <c r="B3" s="25"/>
      <c r="C3" s="25"/>
      <c r="D3" s="25"/>
      <c r="E3" s="25"/>
    </row>
    <row r="4" spans="1:5" x14ac:dyDescent="0.25">
      <c r="A4" s="25">
        <v>2025</v>
      </c>
      <c r="B4" s="25">
        <v>100</v>
      </c>
      <c r="C4" s="25">
        <v>60</v>
      </c>
      <c r="D4" s="25"/>
      <c r="E4" s="25"/>
    </row>
    <row r="5" spans="1:5" x14ac:dyDescent="0.25">
      <c r="A5" s="25">
        <v>2026</v>
      </c>
      <c r="B5" s="25">
        <v>100</v>
      </c>
      <c r="C5" s="25">
        <v>60</v>
      </c>
      <c r="D5" s="25"/>
      <c r="E5" s="25"/>
    </row>
    <row r="6" spans="1:5" x14ac:dyDescent="0.25">
      <c r="A6" s="25">
        <v>2027</v>
      </c>
      <c r="B6" s="25">
        <v>100</v>
      </c>
      <c r="C6" s="25">
        <v>60</v>
      </c>
      <c r="D6" s="25"/>
      <c r="E6" s="25"/>
    </row>
    <row r="7" spans="1:5" x14ac:dyDescent="0.25">
      <c r="A7" s="25">
        <v>2028</v>
      </c>
      <c r="B7" s="25">
        <v>100</v>
      </c>
      <c r="C7" s="25">
        <v>60</v>
      </c>
      <c r="D7" s="25"/>
      <c r="E7" s="25"/>
    </row>
    <row r="8" spans="1:5" x14ac:dyDescent="0.25">
      <c r="A8" s="25">
        <v>2029</v>
      </c>
      <c r="B8" s="25"/>
      <c r="C8" s="25"/>
      <c r="D8" s="25"/>
      <c r="E8" s="25"/>
    </row>
    <row r="9" spans="1:5" x14ac:dyDescent="0.25">
      <c r="A9" s="25">
        <v>2030</v>
      </c>
      <c r="B9" s="25"/>
      <c r="C9" s="25"/>
      <c r="D9" s="25"/>
      <c r="E9" s="25"/>
    </row>
    <row r="10" spans="1:5" x14ac:dyDescent="0.25">
      <c r="A10" s="25">
        <v>2031</v>
      </c>
      <c r="B10" s="25"/>
      <c r="C10" s="25"/>
      <c r="D10" s="25"/>
      <c r="E10" s="25"/>
    </row>
    <row r="11" spans="1:5" x14ac:dyDescent="0.25">
      <c r="A11" s="25">
        <v>2032</v>
      </c>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3">
    <dataValidation type="decimal" operator="greaterThan" allowBlank="1" showInputMessage="1" showErrorMessage="1" errorTitle="Data Type Error" error="Should be Number not Text." sqref="C2:E1048576 B3:B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Number not Text." sqref="B2" xr:uid="{84132E84-3129-43AF-8307-0A7077E5BD23}">
      <formula1>0</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theme="7" tint="0.39997558519241921"/>
  </sheetPr>
  <dimension ref="A1:BW50"/>
  <sheetViews>
    <sheetView zoomScale="98" zoomScaleNormal="98" workbookViewId="0">
      <pane xSplit="1" topLeftCell="B1" activePane="topRight" state="frozen"/>
      <selection pane="topRight" activeCell="E27" sqref="E27"/>
    </sheetView>
  </sheetViews>
  <sheetFormatPr defaultColWidth="0" defaultRowHeight="15"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customWidth="1"/>
    <col min="10" max="10" width="22" customWidth="1"/>
    <col min="11" max="11" width="26.7109375" customWidth="1"/>
    <col min="12" max="12" width="21.7109375" customWidth="1"/>
    <col min="13" max="13" width="22" customWidth="1"/>
    <col min="14" max="14" width="26.7109375"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ustomWidth="1"/>
    <col min="22" max="22" width="22" hidden="1" customWidth="1"/>
    <col min="23" max="23" width="26.7109375" hidden="1" customWidth="1"/>
    <col min="24" max="24" width="21.7109375" hidden="1" customWidth="1"/>
    <col min="25" max="25" width="22" hidden="1" customWidth="1"/>
    <col min="26" max="26" width="26.7109375" hidden="1" customWidth="1"/>
    <col min="27" max="27" width="21.7109375" hidden="1" customWidth="1"/>
    <col min="28" max="28" width="22" hidden="1" customWidth="1"/>
    <col min="29" max="29" width="26.7109375" hidden="1" customWidth="1"/>
    <col min="30" max="30" width="22.7109375" hidden="1" customWidth="1"/>
    <col min="31" max="31" width="23" hidden="1" customWidth="1"/>
    <col min="32" max="32" width="27.7109375" hidden="1" customWidth="1"/>
    <col min="33" max="33" width="22.7109375" hidden="1" customWidth="1"/>
    <col min="34" max="34" width="23" hidden="1" customWidth="1"/>
    <col min="35" max="35" width="27.7109375" hidden="1" customWidth="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70" t="s">
        <v>0</v>
      </c>
      <c r="B1" s="70" t="s">
        <v>5</v>
      </c>
      <c r="C1" s="70" t="s">
        <v>7</v>
      </c>
      <c r="D1" s="70" t="s">
        <v>6</v>
      </c>
      <c r="E1" s="70" t="s">
        <v>124</v>
      </c>
      <c r="F1" s="70" t="s">
        <v>125</v>
      </c>
      <c r="G1" s="70" t="s">
        <v>126</v>
      </c>
      <c r="H1" s="70" t="s">
        <v>127</v>
      </c>
      <c r="I1" s="1" t="s">
        <v>128</v>
      </c>
      <c r="J1" s="1" t="s">
        <v>129</v>
      </c>
      <c r="K1" s="1" t="s">
        <v>130</v>
      </c>
      <c r="L1" s="1" t="s">
        <v>131</v>
      </c>
      <c r="M1" s="1" t="s">
        <v>132</v>
      </c>
      <c r="N1" s="1" t="s">
        <v>133</v>
      </c>
      <c r="O1" s="1" t="s">
        <v>134</v>
      </c>
      <c r="P1" s="1" t="s">
        <v>135</v>
      </c>
      <c r="Q1" s="1" t="s">
        <v>136</v>
      </c>
      <c r="R1" s="1" t="s">
        <v>137</v>
      </c>
      <c r="S1" s="1" t="s">
        <v>138</v>
      </c>
      <c r="T1" s="1" t="s">
        <v>139</v>
      </c>
      <c r="U1" s="1" t="s">
        <v>140</v>
      </c>
      <c r="V1" s="1" t="s">
        <v>141</v>
      </c>
      <c r="W1" s="1" t="s">
        <v>142</v>
      </c>
      <c r="X1" s="27" t="s">
        <v>143</v>
      </c>
      <c r="Y1" s="27" t="s">
        <v>144</v>
      </c>
      <c r="Z1" s="27" t="s">
        <v>145</v>
      </c>
      <c r="AA1" s="27" t="s">
        <v>146</v>
      </c>
      <c r="AB1" s="27" t="s">
        <v>147</v>
      </c>
      <c r="AC1" s="27" t="s">
        <v>148</v>
      </c>
      <c r="AD1" s="27" t="s">
        <v>149</v>
      </c>
      <c r="AE1" s="27" t="s">
        <v>150</v>
      </c>
      <c r="AF1" s="27" t="s">
        <v>151</v>
      </c>
      <c r="AG1" s="27" t="s">
        <v>152</v>
      </c>
      <c r="AH1" s="27" t="s">
        <v>153</v>
      </c>
      <c r="AI1" s="27" t="s">
        <v>154</v>
      </c>
      <c r="AJ1" s="27" t="s">
        <v>155</v>
      </c>
      <c r="AK1" s="27" t="s">
        <v>156</v>
      </c>
      <c r="AL1" s="27" t="s">
        <v>157</v>
      </c>
      <c r="AM1" s="27" t="s">
        <v>158</v>
      </c>
      <c r="AN1" s="27" t="s">
        <v>159</v>
      </c>
      <c r="AO1" s="27" t="s">
        <v>160</v>
      </c>
      <c r="AP1" s="27" t="s">
        <v>161</v>
      </c>
      <c r="AQ1" s="27" t="s">
        <v>162</v>
      </c>
      <c r="AR1" s="28" t="s">
        <v>163</v>
      </c>
      <c r="AS1" s="27" t="s">
        <v>164</v>
      </c>
      <c r="AT1" s="27" t="s">
        <v>165</v>
      </c>
      <c r="AU1" s="27" t="s">
        <v>166</v>
      </c>
      <c r="AV1" s="27" t="s">
        <v>167</v>
      </c>
      <c r="AW1" s="27" t="s">
        <v>168</v>
      </c>
      <c r="AX1" s="27" t="s">
        <v>169</v>
      </c>
      <c r="AY1" s="27" t="s">
        <v>170</v>
      </c>
      <c r="AZ1" s="27" t="s">
        <v>171</v>
      </c>
      <c r="BA1" s="27" t="s">
        <v>179</v>
      </c>
      <c r="BB1" s="27" t="s">
        <v>180</v>
      </c>
      <c r="BC1" s="27" t="s">
        <v>181</v>
      </c>
      <c r="BD1" s="27" t="s">
        <v>172</v>
      </c>
      <c r="BE1" s="27" t="s">
        <v>173</v>
      </c>
      <c r="BF1" s="27" t="s">
        <v>174</v>
      </c>
      <c r="BG1" s="27" t="s">
        <v>175</v>
      </c>
      <c r="BH1" s="27" t="s">
        <v>176</v>
      </c>
      <c r="BI1" s="27" t="s">
        <v>177</v>
      </c>
      <c r="BJ1" s="27" t="s">
        <v>178</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2">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2:E1048576" xr:uid="{197AD6D9-E8BD-46AF-800E-8986E0AF45CE}">
      <formula1>0</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theme="7" tint="0.39997558519241921"/>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2:C1048576" xr:uid="{B9DDE09F-02CD-46AB-B91D-4F7A248167E9}">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theme="7" tint="0.39997558519241921"/>
  </sheetPr>
  <dimension ref="A1:C50"/>
  <sheetViews>
    <sheetView workbookViewId="0">
      <selection activeCell="C16" sqref="C16"/>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2:C1048576" xr:uid="{492503A3-D138-4179-8C07-7A91F167A5BF}">
      <formula1>0</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theme="7" tint="0.39997558519241921"/>
  </sheetPr>
  <dimension ref="A1:C50"/>
  <sheetViews>
    <sheetView workbookViewId="0">
      <selection activeCell="B8" sqref="B8"/>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v>2023</v>
      </c>
      <c r="B2" s="25"/>
      <c r="C2" s="25"/>
    </row>
    <row r="3" spans="1:3" x14ac:dyDescent="0.25">
      <c r="A3" s="25">
        <v>2024</v>
      </c>
      <c r="B3" s="25"/>
      <c r="C3" s="25"/>
    </row>
    <row r="4" spans="1:3" x14ac:dyDescent="0.25">
      <c r="A4" s="25">
        <v>2025</v>
      </c>
      <c r="B4" s="25">
        <v>100</v>
      </c>
      <c r="C4" s="25">
        <v>60</v>
      </c>
    </row>
    <row r="5" spans="1:3" x14ac:dyDescent="0.25">
      <c r="A5" s="25">
        <v>2026</v>
      </c>
      <c r="B5" s="25">
        <v>100</v>
      </c>
      <c r="C5" s="25">
        <v>60</v>
      </c>
    </row>
    <row r="6" spans="1:3" x14ac:dyDescent="0.25">
      <c r="A6" s="25">
        <v>2027</v>
      </c>
      <c r="B6" s="25">
        <v>100</v>
      </c>
      <c r="C6" s="25">
        <v>60</v>
      </c>
    </row>
    <row r="7" spans="1:3" x14ac:dyDescent="0.25">
      <c r="A7" s="25">
        <v>2028</v>
      </c>
      <c r="B7" s="25">
        <v>100</v>
      </c>
      <c r="C7" s="25">
        <v>60</v>
      </c>
    </row>
    <row r="8" spans="1:3" x14ac:dyDescent="0.25">
      <c r="A8" s="25">
        <v>2029</v>
      </c>
      <c r="B8" s="25"/>
      <c r="C8" s="25"/>
    </row>
    <row r="9" spans="1:3" x14ac:dyDescent="0.25">
      <c r="A9" s="25">
        <v>2030</v>
      </c>
      <c r="B9" s="25"/>
      <c r="C9" s="25"/>
    </row>
    <row r="10" spans="1:3" x14ac:dyDescent="0.25">
      <c r="A10" s="25">
        <v>2031</v>
      </c>
      <c r="B10" s="25"/>
      <c r="C10" s="25"/>
    </row>
    <row r="11" spans="1:3" x14ac:dyDescent="0.25">
      <c r="A11" s="25">
        <v>2032</v>
      </c>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2:C1048576" xr:uid="{961AB627-15E6-4DCD-9752-42AD98E37A19}">
      <formula1>0</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theme="7" tint="0.39997558519241921"/>
  </sheetPr>
  <dimension ref="A1:C50"/>
  <sheetViews>
    <sheetView workbookViewId="0">
      <selection activeCell="C13" sqref="C13"/>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2:C1048576" xr:uid="{58495EBF-8A0D-4ABF-8385-DB8DC2174076}">
      <formula1>0</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theme="7" tint="0.39997558519241921"/>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105</v>
      </c>
      <c r="C1" s="24"/>
    </row>
    <row r="2" spans="1:3" ht="15" x14ac:dyDescent="0.25">
      <c r="B2" t="s">
        <v>37</v>
      </c>
      <c r="C2" s="22" t="s">
        <v>29</v>
      </c>
    </row>
    <row r="3" spans="1:3" ht="15" x14ac:dyDescent="0.25">
      <c r="B3" t="s">
        <v>38</v>
      </c>
      <c r="C3" s="22" t="s">
        <v>30</v>
      </c>
    </row>
    <row r="4" spans="1:3" ht="15" x14ac:dyDescent="0.25">
      <c r="B4" t="s">
        <v>39</v>
      </c>
      <c r="C4" s="22" t="s">
        <v>47</v>
      </c>
    </row>
    <row r="5" spans="1:3" ht="15" x14ac:dyDescent="0.25">
      <c r="B5" t="s">
        <v>40</v>
      </c>
      <c r="C5" s="22" t="s">
        <v>31</v>
      </c>
    </row>
    <row r="6" spans="1:3" ht="15" x14ac:dyDescent="0.25">
      <c r="B6" t="s">
        <v>41</v>
      </c>
      <c r="C6" s="22" t="s">
        <v>36</v>
      </c>
    </row>
    <row r="7" spans="1:3" ht="15" x14ac:dyDescent="0.25">
      <c r="B7" t="s">
        <v>42</v>
      </c>
      <c r="C7" s="22" t="s">
        <v>32</v>
      </c>
    </row>
    <row r="8" spans="1:3" ht="15" x14ac:dyDescent="0.25">
      <c r="B8" t="s">
        <v>43</v>
      </c>
      <c r="C8" s="22" t="s">
        <v>48</v>
      </c>
    </row>
    <row r="9" spans="1:3" ht="15" x14ac:dyDescent="0.25">
      <c r="B9" t="s">
        <v>44</v>
      </c>
      <c r="C9" s="22" t="s">
        <v>49</v>
      </c>
    </row>
    <row r="10" spans="1:3" ht="15" x14ac:dyDescent="0.25">
      <c r="B10" t="s">
        <v>45</v>
      </c>
      <c r="C10" s="22" t="s">
        <v>34</v>
      </c>
    </row>
    <row r="11" spans="1:3" ht="15" x14ac:dyDescent="0.25">
      <c r="B11" t="s">
        <v>46</v>
      </c>
      <c r="C11" s="22" t="s">
        <v>35</v>
      </c>
    </row>
    <row r="12" spans="1:3" ht="15" x14ac:dyDescent="0.25">
      <c r="C12" s="25"/>
    </row>
    <row r="13" spans="1:3" ht="15" x14ac:dyDescent="0.25">
      <c r="A13" s="9" t="s">
        <v>263</v>
      </c>
    </row>
    <row r="14" spans="1:3" ht="15" x14ac:dyDescent="0.25">
      <c r="B14" t="s">
        <v>262</v>
      </c>
      <c r="C14" s="22" t="s">
        <v>27</v>
      </c>
    </row>
    <row r="15" spans="1:3" ht="15" x14ac:dyDescent="0.25">
      <c r="C15" s="25"/>
    </row>
    <row r="16" spans="1:3" ht="15" x14ac:dyDescent="0.25">
      <c r="A16" s="9" t="s">
        <v>106</v>
      </c>
      <c r="C16" s="24"/>
    </row>
    <row r="17" spans="1:3" ht="15" x14ac:dyDescent="0.25">
      <c r="B17" t="s">
        <v>65</v>
      </c>
      <c r="C17" s="22" t="s">
        <v>27</v>
      </c>
    </row>
    <row r="18" spans="1:3" ht="15" x14ac:dyDescent="0.25">
      <c r="B18" t="s">
        <v>66</v>
      </c>
      <c r="C18" s="22">
        <v>60</v>
      </c>
    </row>
    <row r="19" spans="1:3" ht="15" x14ac:dyDescent="0.25">
      <c r="B19" t="s">
        <v>67</v>
      </c>
      <c r="C19" s="23">
        <v>39448</v>
      </c>
    </row>
    <row r="20" spans="1:3" ht="15" x14ac:dyDescent="0.25">
      <c r="B20" t="s">
        <v>68</v>
      </c>
      <c r="C20" s="29">
        <v>0.25</v>
      </c>
    </row>
    <row r="21" spans="1:3" ht="15" x14ac:dyDescent="0.25">
      <c r="B21" t="s">
        <v>69</v>
      </c>
      <c r="C21" s="29">
        <v>1</v>
      </c>
    </row>
    <row r="22" spans="1:3" ht="15" x14ac:dyDescent="0.25">
      <c r="C22" s="25"/>
    </row>
    <row r="23" spans="1:3" ht="15" hidden="1" x14ac:dyDescent="0.25">
      <c r="A23" s="9" t="s">
        <v>107</v>
      </c>
      <c r="C23" s="24"/>
    </row>
    <row r="24" spans="1:3" ht="15" hidden="1" x14ac:dyDescent="0.25">
      <c r="B24" t="s">
        <v>65</v>
      </c>
      <c r="C24" s="22" t="s">
        <v>27</v>
      </c>
    </row>
    <row r="25" spans="1:3" ht="15" hidden="1" x14ac:dyDescent="0.25">
      <c r="B25" t="s">
        <v>66</v>
      </c>
      <c r="C25" s="22">
        <v>60</v>
      </c>
    </row>
    <row r="26" spans="1:3" ht="15" hidden="1" x14ac:dyDescent="0.25">
      <c r="B26" t="s">
        <v>67</v>
      </c>
      <c r="C26" s="23">
        <v>39448</v>
      </c>
    </row>
    <row r="27" spans="1:3" ht="15" hidden="1" x14ac:dyDescent="0.25">
      <c r="B27" t="s">
        <v>68</v>
      </c>
      <c r="C27" s="29">
        <v>0.25</v>
      </c>
    </row>
    <row r="28" spans="1:3" ht="15" hidden="1" x14ac:dyDescent="0.25">
      <c r="B28" t="s">
        <v>69</v>
      </c>
      <c r="C28" s="29">
        <v>1</v>
      </c>
    </row>
    <row r="29" spans="1:3" ht="15" hidden="1" x14ac:dyDescent="0.25"/>
    <row r="33" spans="2:8" ht="15" hidden="1" x14ac:dyDescent="0.25">
      <c r="B33" s="87" t="s">
        <v>91</v>
      </c>
      <c r="C33" s="87"/>
      <c r="D33" s="87"/>
      <c r="F33" s="87" t="s">
        <v>98</v>
      </c>
      <c r="G33" s="87"/>
      <c r="H33" s="87"/>
    </row>
    <row r="34" spans="2:8" ht="15" hidden="1" x14ac:dyDescent="0.25">
      <c r="B34" s="15" t="s">
        <v>50</v>
      </c>
      <c r="C34" s="15" t="s">
        <v>51</v>
      </c>
      <c r="D34" s="19" t="s">
        <v>77</v>
      </c>
      <c r="F34" s="15" t="s">
        <v>50</v>
      </c>
      <c r="G34" s="15" t="s">
        <v>51</v>
      </c>
      <c r="H34" s="19" t="s">
        <v>77</v>
      </c>
    </row>
    <row r="35" spans="2:8" ht="15" hidden="1" x14ac:dyDescent="0.25">
      <c r="B35" s="88" t="s">
        <v>37</v>
      </c>
      <c r="C35" s="16" t="s">
        <v>52</v>
      </c>
      <c r="D35" s="21">
        <v>5</v>
      </c>
      <c r="F35" s="88" t="s">
        <v>37</v>
      </c>
      <c r="G35" s="16" t="s">
        <v>52</v>
      </c>
      <c r="H35" s="21">
        <v>5</v>
      </c>
    </row>
    <row r="36" spans="2:8" ht="15" hidden="1" x14ac:dyDescent="0.25">
      <c r="B36" s="89"/>
      <c r="C36" s="16" t="s">
        <v>53</v>
      </c>
      <c r="D36" s="21">
        <v>0</v>
      </c>
      <c r="F36" s="89"/>
      <c r="G36" s="16" t="s">
        <v>53</v>
      </c>
      <c r="H36" s="21">
        <v>3</v>
      </c>
    </row>
    <row r="37" spans="2:8" ht="15" hidden="1" x14ac:dyDescent="0.25">
      <c r="B37" s="89"/>
      <c r="C37" s="17" t="s">
        <v>76</v>
      </c>
      <c r="D37" s="21">
        <v>0</v>
      </c>
      <c r="F37" s="89"/>
      <c r="G37" s="17" t="s">
        <v>29</v>
      </c>
      <c r="H37" s="21">
        <v>0</v>
      </c>
    </row>
    <row r="38" spans="2:8" ht="15" hidden="1" x14ac:dyDescent="0.25">
      <c r="B38" s="90"/>
      <c r="C38" s="20" t="s">
        <v>29</v>
      </c>
      <c r="D38" s="21">
        <v>-5</v>
      </c>
      <c r="F38" s="90"/>
      <c r="G38" s="19" t="s">
        <v>97</v>
      </c>
      <c r="H38" s="21" t="s">
        <v>97</v>
      </c>
    </row>
    <row r="39" spans="2:8" ht="14.45" hidden="1" customHeight="1" x14ac:dyDescent="0.25">
      <c r="B39" s="88" t="s">
        <v>61</v>
      </c>
      <c r="C39" s="17" t="s">
        <v>30</v>
      </c>
      <c r="D39" s="21">
        <v>0</v>
      </c>
      <c r="F39" s="88" t="s">
        <v>61</v>
      </c>
      <c r="G39" s="17" t="s">
        <v>30</v>
      </c>
      <c r="H39" s="21">
        <v>0</v>
      </c>
    </row>
    <row r="40" spans="2:8" ht="15" hidden="1" x14ac:dyDescent="0.25">
      <c r="B40" s="89"/>
      <c r="C40" s="17" t="s">
        <v>70</v>
      </c>
      <c r="D40" s="21">
        <v>8</v>
      </c>
      <c r="F40" s="89"/>
      <c r="G40" s="17" t="s">
        <v>70</v>
      </c>
      <c r="H40" s="21">
        <v>8</v>
      </c>
    </row>
    <row r="41" spans="2:8" ht="15" hidden="1" x14ac:dyDescent="0.25">
      <c r="B41" s="89"/>
      <c r="C41" s="17" t="s">
        <v>71</v>
      </c>
      <c r="D41" s="21">
        <v>10</v>
      </c>
      <c r="F41" s="89"/>
      <c r="G41" s="17" t="s">
        <v>71</v>
      </c>
      <c r="H41" s="21">
        <v>10</v>
      </c>
    </row>
    <row r="42" spans="2:8" ht="15" hidden="1" x14ac:dyDescent="0.25">
      <c r="B42" s="89"/>
      <c r="C42" s="17" t="s">
        <v>72</v>
      </c>
      <c r="D42" s="21">
        <v>12</v>
      </c>
      <c r="F42" s="89"/>
      <c r="G42" s="17" t="s">
        <v>72</v>
      </c>
      <c r="H42" s="21">
        <v>12</v>
      </c>
    </row>
    <row r="43" spans="2:8" ht="30" hidden="1" x14ac:dyDescent="0.25">
      <c r="B43" s="89"/>
      <c r="C43" s="17" t="s">
        <v>73</v>
      </c>
      <c r="D43" s="21">
        <v>14</v>
      </c>
      <c r="F43" s="89"/>
      <c r="G43" s="17" t="s">
        <v>73</v>
      </c>
      <c r="H43" s="21">
        <v>14</v>
      </c>
    </row>
    <row r="44" spans="2:8" ht="15" hidden="1" x14ac:dyDescent="0.25">
      <c r="B44" s="90"/>
      <c r="C44" s="17" t="s">
        <v>54</v>
      </c>
      <c r="D44" s="21">
        <v>16</v>
      </c>
      <c r="F44" s="90"/>
      <c r="G44" s="17" t="s">
        <v>54</v>
      </c>
      <c r="H44" s="21">
        <v>16</v>
      </c>
    </row>
    <row r="45" spans="2:8" ht="15" hidden="1" x14ac:dyDescent="0.25">
      <c r="B45" s="88" t="s">
        <v>39</v>
      </c>
      <c r="C45" s="17" t="s">
        <v>47</v>
      </c>
      <c r="D45" s="21">
        <v>0</v>
      </c>
      <c r="F45" s="88" t="s">
        <v>39</v>
      </c>
      <c r="G45" s="17" t="s">
        <v>47</v>
      </c>
      <c r="H45" s="21">
        <v>0</v>
      </c>
    </row>
    <row r="46" spans="2:8" ht="15" hidden="1" x14ac:dyDescent="0.25">
      <c r="B46" s="90"/>
      <c r="C46" s="18" t="s">
        <v>55</v>
      </c>
      <c r="D46" s="21">
        <v>1</v>
      </c>
      <c r="F46" s="90"/>
      <c r="G46" s="18" t="s">
        <v>55</v>
      </c>
      <c r="H46" s="21">
        <v>1</v>
      </c>
    </row>
    <row r="47" spans="2:8" ht="15" hidden="1" x14ac:dyDescent="0.25">
      <c r="B47" s="91" t="s">
        <v>40</v>
      </c>
      <c r="C47" s="18" t="s">
        <v>31</v>
      </c>
      <c r="D47" s="21">
        <v>0</v>
      </c>
      <c r="F47" s="94" t="s">
        <v>40</v>
      </c>
      <c r="G47" s="18" t="s">
        <v>31</v>
      </c>
      <c r="H47" s="21">
        <v>0</v>
      </c>
    </row>
    <row r="48" spans="2:8" ht="15" hidden="1" x14ac:dyDescent="0.25">
      <c r="B48" s="92"/>
      <c r="C48" s="18" t="s">
        <v>78</v>
      </c>
      <c r="D48" s="21">
        <v>2</v>
      </c>
      <c r="F48" s="95"/>
      <c r="G48" s="18" t="s">
        <v>56</v>
      </c>
      <c r="H48" s="21">
        <v>2</v>
      </c>
    </row>
    <row r="49" spans="2:8" ht="15" hidden="1" x14ac:dyDescent="0.25">
      <c r="B49" s="93"/>
      <c r="C49" s="19" t="s">
        <v>97</v>
      </c>
      <c r="D49" s="19" t="s">
        <v>97</v>
      </c>
      <c r="F49" s="96"/>
      <c r="G49" s="18" t="s">
        <v>57</v>
      </c>
      <c r="H49" s="21">
        <v>4</v>
      </c>
    </row>
    <row r="50" spans="2:8" ht="15" hidden="1" x14ac:dyDescent="0.25">
      <c r="B50" s="94" t="s">
        <v>41</v>
      </c>
      <c r="C50" s="18" t="s">
        <v>36</v>
      </c>
      <c r="D50" s="21">
        <v>0</v>
      </c>
      <c r="F50" s="94" t="s">
        <v>41</v>
      </c>
      <c r="G50" s="18" t="s">
        <v>36</v>
      </c>
      <c r="H50" s="21">
        <v>0</v>
      </c>
    </row>
    <row r="51" spans="2:8" ht="15" hidden="1" x14ac:dyDescent="0.25">
      <c r="B51" s="96"/>
      <c r="C51" s="18" t="s">
        <v>74</v>
      </c>
      <c r="D51" s="21">
        <v>16</v>
      </c>
      <c r="F51" s="96"/>
      <c r="G51" s="18" t="s">
        <v>74</v>
      </c>
      <c r="H51" s="21">
        <v>16</v>
      </c>
    </row>
    <row r="52" spans="2:8" ht="15" hidden="1" x14ac:dyDescent="0.25">
      <c r="B52" s="94" t="s">
        <v>44</v>
      </c>
      <c r="C52" s="18" t="s">
        <v>32</v>
      </c>
      <c r="D52" s="21">
        <v>1</v>
      </c>
      <c r="F52" s="94" t="s">
        <v>44</v>
      </c>
      <c r="G52" s="18" t="s">
        <v>32</v>
      </c>
      <c r="H52" s="21">
        <v>1</v>
      </c>
    </row>
    <row r="53" spans="2:8" ht="15" hidden="1" x14ac:dyDescent="0.25">
      <c r="B53" s="96"/>
      <c r="C53" s="18" t="s">
        <v>75</v>
      </c>
      <c r="D53" s="21">
        <v>0</v>
      </c>
      <c r="F53" s="96"/>
      <c r="G53" s="18" t="s">
        <v>75</v>
      </c>
      <c r="H53" s="21">
        <v>0</v>
      </c>
    </row>
    <row r="54" spans="2:8" ht="15" hidden="1" x14ac:dyDescent="0.25">
      <c r="B54" s="94" t="s">
        <v>62</v>
      </c>
      <c r="C54" s="18" t="s">
        <v>58</v>
      </c>
      <c r="D54" s="21">
        <v>0</v>
      </c>
      <c r="F54" s="94" t="s">
        <v>62</v>
      </c>
      <c r="G54" s="18" t="s">
        <v>58</v>
      </c>
      <c r="H54" s="21">
        <v>0</v>
      </c>
    </row>
    <row r="55" spans="2:8" ht="15" hidden="1" x14ac:dyDescent="0.25">
      <c r="B55" s="95"/>
      <c r="C55" s="18" t="s">
        <v>79</v>
      </c>
      <c r="D55" s="21">
        <v>2</v>
      </c>
      <c r="F55" s="95"/>
      <c r="G55" s="18" t="s">
        <v>79</v>
      </c>
      <c r="H55" s="21">
        <v>2</v>
      </c>
    </row>
    <row r="56" spans="2:8" ht="15" hidden="1" x14ac:dyDescent="0.25">
      <c r="B56" s="95"/>
      <c r="C56" s="18" t="s">
        <v>48</v>
      </c>
      <c r="D56" s="21">
        <v>3</v>
      </c>
      <c r="F56" s="95"/>
      <c r="G56" s="18" t="s">
        <v>48</v>
      </c>
      <c r="H56" s="21">
        <v>3</v>
      </c>
    </row>
    <row r="57" spans="2:8" ht="15" hidden="1" x14ac:dyDescent="0.25">
      <c r="B57" s="96"/>
      <c r="C57" s="18" t="s">
        <v>80</v>
      </c>
      <c r="D57" s="21">
        <v>4</v>
      </c>
      <c r="F57" s="96"/>
      <c r="G57" s="18" t="s">
        <v>80</v>
      </c>
      <c r="H57" s="21">
        <v>4</v>
      </c>
    </row>
    <row r="58" spans="2:8" ht="15" hidden="1" x14ac:dyDescent="0.25">
      <c r="B58" s="94" t="s">
        <v>28</v>
      </c>
      <c r="C58" s="18" t="s">
        <v>81</v>
      </c>
      <c r="D58" s="21">
        <v>0</v>
      </c>
      <c r="F58" s="94" t="s">
        <v>28</v>
      </c>
      <c r="G58" s="18" t="s">
        <v>59</v>
      </c>
      <c r="H58" s="21">
        <v>0</v>
      </c>
    </row>
    <row r="59" spans="2:8" ht="15" hidden="1" x14ac:dyDescent="0.25">
      <c r="B59" s="95"/>
      <c r="C59" s="18" t="s">
        <v>49</v>
      </c>
      <c r="D59" s="21">
        <v>3</v>
      </c>
      <c r="F59" s="95"/>
      <c r="G59" s="18" t="s">
        <v>33</v>
      </c>
      <c r="H59" s="21">
        <v>6</v>
      </c>
    </row>
    <row r="60" spans="2:8" ht="15" hidden="1" x14ac:dyDescent="0.25">
      <c r="B60" s="96"/>
      <c r="C60" s="18" t="s">
        <v>82</v>
      </c>
      <c r="D60" s="21">
        <v>5</v>
      </c>
      <c r="F60" s="96"/>
      <c r="G60" s="18" t="s">
        <v>60</v>
      </c>
      <c r="H60" s="21">
        <v>10</v>
      </c>
    </row>
    <row r="61" spans="2:8" ht="15" hidden="1" x14ac:dyDescent="0.25">
      <c r="B61" s="94" t="s">
        <v>63</v>
      </c>
      <c r="C61" s="18" t="s">
        <v>34</v>
      </c>
      <c r="D61" s="21">
        <v>0</v>
      </c>
      <c r="F61" s="94" t="s">
        <v>63</v>
      </c>
      <c r="G61" s="18" t="s">
        <v>34</v>
      </c>
      <c r="H61" s="21">
        <v>0</v>
      </c>
    </row>
    <row r="62" spans="2:8" ht="15" hidden="1" x14ac:dyDescent="0.25">
      <c r="B62" s="95"/>
      <c r="C62" s="18" t="s">
        <v>83</v>
      </c>
      <c r="D62" s="21">
        <v>0.5</v>
      </c>
      <c r="F62" s="95"/>
      <c r="G62" s="18" t="s">
        <v>83</v>
      </c>
      <c r="H62" s="21">
        <v>0.5</v>
      </c>
    </row>
    <row r="63" spans="2:8" ht="15" hidden="1" x14ac:dyDescent="0.25">
      <c r="B63" s="95"/>
      <c r="C63" s="18" t="s">
        <v>84</v>
      </c>
      <c r="D63" s="21">
        <v>1</v>
      </c>
      <c r="F63" s="95"/>
      <c r="G63" s="18" t="s">
        <v>84</v>
      </c>
      <c r="H63" s="21">
        <v>1</v>
      </c>
    </row>
    <row r="64" spans="2:8" ht="15" hidden="1" x14ac:dyDescent="0.25">
      <c r="B64" s="95"/>
      <c r="C64" s="18" t="s">
        <v>85</v>
      </c>
      <c r="D64" s="21">
        <v>1.5</v>
      </c>
      <c r="F64" s="95"/>
      <c r="G64" s="18" t="s">
        <v>85</v>
      </c>
      <c r="H64" s="21">
        <v>1.5</v>
      </c>
    </row>
    <row r="65" spans="2:8" ht="15" hidden="1" x14ac:dyDescent="0.25">
      <c r="B65" s="95"/>
      <c r="C65" s="18" t="s">
        <v>86</v>
      </c>
      <c r="D65" s="21">
        <v>2</v>
      </c>
      <c r="F65" s="95"/>
      <c r="G65" s="18" t="s">
        <v>86</v>
      </c>
      <c r="H65" s="21">
        <v>2</v>
      </c>
    </row>
    <row r="66" spans="2:8" ht="15" hidden="1" x14ac:dyDescent="0.25">
      <c r="B66" s="96"/>
      <c r="C66" s="18" t="s">
        <v>93</v>
      </c>
      <c r="D66" s="21">
        <v>4</v>
      </c>
      <c r="F66" s="96"/>
      <c r="G66" s="18" t="s">
        <v>93</v>
      </c>
      <c r="H66" s="21">
        <v>4</v>
      </c>
    </row>
    <row r="67" spans="2:8" ht="15" hidden="1" x14ac:dyDescent="0.25">
      <c r="B67" s="94" t="s">
        <v>64</v>
      </c>
      <c r="C67" s="18" t="s">
        <v>35</v>
      </c>
      <c r="D67" s="21">
        <v>0</v>
      </c>
      <c r="F67" s="94" t="s">
        <v>64</v>
      </c>
      <c r="G67" s="18" t="s">
        <v>35</v>
      </c>
      <c r="H67" s="21">
        <v>0</v>
      </c>
    </row>
    <row r="68" spans="2:8" ht="15" hidden="1" x14ac:dyDescent="0.25">
      <c r="B68" s="95"/>
      <c r="C68" s="18" t="s">
        <v>89</v>
      </c>
      <c r="D68" s="21">
        <v>0.5</v>
      </c>
      <c r="F68" s="95"/>
      <c r="G68" s="18" t="s">
        <v>94</v>
      </c>
      <c r="H68" s="21">
        <v>1</v>
      </c>
    </row>
    <row r="69" spans="2:8" ht="15" hidden="1" x14ac:dyDescent="0.25">
      <c r="B69" s="95"/>
      <c r="C69" s="18" t="s">
        <v>90</v>
      </c>
      <c r="D69" s="21">
        <v>0.75</v>
      </c>
      <c r="F69" s="95"/>
      <c r="G69" s="18" t="s">
        <v>95</v>
      </c>
      <c r="H69" s="21">
        <v>2</v>
      </c>
    </row>
    <row r="70" spans="2:8" ht="15" hidden="1" x14ac:dyDescent="0.25">
      <c r="B70" s="96"/>
      <c r="C70" s="18" t="s">
        <v>92</v>
      </c>
      <c r="D70" s="21">
        <v>1</v>
      </c>
      <c r="F70" s="95"/>
      <c r="G70" s="18" t="s">
        <v>87</v>
      </c>
      <c r="H70" s="21">
        <v>3</v>
      </c>
    </row>
    <row r="71" spans="2:8" ht="15" hidden="1" x14ac:dyDescent="0.25">
      <c r="F71" s="95"/>
      <c r="G71" s="18" t="s">
        <v>88</v>
      </c>
      <c r="H71" s="21">
        <v>4</v>
      </c>
    </row>
    <row r="72" spans="2:8" ht="15" hidden="1" x14ac:dyDescent="0.25">
      <c r="F72" s="96"/>
      <c r="G72" s="18" t="s">
        <v>96</v>
      </c>
      <c r="H72" s="21">
        <v>5</v>
      </c>
    </row>
  </sheetData>
  <mergeCells count="22">
    <mergeCell ref="B61:B66"/>
    <mergeCell ref="F61:F66"/>
    <mergeCell ref="B67:B70"/>
    <mergeCell ref="F67:F72"/>
    <mergeCell ref="B52:B53"/>
    <mergeCell ref="F52:F53"/>
    <mergeCell ref="B54:B57"/>
    <mergeCell ref="F54:F57"/>
    <mergeCell ref="B58:B60"/>
    <mergeCell ref="F58:F60"/>
    <mergeCell ref="B45:B46"/>
    <mergeCell ref="F45:F46"/>
    <mergeCell ref="B47:B49"/>
    <mergeCell ref="F47:F49"/>
    <mergeCell ref="B50:B51"/>
    <mergeCell ref="F50:F51"/>
    <mergeCell ref="B33:D33"/>
    <mergeCell ref="F33:H33"/>
    <mergeCell ref="B35:B38"/>
    <mergeCell ref="F35:F38"/>
    <mergeCell ref="B39:B44"/>
    <mergeCell ref="F39:F44"/>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theme="7" tint="0.39997558519241921"/>
  </sheetPr>
  <dimension ref="A1:F58"/>
  <sheetViews>
    <sheetView showGridLines="0" showRowColHeaders="0" zoomScaleNormal="100" workbookViewId="0">
      <selection activeCell="C4" sqref="C4"/>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108</v>
      </c>
    </row>
    <row r="2" spans="1:3" x14ac:dyDescent="0.25">
      <c r="B2" t="s">
        <v>109</v>
      </c>
      <c r="C2" s="22" t="s">
        <v>27</v>
      </c>
    </row>
    <row r="3" spans="1:3" x14ac:dyDescent="0.25">
      <c r="B3" t="s">
        <v>110</v>
      </c>
      <c r="C3" s="22" t="s">
        <v>27</v>
      </c>
    </row>
    <row r="4" spans="1:3" x14ac:dyDescent="0.25">
      <c r="B4" t="s">
        <v>111</v>
      </c>
      <c r="C4" s="29">
        <v>0.2</v>
      </c>
    </row>
    <row r="5" spans="1:3" x14ac:dyDescent="0.25"/>
    <row r="6" spans="1:3" x14ac:dyDescent="0.25">
      <c r="A6" s="9" t="s">
        <v>113</v>
      </c>
    </row>
    <row r="7" spans="1:3" x14ac:dyDescent="0.25">
      <c r="B7" t="s">
        <v>112</v>
      </c>
      <c r="C7" s="22" t="s">
        <v>36</v>
      </c>
    </row>
    <row r="8" spans="1:3" x14ac:dyDescent="0.25">
      <c r="B8" t="s">
        <v>115</v>
      </c>
      <c r="C8" s="29">
        <v>0.25</v>
      </c>
    </row>
    <row r="9" spans="1:3" x14ac:dyDescent="0.25">
      <c r="B9" t="s">
        <v>114</v>
      </c>
      <c r="C9" s="29">
        <v>0.5</v>
      </c>
    </row>
    <row r="10" spans="1:3" x14ac:dyDescent="0.25"/>
    <row r="11" spans="1:3" x14ac:dyDescent="0.25">
      <c r="A11" s="9" t="s">
        <v>117</v>
      </c>
    </row>
    <row r="12" spans="1:3" x14ac:dyDescent="0.25">
      <c r="B12" t="s">
        <v>119</v>
      </c>
      <c r="C12" s="22" t="s">
        <v>123</v>
      </c>
    </row>
    <row r="13" spans="1:3" x14ac:dyDescent="0.25">
      <c r="B13" t="s">
        <v>116</v>
      </c>
      <c r="C13" s="26">
        <v>0</v>
      </c>
    </row>
    <row r="14" spans="1:3" x14ac:dyDescent="0.25">
      <c r="B14" t="s">
        <v>118</v>
      </c>
      <c r="C14" s="26">
        <v>0</v>
      </c>
    </row>
    <row r="15" spans="1:3" x14ac:dyDescent="0.25"/>
    <row r="16" spans="1:3" x14ac:dyDescent="0.25">
      <c r="A16" s="9" t="s">
        <v>120</v>
      </c>
    </row>
    <row r="17" spans="1:3" x14ac:dyDescent="0.25">
      <c r="B17" t="s">
        <v>121</v>
      </c>
      <c r="C17" s="26">
        <v>1</v>
      </c>
    </row>
    <row r="18" spans="1:3" x14ac:dyDescent="0.25">
      <c r="B18" t="s">
        <v>122</v>
      </c>
      <c r="C18" s="26">
        <v>1</v>
      </c>
    </row>
    <row r="19" spans="1:3" x14ac:dyDescent="0.25"/>
    <row r="20" spans="1:3" x14ac:dyDescent="0.25">
      <c r="A20" s="9" t="s">
        <v>263</v>
      </c>
    </row>
    <row r="21" spans="1:3" x14ac:dyDescent="0.25">
      <c r="B21" t="s">
        <v>262</v>
      </c>
      <c r="C21" s="22" t="s">
        <v>27</v>
      </c>
    </row>
    <row r="22" spans="1:3" x14ac:dyDescent="0.25"/>
    <row r="23" spans="1:3" x14ac:dyDescent="0.25">
      <c r="A23" s="9" t="s">
        <v>106</v>
      </c>
      <c r="C23" s="24"/>
    </row>
    <row r="24" spans="1:3" x14ac:dyDescent="0.25">
      <c r="B24" t="s">
        <v>65</v>
      </c>
      <c r="C24" s="22" t="s">
        <v>27</v>
      </c>
    </row>
    <row r="25" spans="1:3" x14ac:dyDescent="0.25">
      <c r="B25" t="s">
        <v>66</v>
      </c>
      <c r="C25" s="22">
        <v>60</v>
      </c>
    </row>
    <row r="26" spans="1:3" x14ac:dyDescent="0.25">
      <c r="B26" t="s">
        <v>67</v>
      </c>
      <c r="C26" s="23">
        <v>39448</v>
      </c>
    </row>
    <row r="27" spans="1:3" x14ac:dyDescent="0.25">
      <c r="B27" t="s">
        <v>68</v>
      </c>
      <c r="C27" s="29">
        <v>0.25</v>
      </c>
    </row>
    <row r="28" spans="1:3" x14ac:dyDescent="0.25">
      <c r="B28" t="s">
        <v>69</v>
      </c>
      <c r="C28" s="29">
        <v>1</v>
      </c>
    </row>
    <row r="29" spans="1:3" x14ac:dyDescent="0.25">
      <c r="C29" s="25"/>
    </row>
    <row r="30" spans="1:3" hidden="1" x14ac:dyDescent="0.25">
      <c r="A30" s="9" t="s">
        <v>107</v>
      </c>
      <c r="C30" s="24"/>
    </row>
    <row r="31" spans="1:3" hidden="1" x14ac:dyDescent="0.25">
      <c r="B31" t="s">
        <v>65</v>
      </c>
      <c r="C31" s="22" t="s">
        <v>27</v>
      </c>
    </row>
    <row r="32" spans="1:3" hidden="1" x14ac:dyDescent="0.25">
      <c r="B32" t="s">
        <v>66</v>
      </c>
      <c r="C32" s="22">
        <v>60</v>
      </c>
    </row>
    <row r="33" spans="1:6" hidden="1" x14ac:dyDescent="0.25">
      <c r="B33" t="s">
        <v>67</v>
      </c>
      <c r="C33" s="23">
        <v>39448</v>
      </c>
    </row>
    <row r="34" spans="1:6" hidden="1" x14ac:dyDescent="0.25">
      <c r="B34" t="s">
        <v>68</v>
      </c>
      <c r="C34" s="29">
        <v>0.25</v>
      </c>
    </row>
    <row r="35" spans="1:6" hidden="1" x14ac:dyDescent="0.25">
      <c r="B35" t="s">
        <v>69</v>
      </c>
      <c r="C35" s="29">
        <v>1</v>
      </c>
    </row>
    <row r="37" spans="1:6" hidden="1" x14ac:dyDescent="0.25">
      <c r="A37" s="9" t="s">
        <v>252</v>
      </c>
    </row>
    <row r="38" spans="1:6" ht="14.45" hidden="1" customHeight="1" x14ac:dyDescent="0.25">
      <c r="B38" s="103" t="s">
        <v>253</v>
      </c>
      <c r="C38" s="105" t="s">
        <v>254</v>
      </c>
      <c r="D38" s="99" t="s">
        <v>258</v>
      </c>
      <c r="E38" s="97" t="s">
        <v>259</v>
      </c>
      <c r="F38" s="49"/>
    </row>
    <row r="39" spans="1:6" hidden="1" x14ac:dyDescent="0.25">
      <c r="B39" s="104"/>
      <c r="C39" s="106"/>
      <c r="D39" s="100"/>
      <c r="E39" s="98"/>
    </row>
    <row r="40" spans="1:6" hidden="1" x14ac:dyDescent="0.25">
      <c r="B40" s="48">
        <v>0</v>
      </c>
      <c r="C40" s="50">
        <v>1</v>
      </c>
      <c r="D40" s="55">
        <v>0.313726</v>
      </c>
      <c r="E40" s="56">
        <v>0.54901999999999995</v>
      </c>
    </row>
    <row r="41" spans="1:6" hidden="1" x14ac:dyDescent="0.25">
      <c r="B41" s="48">
        <v>1</v>
      </c>
      <c r="C41" s="53">
        <v>1.2</v>
      </c>
      <c r="D41" s="55">
        <v>0.27450999999999998</v>
      </c>
      <c r="E41" s="56">
        <v>0.50980400000000003</v>
      </c>
    </row>
    <row r="42" spans="1:6" hidden="1" x14ac:dyDescent="0.25">
      <c r="A42" s="54"/>
      <c r="B42" s="52">
        <v>1.2</v>
      </c>
      <c r="C42" s="60">
        <v>1.4</v>
      </c>
      <c r="D42" s="61">
        <v>0.235295</v>
      </c>
      <c r="E42" s="56">
        <v>0.47058899999999998</v>
      </c>
    </row>
    <row r="43" spans="1:6" hidden="1" x14ac:dyDescent="0.25">
      <c r="A43" s="54"/>
      <c r="B43" s="52">
        <v>1.4</v>
      </c>
      <c r="C43" s="51">
        <v>1.6</v>
      </c>
      <c r="D43" s="56">
        <v>0.196079</v>
      </c>
      <c r="E43" s="56">
        <v>0.43137300000000001</v>
      </c>
    </row>
    <row r="44" spans="1:6" hidden="1" x14ac:dyDescent="0.25">
      <c r="B44" s="48">
        <v>1.6</v>
      </c>
      <c r="C44" s="53">
        <v>999</v>
      </c>
      <c r="D44" s="56">
        <v>0.156863</v>
      </c>
      <c r="E44" s="56">
        <v>0.39215699999999998</v>
      </c>
    </row>
    <row r="45" spans="1:6" hidden="1" x14ac:dyDescent="0.25">
      <c r="B45" s="48"/>
      <c r="C45" s="53"/>
      <c r="D45" s="59"/>
      <c r="E45" s="59"/>
    </row>
    <row r="46" spans="1:6" hidden="1" x14ac:dyDescent="0.25">
      <c r="B46" s="48"/>
      <c r="C46" s="53"/>
      <c r="D46" s="59"/>
      <c r="E46" s="59"/>
    </row>
    <row r="48" spans="1:6" hidden="1" x14ac:dyDescent="0.25">
      <c r="A48" s="9" t="s">
        <v>255</v>
      </c>
    </row>
    <row r="49" spans="1:5" ht="14.45" hidden="1" customHeight="1" x14ac:dyDescent="0.25">
      <c r="B49" s="103" t="s">
        <v>256</v>
      </c>
      <c r="C49" s="105" t="s">
        <v>257</v>
      </c>
      <c r="D49" s="99" t="s">
        <v>258</v>
      </c>
      <c r="E49" s="101" t="s">
        <v>259</v>
      </c>
    </row>
    <row r="50" spans="1:5" hidden="1" x14ac:dyDescent="0.25">
      <c r="B50" s="104"/>
      <c r="C50" s="106"/>
      <c r="D50" s="100"/>
      <c r="E50" s="102"/>
    </row>
    <row r="51" spans="1:5" hidden="1" x14ac:dyDescent="0.25">
      <c r="B51" s="48">
        <v>0</v>
      </c>
      <c r="C51" s="50">
        <v>40</v>
      </c>
      <c r="D51" s="56">
        <v>0.42016806722689098</v>
      </c>
      <c r="E51" s="56">
        <v>0.53571400000000002</v>
      </c>
    </row>
    <row r="52" spans="1:5" hidden="1" x14ac:dyDescent="0.25">
      <c r="B52" s="48">
        <v>40</v>
      </c>
      <c r="C52" s="53">
        <v>55</v>
      </c>
      <c r="D52" s="55">
        <v>0.42016806722689098</v>
      </c>
      <c r="E52" s="56">
        <v>0.53571400000000002</v>
      </c>
    </row>
    <row r="53" spans="1:5" hidden="1" x14ac:dyDescent="0.25">
      <c r="A53" s="54"/>
      <c r="B53" s="52">
        <v>55</v>
      </c>
      <c r="C53" s="51">
        <v>70</v>
      </c>
      <c r="D53" s="56">
        <v>0.42016806722689098</v>
      </c>
      <c r="E53" s="56">
        <v>0.53571400000000002</v>
      </c>
    </row>
    <row r="54" spans="1:5" hidden="1" x14ac:dyDescent="0.25">
      <c r="A54" s="54"/>
      <c r="B54" s="52">
        <v>70</v>
      </c>
      <c r="C54" s="51">
        <v>85</v>
      </c>
      <c r="D54" s="56">
        <v>0.42016806722689098</v>
      </c>
      <c r="E54" s="56">
        <v>0.53571400000000002</v>
      </c>
    </row>
    <row r="55" spans="1:5" hidden="1" x14ac:dyDescent="0.25">
      <c r="B55" s="48">
        <v>85</v>
      </c>
      <c r="C55" s="53">
        <v>100</v>
      </c>
      <c r="D55" s="57">
        <v>0.42016806722689098</v>
      </c>
      <c r="E55" s="58">
        <v>0.53571400000000002</v>
      </c>
    </row>
    <row r="56" spans="1:5" hidden="1" x14ac:dyDescent="0.25">
      <c r="B56" s="48">
        <v>100</v>
      </c>
      <c r="C56" s="48">
        <v>115</v>
      </c>
      <c r="D56" s="58">
        <v>0.42016806722689098</v>
      </c>
      <c r="E56" s="58">
        <v>0.53571400000000002</v>
      </c>
    </row>
    <row r="57" spans="1:5" hidden="1" x14ac:dyDescent="0.25">
      <c r="B57" s="48">
        <v>115</v>
      </c>
      <c r="C57" s="48">
        <v>999</v>
      </c>
      <c r="D57" s="58">
        <v>0.42016806722689098</v>
      </c>
      <c r="E57" s="58">
        <v>0.53571400000000002</v>
      </c>
    </row>
    <row r="58" spans="1:5" hidden="1" x14ac:dyDescent="0.25">
      <c r="B58" s="48"/>
      <c r="C58" s="48"/>
      <c r="D58" s="48"/>
      <c r="E58" s="48"/>
    </row>
  </sheetData>
  <mergeCells count="8">
    <mergeCell ref="E38:E39"/>
    <mergeCell ref="D49:D50"/>
    <mergeCell ref="E49:E50"/>
    <mergeCell ref="B38:B39"/>
    <mergeCell ref="C38:C39"/>
    <mergeCell ref="B49:B50"/>
    <mergeCell ref="C49:C50"/>
    <mergeCell ref="D38:D39"/>
  </mergeCells>
  <dataValidations count="3">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theme="7" tint="0.39997558519241921"/>
  </sheetPr>
  <dimension ref="A1:H72"/>
  <sheetViews>
    <sheetView showGridLines="0" showRowColHeaders="0" zoomScaleNormal="100" workbookViewId="0">
      <selection activeCell="C10" sqref="C10"/>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x14ac:dyDescent="0.25">
      <c r="A1" s="24" t="s">
        <v>105</v>
      </c>
      <c r="C1" s="24"/>
    </row>
    <row r="2" spans="1:3" x14ac:dyDescent="0.25">
      <c r="B2" t="s">
        <v>37</v>
      </c>
      <c r="C2" s="22" t="s">
        <v>29</v>
      </c>
    </row>
    <row r="3" spans="1:3" x14ac:dyDescent="0.25">
      <c r="B3" t="s">
        <v>38</v>
      </c>
      <c r="C3" s="22" t="s">
        <v>30</v>
      </c>
    </row>
    <row r="4" spans="1:3" x14ac:dyDescent="0.25">
      <c r="B4" t="s">
        <v>39</v>
      </c>
      <c r="C4" s="22" t="s">
        <v>47</v>
      </c>
    </row>
    <row r="5" spans="1:3" x14ac:dyDescent="0.25">
      <c r="B5" t="s">
        <v>40</v>
      </c>
      <c r="C5" s="22" t="s">
        <v>31</v>
      </c>
    </row>
    <row r="6" spans="1:3" x14ac:dyDescent="0.25">
      <c r="B6" t="s">
        <v>41</v>
      </c>
      <c r="C6" s="22" t="s">
        <v>36</v>
      </c>
    </row>
    <row r="7" spans="1:3" x14ac:dyDescent="0.25">
      <c r="B7" t="s">
        <v>42</v>
      </c>
      <c r="C7" s="22" t="s">
        <v>32</v>
      </c>
    </row>
    <row r="8" spans="1:3" x14ac:dyDescent="0.25">
      <c r="B8" t="s">
        <v>43</v>
      </c>
      <c r="C8" s="22" t="s">
        <v>48</v>
      </c>
    </row>
    <row r="9" spans="1:3" x14ac:dyDescent="0.25">
      <c r="B9" t="s">
        <v>44</v>
      </c>
      <c r="C9" s="22" t="s">
        <v>49</v>
      </c>
    </row>
    <row r="10" spans="1:3" x14ac:dyDescent="0.25">
      <c r="B10" t="s">
        <v>45</v>
      </c>
      <c r="C10" s="22" t="s">
        <v>34</v>
      </c>
    </row>
    <row r="11" spans="1:3" x14ac:dyDescent="0.25">
      <c r="B11" t="s">
        <v>46</v>
      </c>
      <c r="C11" s="22" t="s">
        <v>35</v>
      </c>
    </row>
    <row r="12" spans="1:3" x14ac:dyDescent="0.25">
      <c r="C12" s="25"/>
    </row>
    <row r="13" spans="1:3" x14ac:dyDescent="0.25">
      <c r="A13" s="9" t="s">
        <v>263</v>
      </c>
    </row>
    <row r="14" spans="1:3" x14ac:dyDescent="0.25">
      <c r="B14" t="s">
        <v>262</v>
      </c>
      <c r="C14" s="22" t="s">
        <v>27</v>
      </c>
    </row>
    <row r="15" spans="1:3" x14ac:dyDescent="0.25">
      <c r="C15" s="25"/>
    </row>
    <row r="16" spans="1:3" x14ac:dyDescent="0.25">
      <c r="A16" s="9" t="s">
        <v>106</v>
      </c>
      <c r="C16" s="24"/>
    </row>
    <row r="17" spans="1:3" x14ac:dyDescent="0.25">
      <c r="B17" t="s">
        <v>65</v>
      </c>
      <c r="C17" s="22" t="s">
        <v>27</v>
      </c>
    </row>
    <row r="18" spans="1:3" x14ac:dyDescent="0.25">
      <c r="B18" t="s">
        <v>66</v>
      </c>
      <c r="C18" s="22">
        <v>60</v>
      </c>
    </row>
    <row r="19" spans="1:3" x14ac:dyDescent="0.25">
      <c r="B19" t="s">
        <v>67</v>
      </c>
      <c r="C19" s="23">
        <v>39448</v>
      </c>
    </row>
    <row r="20" spans="1:3" x14ac:dyDescent="0.25">
      <c r="B20" t="s">
        <v>68</v>
      </c>
      <c r="C20" s="29">
        <v>0.25</v>
      </c>
    </row>
    <row r="21" spans="1:3" x14ac:dyDescent="0.25">
      <c r="B21" t="s">
        <v>69</v>
      </c>
      <c r="C21" s="29">
        <v>1</v>
      </c>
    </row>
    <row r="22" spans="1:3" x14ac:dyDescent="0.25">
      <c r="C22" s="25"/>
    </row>
    <row r="23" spans="1:3" hidden="1" x14ac:dyDescent="0.25">
      <c r="A23" s="9" t="s">
        <v>107</v>
      </c>
      <c r="C23" s="24"/>
    </row>
    <row r="24" spans="1:3" hidden="1" x14ac:dyDescent="0.25">
      <c r="B24" t="s">
        <v>65</v>
      </c>
      <c r="C24" s="22" t="s">
        <v>27</v>
      </c>
    </row>
    <row r="25" spans="1:3" hidden="1" x14ac:dyDescent="0.25">
      <c r="B25" t="s">
        <v>66</v>
      </c>
      <c r="C25" s="22">
        <v>60</v>
      </c>
    </row>
    <row r="26" spans="1:3" hidden="1" x14ac:dyDescent="0.25">
      <c r="B26" t="s">
        <v>67</v>
      </c>
      <c r="C26" s="23">
        <v>39448</v>
      </c>
    </row>
    <row r="27" spans="1:3" hidden="1" x14ac:dyDescent="0.25">
      <c r="B27" t="s">
        <v>68</v>
      </c>
      <c r="C27" s="29">
        <v>0.25</v>
      </c>
    </row>
    <row r="28" spans="1:3" hidden="1" x14ac:dyDescent="0.25">
      <c r="B28" t="s">
        <v>69</v>
      </c>
      <c r="C28" s="29">
        <v>1</v>
      </c>
    </row>
    <row r="33" spans="2:8" hidden="1" x14ac:dyDescent="0.25">
      <c r="B33" s="87" t="s">
        <v>91</v>
      </c>
      <c r="C33" s="87"/>
      <c r="D33" s="87"/>
      <c r="F33" s="87" t="s">
        <v>98</v>
      </c>
      <c r="G33" s="87"/>
      <c r="H33" s="87"/>
    </row>
    <row r="34" spans="2:8" hidden="1" x14ac:dyDescent="0.25">
      <c r="B34" s="15" t="s">
        <v>50</v>
      </c>
      <c r="C34" s="15" t="s">
        <v>51</v>
      </c>
      <c r="D34" s="19" t="s">
        <v>77</v>
      </c>
      <c r="F34" s="15" t="s">
        <v>50</v>
      </c>
      <c r="G34" s="15" t="s">
        <v>51</v>
      </c>
      <c r="H34" s="19" t="s">
        <v>77</v>
      </c>
    </row>
    <row r="35" spans="2:8" hidden="1" x14ac:dyDescent="0.25">
      <c r="B35" s="88" t="s">
        <v>37</v>
      </c>
      <c r="C35" s="16" t="s">
        <v>52</v>
      </c>
      <c r="D35" s="21">
        <v>5</v>
      </c>
      <c r="F35" s="88" t="s">
        <v>37</v>
      </c>
      <c r="G35" s="16" t="s">
        <v>52</v>
      </c>
      <c r="H35" s="21">
        <v>5</v>
      </c>
    </row>
    <row r="36" spans="2:8" hidden="1" x14ac:dyDescent="0.25">
      <c r="B36" s="89"/>
      <c r="C36" s="16" t="s">
        <v>53</v>
      </c>
      <c r="D36" s="21">
        <v>0</v>
      </c>
      <c r="F36" s="89"/>
      <c r="G36" s="16" t="s">
        <v>53</v>
      </c>
      <c r="H36" s="21">
        <v>3</v>
      </c>
    </row>
    <row r="37" spans="2:8" hidden="1" x14ac:dyDescent="0.25">
      <c r="B37" s="89"/>
      <c r="C37" s="17" t="s">
        <v>76</v>
      </c>
      <c r="D37" s="21">
        <v>0</v>
      </c>
      <c r="F37" s="89"/>
      <c r="G37" s="17" t="s">
        <v>29</v>
      </c>
      <c r="H37" s="21">
        <v>0</v>
      </c>
    </row>
    <row r="38" spans="2:8" hidden="1" x14ac:dyDescent="0.25">
      <c r="B38" s="90"/>
      <c r="C38" s="20" t="s">
        <v>29</v>
      </c>
      <c r="D38" s="21">
        <v>-5</v>
      </c>
      <c r="F38" s="90"/>
      <c r="G38" s="19" t="s">
        <v>97</v>
      </c>
      <c r="H38" s="21" t="s">
        <v>97</v>
      </c>
    </row>
    <row r="39" spans="2:8" ht="14.45" hidden="1" customHeight="1" x14ac:dyDescent="0.25">
      <c r="B39" s="88" t="s">
        <v>61</v>
      </c>
      <c r="C39" s="17" t="s">
        <v>30</v>
      </c>
      <c r="D39" s="21">
        <v>0</v>
      </c>
      <c r="F39" s="88" t="s">
        <v>61</v>
      </c>
      <c r="G39" s="17" t="s">
        <v>30</v>
      </c>
      <c r="H39" s="21">
        <v>0</v>
      </c>
    </row>
    <row r="40" spans="2:8" hidden="1" x14ac:dyDescent="0.25">
      <c r="B40" s="89"/>
      <c r="C40" s="17" t="s">
        <v>70</v>
      </c>
      <c r="D40" s="21">
        <v>8</v>
      </c>
      <c r="F40" s="89"/>
      <c r="G40" s="17" t="s">
        <v>70</v>
      </c>
      <c r="H40" s="21">
        <v>8</v>
      </c>
    </row>
    <row r="41" spans="2:8" hidden="1" x14ac:dyDescent="0.25">
      <c r="B41" s="89"/>
      <c r="C41" s="17" t="s">
        <v>71</v>
      </c>
      <c r="D41" s="21">
        <v>10</v>
      </c>
      <c r="F41" s="89"/>
      <c r="G41" s="17" t="s">
        <v>71</v>
      </c>
      <c r="H41" s="21">
        <v>10</v>
      </c>
    </row>
    <row r="42" spans="2:8" hidden="1" x14ac:dyDescent="0.25">
      <c r="B42" s="89"/>
      <c r="C42" s="17" t="s">
        <v>72</v>
      </c>
      <c r="D42" s="21">
        <v>12</v>
      </c>
      <c r="F42" s="89"/>
      <c r="G42" s="17" t="s">
        <v>72</v>
      </c>
      <c r="H42" s="21">
        <v>12</v>
      </c>
    </row>
    <row r="43" spans="2:8" ht="30" hidden="1" x14ac:dyDescent="0.25">
      <c r="B43" s="89"/>
      <c r="C43" s="17" t="s">
        <v>73</v>
      </c>
      <c r="D43" s="21">
        <v>14</v>
      </c>
      <c r="F43" s="89"/>
      <c r="G43" s="17" t="s">
        <v>73</v>
      </c>
      <c r="H43" s="21">
        <v>14</v>
      </c>
    </row>
    <row r="44" spans="2:8" hidden="1" x14ac:dyDescent="0.25">
      <c r="B44" s="90"/>
      <c r="C44" s="17" t="s">
        <v>54</v>
      </c>
      <c r="D44" s="21">
        <v>16</v>
      </c>
      <c r="F44" s="90"/>
      <c r="G44" s="17" t="s">
        <v>54</v>
      </c>
      <c r="H44" s="21">
        <v>16</v>
      </c>
    </row>
    <row r="45" spans="2:8" hidden="1" x14ac:dyDescent="0.25">
      <c r="B45" s="88" t="s">
        <v>39</v>
      </c>
      <c r="C45" s="17" t="s">
        <v>47</v>
      </c>
      <c r="D45" s="21">
        <v>0</v>
      </c>
      <c r="F45" s="88" t="s">
        <v>39</v>
      </c>
      <c r="G45" s="17" t="s">
        <v>47</v>
      </c>
      <c r="H45" s="21">
        <v>0</v>
      </c>
    </row>
    <row r="46" spans="2:8" hidden="1" x14ac:dyDescent="0.25">
      <c r="B46" s="90"/>
      <c r="C46" s="18" t="s">
        <v>55</v>
      </c>
      <c r="D46" s="21">
        <v>1</v>
      </c>
      <c r="F46" s="90"/>
      <c r="G46" s="18" t="s">
        <v>55</v>
      </c>
      <c r="H46" s="21">
        <v>1</v>
      </c>
    </row>
    <row r="47" spans="2:8" hidden="1" x14ac:dyDescent="0.25">
      <c r="B47" s="91" t="s">
        <v>40</v>
      </c>
      <c r="C47" s="18" t="s">
        <v>31</v>
      </c>
      <c r="D47" s="21">
        <v>0</v>
      </c>
      <c r="F47" s="94" t="s">
        <v>40</v>
      </c>
      <c r="G47" s="18" t="s">
        <v>31</v>
      </c>
      <c r="H47" s="21">
        <v>0</v>
      </c>
    </row>
    <row r="48" spans="2:8" hidden="1" x14ac:dyDescent="0.25">
      <c r="B48" s="92"/>
      <c r="C48" s="18" t="s">
        <v>78</v>
      </c>
      <c r="D48" s="21">
        <v>2</v>
      </c>
      <c r="F48" s="95"/>
      <c r="G48" s="18" t="s">
        <v>56</v>
      </c>
      <c r="H48" s="21">
        <v>2</v>
      </c>
    </row>
    <row r="49" spans="2:8" hidden="1" x14ac:dyDescent="0.25">
      <c r="B49" s="93"/>
      <c r="C49" s="19" t="s">
        <v>97</v>
      </c>
      <c r="D49" s="19" t="s">
        <v>97</v>
      </c>
      <c r="F49" s="96"/>
      <c r="G49" s="18" t="s">
        <v>57</v>
      </c>
      <c r="H49" s="21">
        <v>4</v>
      </c>
    </row>
    <row r="50" spans="2:8" hidden="1" x14ac:dyDescent="0.25">
      <c r="B50" s="94" t="s">
        <v>41</v>
      </c>
      <c r="C50" s="18" t="s">
        <v>36</v>
      </c>
      <c r="D50" s="21">
        <v>0</v>
      </c>
      <c r="F50" s="94" t="s">
        <v>41</v>
      </c>
      <c r="G50" s="18" t="s">
        <v>36</v>
      </c>
      <c r="H50" s="21">
        <v>0</v>
      </c>
    </row>
    <row r="51" spans="2:8" hidden="1" x14ac:dyDescent="0.25">
      <c r="B51" s="96"/>
      <c r="C51" s="18" t="s">
        <v>74</v>
      </c>
      <c r="D51" s="21">
        <v>16</v>
      </c>
      <c r="F51" s="96"/>
      <c r="G51" s="18" t="s">
        <v>74</v>
      </c>
      <c r="H51" s="21">
        <v>16</v>
      </c>
    </row>
    <row r="52" spans="2:8" hidden="1" x14ac:dyDescent="0.25">
      <c r="B52" s="94" t="s">
        <v>44</v>
      </c>
      <c r="C52" s="18" t="s">
        <v>32</v>
      </c>
      <c r="D52" s="21">
        <v>1</v>
      </c>
      <c r="F52" s="94" t="s">
        <v>44</v>
      </c>
      <c r="G52" s="18" t="s">
        <v>32</v>
      </c>
      <c r="H52" s="21">
        <v>1</v>
      </c>
    </row>
    <row r="53" spans="2:8" hidden="1" x14ac:dyDescent="0.25">
      <c r="B53" s="96"/>
      <c r="C53" s="18" t="s">
        <v>75</v>
      </c>
      <c r="D53" s="21">
        <v>0</v>
      </c>
      <c r="F53" s="96"/>
      <c r="G53" s="18" t="s">
        <v>75</v>
      </c>
      <c r="H53" s="21">
        <v>0</v>
      </c>
    </row>
    <row r="54" spans="2:8" hidden="1" x14ac:dyDescent="0.25">
      <c r="B54" s="94" t="s">
        <v>62</v>
      </c>
      <c r="C54" s="18" t="s">
        <v>58</v>
      </c>
      <c r="D54" s="21">
        <v>0</v>
      </c>
      <c r="F54" s="94" t="s">
        <v>62</v>
      </c>
      <c r="G54" s="18" t="s">
        <v>58</v>
      </c>
      <c r="H54" s="21">
        <v>0</v>
      </c>
    </row>
    <row r="55" spans="2:8" hidden="1" x14ac:dyDescent="0.25">
      <c r="B55" s="95"/>
      <c r="C55" s="18" t="s">
        <v>79</v>
      </c>
      <c r="D55" s="21">
        <v>2</v>
      </c>
      <c r="F55" s="95"/>
      <c r="G55" s="18" t="s">
        <v>79</v>
      </c>
      <c r="H55" s="21">
        <v>2</v>
      </c>
    </row>
    <row r="56" spans="2:8" hidden="1" x14ac:dyDescent="0.25">
      <c r="B56" s="95"/>
      <c r="C56" s="18" t="s">
        <v>48</v>
      </c>
      <c r="D56" s="21">
        <v>3</v>
      </c>
      <c r="F56" s="95"/>
      <c r="G56" s="18" t="s">
        <v>48</v>
      </c>
      <c r="H56" s="21">
        <v>3</v>
      </c>
    </row>
    <row r="57" spans="2:8" hidden="1" x14ac:dyDescent="0.25">
      <c r="B57" s="96"/>
      <c r="C57" s="18" t="s">
        <v>80</v>
      </c>
      <c r="D57" s="21">
        <v>4</v>
      </c>
      <c r="F57" s="96"/>
      <c r="G57" s="18" t="s">
        <v>80</v>
      </c>
      <c r="H57" s="21">
        <v>4</v>
      </c>
    </row>
    <row r="58" spans="2:8" hidden="1" x14ac:dyDescent="0.25">
      <c r="B58" s="94" t="s">
        <v>28</v>
      </c>
      <c r="C58" s="18" t="s">
        <v>81</v>
      </c>
      <c r="D58" s="21">
        <v>0</v>
      </c>
      <c r="F58" s="94" t="s">
        <v>28</v>
      </c>
      <c r="G58" s="18" t="s">
        <v>59</v>
      </c>
      <c r="H58" s="21">
        <v>0</v>
      </c>
    </row>
    <row r="59" spans="2:8" hidden="1" x14ac:dyDescent="0.25">
      <c r="B59" s="95"/>
      <c r="C59" s="18" t="s">
        <v>49</v>
      </c>
      <c r="D59" s="21">
        <v>3</v>
      </c>
      <c r="F59" s="95"/>
      <c r="G59" s="18" t="s">
        <v>33</v>
      </c>
      <c r="H59" s="21">
        <v>6</v>
      </c>
    </row>
    <row r="60" spans="2:8" hidden="1" x14ac:dyDescent="0.25">
      <c r="B60" s="96"/>
      <c r="C60" s="18" t="s">
        <v>82</v>
      </c>
      <c r="D60" s="21">
        <v>5</v>
      </c>
      <c r="F60" s="96"/>
      <c r="G60" s="18" t="s">
        <v>60</v>
      </c>
      <c r="H60" s="21">
        <v>10</v>
      </c>
    </row>
    <row r="61" spans="2:8" hidden="1" x14ac:dyDescent="0.25">
      <c r="B61" s="94" t="s">
        <v>63</v>
      </c>
      <c r="C61" s="18" t="s">
        <v>34</v>
      </c>
      <c r="D61" s="21">
        <v>0</v>
      </c>
      <c r="F61" s="94" t="s">
        <v>63</v>
      </c>
      <c r="G61" s="18" t="s">
        <v>34</v>
      </c>
      <c r="H61" s="21">
        <v>0</v>
      </c>
    </row>
    <row r="62" spans="2:8" hidden="1" x14ac:dyDescent="0.25">
      <c r="B62" s="95"/>
      <c r="C62" s="18" t="s">
        <v>83</v>
      </c>
      <c r="D62" s="21">
        <v>0.5</v>
      </c>
      <c r="F62" s="95"/>
      <c r="G62" s="18" t="s">
        <v>83</v>
      </c>
      <c r="H62" s="21">
        <v>0.5</v>
      </c>
    </row>
    <row r="63" spans="2:8" hidden="1" x14ac:dyDescent="0.25">
      <c r="B63" s="95"/>
      <c r="C63" s="18" t="s">
        <v>84</v>
      </c>
      <c r="D63" s="21">
        <v>1</v>
      </c>
      <c r="F63" s="95"/>
      <c r="G63" s="18" t="s">
        <v>84</v>
      </c>
      <c r="H63" s="21">
        <v>1</v>
      </c>
    </row>
    <row r="64" spans="2:8" hidden="1" x14ac:dyDescent="0.25">
      <c r="B64" s="95"/>
      <c r="C64" s="18" t="s">
        <v>85</v>
      </c>
      <c r="D64" s="21">
        <v>1.5</v>
      </c>
      <c r="F64" s="95"/>
      <c r="G64" s="18" t="s">
        <v>85</v>
      </c>
      <c r="H64" s="21">
        <v>1.5</v>
      </c>
    </row>
    <row r="65" spans="2:8" hidden="1" x14ac:dyDescent="0.25">
      <c r="B65" s="95"/>
      <c r="C65" s="18" t="s">
        <v>86</v>
      </c>
      <c r="D65" s="21">
        <v>2</v>
      </c>
      <c r="F65" s="95"/>
      <c r="G65" s="18" t="s">
        <v>86</v>
      </c>
      <c r="H65" s="21">
        <v>2</v>
      </c>
    </row>
    <row r="66" spans="2:8" hidden="1" x14ac:dyDescent="0.25">
      <c r="B66" s="96"/>
      <c r="C66" s="18" t="s">
        <v>93</v>
      </c>
      <c r="D66" s="21">
        <v>4</v>
      </c>
      <c r="F66" s="96"/>
      <c r="G66" s="18" t="s">
        <v>93</v>
      </c>
      <c r="H66" s="21">
        <v>4</v>
      </c>
    </row>
    <row r="67" spans="2:8" hidden="1" x14ac:dyDescent="0.25">
      <c r="B67" s="94" t="s">
        <v>64</v>
      </c>
      <c r="C67" s="18" t="s">
        <v>35</v>
      </c>
      <c r="D67" s="21">
        <v>0</v>
      </c>
      <c r="F67" s="94" t="s">
        <v>64</v>
      </c>
      <c r="G67" s="18" t="s">
        <v>35</v>
      </c>
      <c r="H67" s="21">
        <v>0</v>
      </c>
    </row>
    <row r="68" spans="2:8" hidden="1" x14ac:dyDescent="0.25">
      <c r="B68" s="95"/>
      <c r="C68" s="18" t="s">
        <v>89</v>
      </c>
      <c r="D68" s="21">
        <v>0.5</v>
      </c>
      <c r="F68" s="95"/>
      <c r="G68" s="18" t="s">
        <v>94</v>
      </c>
      <c r="H68" s="21">
        <v>1</v>
      </c>
    </row>
    <row r="69" spans="2:8" hidden="1" x14ac:dyDescent="0.25">
      <c r="B69" s="95"/>
      <c r="C69" s="18" t="s">
        <v>90</v>
      </c>
      <c r="D69" s="21">
        <v>0.75</v>
      </c>
      <c r="F69" s="95"/>
      <c r="G69" s="18" t="s">
        <v>95</v>
      </c>
      <c r="H69" s="21">
        <v>2</v>
      </c>
    </row>
    <row r="70" spans="2:8" hidden="1" x14ac:dyDescent="0.25">
      <c r="B70" s="96"/>
      <c r="C70" s="18" t="s">
        <v>92</v>
      </c>
      <c r="D70" s="21">
        <v>1</v>
      </c>
      <c r="F70" s="95"/>
      <c r="G70" s="18" t="s">
        <v>87</v>
      </c>
      <c r="H70" s="21">
        <v>3</v>
      </c>
    </row>
    <row r="71" spans="2:8" hidden="1" x14ac:dyDescent="0.25">
      <c r="F71" s="95"/>
      <c r="G71" s="18" t="s">
        <v>88</v>
      </c>
      <c r="H71" s="21">
        <v>4</v>
      </c>
    </row>
    <row r="72" spans="2:8" hidden="1" x14ac:dyDescent="0.25">
      <c r="F72" s="96"/>
      <c r="G72" s="18" t="s">
        <v>96</v>
      </c>
      <c r="H72" s="21">
        <v>5</v>
      </c>
    </row>
  </sheetData>
  <mergeCells count="22">
    <mergeCell ref="F33:H33"/>
    <mergeCell ref="B47:B49"/>
    <mergeCell ref="B50:B51"/>
    <mergeCell ref="B52:B53"/>
    <mergeCell ref="B54:B57"/>
    <mergeCell ref="B33:D33"/>
    <mergeCell ref="B58:B60"/>
    <mergeCell ref="B61:B66"/>
    <mergeCell ref="B67:B70"/>
    <mergeCell ref="F35:F38"/>
    <mergeCell ref="F39:F44"/>
    <mergeCell ref="F45:F46"/>
    <mergeCell ref="F47:F49"/>
    <mergeCell ref="F50:F51"/>
    <mergeCell ref="B35:B38"/>
    <mergeCell ref="B39:B44"/>
    <mergeCell ref="B45:B46"/>
    <mergeCell ref="F52:F53"/>
    <mergeCell ref="F54:F57"/>
    <mergeCell ref="F58:F60"/>
    <mergeCell ref="F61:F66"/>
    <mergeCell ref="F67:F72"/>
  </mergeCells>
  <dataValidations count="13">
    <dataValidation type="list" allowBlank="1" showInputMessage="1" showErrorMessage="1" sqref="C3" xr:uid="{FC7BFE12-E2AB-4E4E-A0A2-C8C59155596A}">
      <formula1>$C$39:$C$44</formula1>
    </dataValidation>
    <dataValidation type="list" allowBlank="1" showInputMessage="1" showErrorMessage="1" sqref="C2" xr:uid="{88CDA033-027E-4BFB-8780-E7C017ED55CB}">
      <formula1>$G$35:$G$37</formula1>
    </dataValidation>
    <dataValidation type="list" allowBlank="1" showInputMessage="1" showErrorMessage="1" sqref="C4" xr:uid="{96B6F271-A148-4CC5-ABF7-6697FF4400AB}">
      <formula1>$G$45:$G$46</formula1>
    </dataValidation>
    <dataValidation type="list" allowBlank="1" showInputMessage="1" showErrorMessage="1" sqref="C5" xr:uid="{EF40446A-FD4B-4F6F-9597-FE361A604F1B}">
      <formula1>$G$47:$G$49</formula1>
    </dataValidation>
    <dataValidation type="list" allowBlank="1" showInputMessage="1" showErrorMessage="1" sqref="C6" xr:uid="{CADCC540-DF2B-48A0-909E-27BBEDBDD84F}">
      <formula1>$G$50:$G$51</formula1>
    </dataValidation>
    <dataValidation type="list" allowBlank="1" showInputMessage="1" showErrorMessage="1" sqref="C7" xr:uid="{2C8AFC25-1451-47C2-927E-2F1873E6F4C1}">
      <formula1>$G$61:$G$66</formula1>
    </dataValidation>
    <dataValidation type="list" allowBlank="1" showInputMessage="1" showErrorMessage="1" sqref="C8" xr:uid="{530C2A1D-3012-405B-950A-4677A4C66C82}">
      <formula1>$G$67:$G$72</formula1>
    </dataValidation>
    <dataValidation type="list" allowBlank="1" showInputMessage="1" showErrorMessage="1" sqref="C9" xr:uid="{9C38F7B1-CD1E-42A4-ACE3-FA59E191C799}">
      <formula1>$G$52:$G$53</formula1>
    </dataValidation>
    <dataValidation type="list" allowBlank="1" showInputMessage="1" showErrorMessage="1" sqref="C10" xr:uid="{4BC45111-736F-4E03-9F81-56833F2DC081}">
      <formula1>$G$54:$G$57</formula1>
    </dataValidation>
    <dataValidation type="list" allowBlank="1" showInputMessage="1" showErrorMessage="1" sqref="C11:C12 C15" xr:uid="{3BF2BD44-970E-49BC-9BCB-318E041A56E3}">
      <formula1>$G$58:$G$60</formula1>
    </dataValidation>
    <dataValidation type="list" allowBlank="1" showInputMessage="1" showErrorMessage="1" sqref="C17 C24" xr:uid="{735F24F9-0A0C-459B-B465-53F53CCDA1B0}">
      <formula1>"Yes,No"</formula1>
    </dataValidation>
    <dataValidation type="date" allowBlank="1" showInputMessage="1" showErrorMessage="1" errorTitle="Data Type Error" error="Should be Data" sqref="C19 C26" xr:uid="{6190563D-B1D8-444F-993A-247A29CC779B}">
      <formula1>16438</formula1>
      <formula2>401769</formula2>
    </dataValidation>
    <dataValidation type="list" allowBlank="1" showInputMessage="1" showErrorMessage="1" sqref="C14" xr:uid="{69E9CF2F-E0F7-4873-8874-76B2CD924464}">
      <formula1>"No,Yes"</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theme="7" tint="0.39997558519241921"/>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108</v>
      </c>
    </row>
    <row r="2" spans="1:3" ht="15" x14ac:dyDescent="0.25">
      <c r="B2" t="s">
        <v>109</v>
      </c>
      <c r="C2" s="22" t="s">
        <v>27</v>
      </c>
    </row>
    <row r="3" spans="1:3" ht="15" x14ac:dyDescent="0.25">
      <c r="B3" t="s">
        <v>110</v>
      </c>
      <c r="C3" s="22" t="s">
        <v>27</v>
      </c>
    </row>
    <row r="4" spans="1:3" ht="15" x14ac:dyDescent="0.25">
      <c r="B4" t="s">
        <v>111</v>
      </c>
      <c r="C4" s="29">
        <v>0.2</v>
      </c>
    </row>
    <row r="5" spans="1:3" ht="15" x14ac:dyDescent="0.25"/>
    <row r="6" spans="1:3" ht="15" x14ac:dyDescent="0.25">
      <c r="A6" s="9" t="s">
        <v>113</v>
      </c>
    </row>
    <row r="7" spans="1:3" ht="15" x14ac:dyDescent="0.25">
      <c r="B7" t="s">
        <v>112</v>
      </c>
      <c r="C7" s="22" t="s">
        <v>36</v>
      </c>
    </row>
    <row r="8" spans="1:3" ht="15" x14ac:dyDescent="0.25">
      <c r="B8" t="s">
        <v>115</v>
      </c>
      <c r="C8" s="29">
        <v>0.25</v>
      </c>
    </row>
    <row r="9" spans="1:3" ht="15" x14ac:dyDescent="0.25">
      <c r="B9" t="s">
        <v>114</v>
      </c>
      <c r="C9" s="29">
        <v>0.5</v>
      </c>
    </row>
    <row r="10" spans="1:3" ht="15" x14ac:dyDescent="0.25"/>
    <row r="11" spans="1:3" ht="15" x14ac:dyDescent="0.25">
      <c r="A11" s="9" t="s">
        <v>117</v>
      </c>
    </row>
    <row r="12" spans="1:3" ht="15" x14ac:dyDescent="0.25">
      <c r="B12" t="s">
        <v>119</v>
      </c>
      <c r="C12" s="22" t="s">
        <v>123</v>
      </c>
    </row>
    <row r="13" spans="1:3" ht="15" x14ac:dyDescent="0.25">
      <c r="B13" t="s">
        <v>116</v>
      </c>
      <c r="C13" s="26">
        <v>0</v>
      </c>
    </row>
    <row r="14" spans="1:3" ht="15" x14ac:dyDescent="0.25">
      <c r="B14" t="s">
        <v>118</v>
      </c>
      <c r="C14" s="26">
        <v>0</v>
      </c>
    </row>
    <row r="15" spans="1:3" ht="15" x14ac:dyDescent="0.25"/>
    <row r="16" spans="1:3" ht="15" x14ac:dyDescent="0.25">
      <c r="A16" s="9" t="s">
        <v>120</v>
      </c>
    </row>
    <row r="17" spans="1:3" ht="15" x14ac:dyDescent="0.25">
      <c r="B17" t="s">
        <v>121</v>
      </c>
      <c r="C17" s="26">
        <v>1</v>
      </c>
    </row>
    <row r="18" spans="1:3" ht="15" x14ac:dyDescent="0.25">
      <c r="B18" t="s">
        <v>122</v>
      </c>
      <c r="C18" s="26">
        <v>1</v>
      </c>
    </row>
    <row r="19" spans="1:3" ht="15" x14ac:dyDescent="0.25"/>
    <row r="20" spans="1:3" ht="15" x14ac:dyDescent="0.25">
      <c r="A20" s="9" t="s">
        <v>263</v>
      </c>
    </row>
    <row r="21" spans="1:3" ht="15" x14ac:dyDescent="0.25">
      <c r="B21" t="s">
        <v>262</v>
      </c>
      <c r="C21" s="22" t="s">
        <v>27</v>
      </c>
    </row>
    <row r="22" spans="1:3" ht="15" x14ac:dyDescent="0.25"/>
    <row r="23" spans="1:3" ht="15" x14ac:dyDescent="0.25">
      <c r="A23" s="9" t="s">
        <v>106</v>
      </c>
      <c r="C23" s="24"/>
    </row>
    <row r="24" spans="1:3" ht="15" x14ac:dyDescent="0.25">
      <c r="B24" t="s">
        <v>65</v>
      </c>
      <c r="C24" s="22" t="s">
        <v>27</v>
      </c>
    </row>
    <row r="25" spans="1:3" ht="15" x14ac:dyDescent="0.25">
      <c r="B25" t="s">
        <v>66</v>
      </c>
      <c r="C25" s="22">
        <v>60</v>
      </c>
    </row>
    <row r="26" spans="1:3" ht="15" x14ac:dyDescent="0.25">
      <c r="B26" t="s">
        <v>67</v>
      </c>
      <c r="C26" s="23">
        <v>39448</v>
      </c>
    </row>
    <row r="27" spans="1:3" ht="15" x14ac:dyDescent="0.25">
      <c r="B27" t="s">
        <v>68</v>
      </c>
      <c r="C27" s="29">
        <v>0.25</v>
      </c>
    </row>
    <row r="28" spans="1:3" ht="15" x14ac:dyDescent="0.25">
      <c r="B28" t="s">
        <v>69</v>
      </c>
      <c r="C28" s="29">
        <v>1</v>
      </c>
    </row>
    <row r="29" spans="1:3" ht="15" x14ac:dyDescent="0.25">
      <c r="C29" s="25"/>
    </row>
    <row r="30" spans="1:3" ht="15" hidden="1" x14ac:dyDescent="0.25">
      <c r="A30" s="9" t="s">
        <v>107</v>
      </c>
      <c r="C30" s="24"/>
    </row>
    <row r="31" spans="1:3" ht="15" hidden="1" x14ac:dyDescent="0.25">
      <c r="B31" t="s">
        <v>65</v>
      </c>
      <c r="C31" s="22" t="s">
        <v>27</v>
      </c>
    </row>
    <row r="32" spans="1:3" ht="15" hidden="1" x14ac:dyDescent="0.25">
      <c r="B32" t="s">
        <v>66</v>
      </c>
      <c r="C32" s="22">
        <v>60</v>
      </c>
    </row>
    <row r="33" spans="1:6" ht="15" hidden="1" x14ac:dyDescent="0.25">
      <c r="B33" t="s">
        <v>67</v>
      </c>
      <c r="C33" s="23">
        <v>39448</v>
      </c>
    </row>
    <row r="34" spans="1:6" ht="15" hidden="1" x14ac:dyDescent="0.25">
      <c r="B34" t="s">
        <v>68</v>
      </c>
      <c r="C34" s="29">
        <v>0.25</v>
      </c>
    </row>
    <row r="35" spans="1:6" ht="15" hidden="1" x14ac:dyDescent="0.25">
      <c r="B35" t="s">
        <v>69</v>
      </c>
      <c r="C35" s="29">
        <v>1</v>
      </c>
    </row>
    <row r="36" spans="1:6" ht="15" hidden="1" x14ac:dyDescent="0.25"/>
    <row r="37" spans="1:6" ht="15" hidden="1" x14ac:dyDescent="0.25">
      <c r="A37" s="9" t="s">
        <v>252</v>
      </c>
    </row>
    <row r="38" spans="1:6" ht="14.45" hidden="1" customHeight="1" x14ac:dyDescent="0.25">
      <c r="B38" s="103" t="s">
        <v>253</v>
      </c>
      <c r="C38" s="105" t="s">
        <v>254</v>
      </c>
      <c r="D38" s="99" t="s">
        <v>258</v>
      </c>
      <c r="E38" s="97" t="s">
        <v>259</v>
      </c>
      <c r="F38" s="49"/>
    </row>
    <row r="39" spans="1:6" ht="15" hidden="1" x14ac:dyDescent="0.25">
      <c r="B39" s="104"/>
      <c r="C39" s="106"/>
      <c r="D39" s="100"/>
      <c r="E39" s="98"/>
    </row>
    <row r="40" spans="1:6" ht="15" hidden="1" x14ac:dyDescent="0.25">
      <c r="B40" s="48">
        <v>0</v>
      </c>
      <c r="C40" s="50">
        <v>1</v>
      </c>
      <c r="D40" s="55">
        <v>0.313726</v>
      </c>
      <c r="E40" s="56">
        <v>0.54901999999999995</v>
      </c>
    </row>
    <row r="41" spans="1:6" ht="15" hidden="1" x14ac:dyDescent="0.25">
      <c r="B41" s="48">
        <v>1</v>
      </c>
      <c r="C41" s="53">
        <v>1.2</v>
      </c>
      <c r="D41" s="55">
        <v>0.27450999999999998</v>
      </c>
      <c r="E41" s="56">
        <v>0.50980400000000003</v>
      </c>
    </row>
    <row r="42" spans="1:6" ht="15" hidden="1" x14ac:dyDescent="0.25">
      <c r="A42" s="54"/>
      <c r="B42" s="52">
        <v>1.2</v>
      </c>
      <c r="C42" s="60">
        <v>1.4</v>
      </c>
      <c r="D42" s="61">
        <v>0.235295</v>
      </c>
      <c r="E42" s="56">
        <v>0.47058899999999998</v>
      </c>
    </row>
    <row r="43" spans="1:6" ht="15" hidden="1" x14ac:dyDescent="0.25">
      <c r="A43" s="54"/>
      <c r="B43" s="52">
        <v>1.4</v>
      </c>
      <c r="C43" s="51">
        <v>1.6</v>
      </c>
      <c r="D43" s="56">
        <v>0.196079</v>
      </c>
      <c r="E43" s="56">
        <v>0.43137300000000001</v>
      </c>
    </row>
    <row r="44" spans="1:6" ht="15" hidden="1" x14ac:dyDescent="0.25">
      <c r="B44" s="48">
        <v>1.6</v>
      </c>
      <c r="C44" s="53">
        <v>999</v>
      </c>
      <c r="D44" s="56">
        <v>0.156863</v>
      </c>
      <c r="E44" s="56">
        <v>0.39215699999999998</v>
      </c>
    </row>
    <row r="45" spans="1:6" ht="15" hidden="1" x14ac:dyDescent="0.25">
      <c r="B45" s="48"/>
      <c r="C45" s="53"/>
      <c r="D45" s="59"/>
      <c r="E45" s="59"/>
    </row>
    <row r="46" spans="1:6" ht="15" hidden="1" x14ac:dyDescent="0.25">
      <c r="B46" s="48"/>
      <c r="C46" s="53"/>
      <c r="D46" s="59"/>
      <c r="E46" s="59"/>
    </row>
    <row r="48" spans="1:6" ht="15" hidden="1" x14ac:dyDescent="0.25">
      <c r="A48" s="9" t="s">
        <v>255</v>
      </c>
    </row>
    <row r="49" spans="1:5" ht="14.45" hidden="1" customHeight="1" x14ac:dyDescent="0.25">
      <c r="B49" s="103" t="s">
        <v>256</v>
      </c>
      <c r="C49" s="105" t="s">
        <v>257</v>
      </c>
      <c r="D49" s="99" t="s">
        <v>258</v>
      </c>
      <c r="E49" s="101" t="s">
        <v>259</v>
      </c>
    </row>
    <row r="50" spans="1:5" ht="15" hidden="1" x14ac:dyDescent="0.25">
      <c r="B50" s="104"/>
      <c r="C50" s="106"/>
      <c r="D50" s="100"/>
      <c r="E50" s="102"/>
    </row>
    <row r="51" spans="1:5" ht="15" hidden="1" x14ac:dyDescent="0.25">
      <c r="B51" s="48">
        <v>0</v>
      </c>
      <c r="C51" s="50">
        <v>40</v>
      </c>
      <c r="D51" s="56">
        <v>0.42016806722689098</v>
      </c>
      <c r="E51" s="56">
        <v>0.53571400000000002</v>
      </c>
    </row>
    <row r="52" spans="1:5" ht="15" hidden="1" x14ac:dyDescent="0.25">
      <c r="B52" s="48">
        <v>40</v>
      </c>
      <c r="C52" s="53">
        <v>55</v>
      </c>
      <c r="D52" s="55">
        <v>0.42016806722689098</v>
      </c>
      <c r="E52" s="56">
        <v>0.53571400000000002</v>
      </c>
    </row>
    <row r="53" spans="1:5" ht="15" hidden="1" x14ac:dyDescent="0.25">
      <c r="A53" s="54"/>
      <c r="B53" s="52">
        <v>55</v>
      </c>
      <c r="C53" s="51">
        <v>70</v>
      </c>
      <c r="D53" s="56">
        <v>0.42016806722689098</v>
      </c>
      <c r="E53" s="56">
        <v>0.53571400000000002</v>
      </c>
    </row>
    <row r="54" spans="1:5" ht="15" hidden="1" x14ac:dyDescent="0.25">
      <c r="A54" s="54"/>
      <c r="B54" s="52">
        <v>70</v>
      </c>
      <c r="C54" s="51">
        <v>85</v>
      </c>
      <c r="D54" s="56">
        <v>0.42016806722689098</v>
      </c>
      <c r="E54" s="56">
        <v>0.53571400000000002</v>
      </c>
    </row>
    <row r="55" spans="1:5" ht="15" hidden="1" x14ac:dyDescent="0.25">
      <c r="B55" s="48">
        <v>85</v>
      </c>
      <c r="C55" s="53">
        <v>100</v>
      </c>
      <c r="D55" s="57">
        <v>0.42016806722689098</v>
      </c>
      <c r="E55" s="58">
        <v>0.53571400000000002</v>
      </c>
    </row>
    <row r="56" spans="1:5" ht="15" hidden="1" x14ac:dyDescent="0.25">
      <c r="B56" s="48">
        <v>100</v>
      </c>
      <c r="C56" s="48">
        <v>115</v>
      </c>
      <c r="D56" s="58">
        <v>0.42016806722689098</v>
      </c>
      <c r="E56" s="58">
        <v>0.53571400000000002</v>
      </c>
    </row>
    <row r="57" spans="1:5" ht="15" hidden="1" x14ac:dyDescent="0.25">
      <c r="B57" s="48">
        <v>115</v>
      </c>
      <c r="C57" s="48">
        <v>999</v>
      </c>
      <c r="D57" s="58">
        <v>0.42016806722689098</v>
      </c>
      <c r="E57" s="58">
        <v>0.53571400000000002</v>
      </c>
    </row>
    <row r="58" spans="1:5" ht="15" hidden="1" x14ac:dyDescent="0.25">
      <c r="B58" s="48"/>
      <c r="C58" s="48"/>
      <c r="D58" s="48"/>
      <c r="E58" s="48"/>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theme="7" tint="0.39997558519241921"/>
  </sheetPr>
  <dimension ref="A1:K200"/>
  <sheetViews>
    <sheetView tabSelected="1" workbookViewId="0">
      <selection activeCell="C13" sqref="C13"/>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3" t="s">
        <v>0</v>
      </c>
      <c r="B1" s="73" t="s">
        <v>17</v>
      </c>
      <c r="C1" s="73" t="s">
        <v>18</v>
      </c>
      <c r="D1" s="73" t="s">
        <v>23</v>
      </c>
      <c r="E1" s="73" t="s">
        <v>24</v>
      </c>
      <c r="F1" s="73" t="s">
        <v>25</v>
      </c>
      <c r="G1" s="73" t="s">
        <v>273</v>
      </c>
      <c r="H1" s="73" t="s">
        <v>26</v>
      </c>
      <c r="I1" s="73" t="s">
        <v>277</v>
      </c>
      <c r="J1" s="73" t="s">
        <v>274</v>
      </c>
      <c r="K1" s="73" t="s">
        <v>261</v>
      </c>
    </row>
    <row r="2" spans="1:11" x14ac:dyDescent="0.25">
      <c r="A2" s="25">
        <v>2023</v>
      </c>
      <c r="B2" s="25" t="s">
        <v>316</v>
      </c>
      <c r="C2" s="25">
        <v>100</v>
      </c>
      <c r="D2" s="25">
        <v>2023</v>
      </c>
      <c r="E2" s="25">
        <v>5</v>
      </c>
      <c r="F2" s="25">
        <v>0.5</v>
      </c>
      <c r="G2" s="25">
        <v>0</v>
      </c>
      <c r="H2" s="25"/>
      <c r="I2" s="25"/>
      <c r="J2" s="25"/>
      <c r="K2" s="25"/>
    </row>
    <row r="3" spans="1:11" x14ac:dyDescent="0.25">
      <c r="A3" s="25">
        <v>2023</v>
      </c>
      <c r="B3" s="25" t="s">
        <v>316</v>
      </c>
      <c r="C3" s="25">
        <v>100</v>
      </c>
      <c r="D3" s="25">
        <v>2023</v>
      </c>
      <c r="E3" s="25">
        <v>5</v>
      </c>
      <c r="F3" s="25">
        <v>0.5</v>
      </c>
      <c r="G3" s="25">
        <v>0</v>
      </c>
      <c r="H3" s="25"/>
      <c r="I3" s="25"/>
      <c r="J3" s="25"/>
      <c r="K3" s="25"/>
    </row>
    <row r="4" spans="1:11" x14ac:dyDescent="0.25">
      <c r="A4" s="25">
        <v>2023</v>
      </c>
      <c r="B4" s="25" t="s">
        <v>316</v>
      </c>
      <c r="C4" s="25">
        <v>100</v>
      </c>
      <c r="D4" s="25">
        <v>2023</v>
      </c>
      <c r="E4" s="25">
        <v>5</v>
      </c>
      <c r="F4" s="25">
        <v>0.5</v>
      </c>
      <c r="G4" s="25">
        <v>0</v>
      </c>
      <c r="H4" s="25"/>
      <c r="I4" s="25"/>
      <c r="J4" s="25"/>
      <c r="K4" s="25"/>
    </row>
    <row r="5" spans="1:11" x14ac:dyDescent="0.25">
      <c r="A5" s="25">
        <v>2023</v>
      </c>
      <c r="B5" s="25" t="s">
        <v>316</v>
      </c>
      <c r="C5" s="25">
        <v>100</v>
      </c>
      <c r="D5" s="25">
        <v>2023</v>
      </c>
      <c r="E5" s="25">
        <v>5</v>
      </c>
      <c r="F5" s="25">
        <v>0.5</v>
      </c>
      <c r="G5" s="25">
        <v>0</v>
      </c>
      <c r="H5" s="25"/>
      <c r="I5" s="25"/>
      <c r="J5" s="25"/>
      <c r="K5" s="25"/>
    </row>
    <row r="6" spans="1:11" x14ac:dyDescent="0.25">
      <c r="A6" s="25">
        <v>2023</v>
      </c>
      <c r="B6" s="25" t="s">
        <v>316</v>
      </c>
      <c r="C6" s="25">
        <v>100</v>
      </c>
      <c r="D6" s="25">
        <v>2024</v>
      </c>
      <c r="E6" s="25">
        <v>5</v>
      </c>
      <c r="F6" s="25">
        <v>0.5</v>
      </c>
      <c r="G6" s="25">
        <v>0</v>
      </c>
      <c r="H6" s="25"/>
      <c r="I6" s="25"/>
      <c r="J6" s="25"/>
      <c r="K6" s="25"/>
    </row>
    <row r="7" spans="1:11" x14ac:dyDescent="0.25">
      <c r="A7" s="25">
        <v>2023</v>
      </c>
      <c r="B7" s="25" t="s">
        <v>316</v>
      </c>
      <c r="C7" s="25">
        <v>100</v>
      </c>
      <c r="D7" s="25">
        <v>2024</v>
      </c>
      <c r="E7" s="25">
        <v>5</v>
      </c>
      <c r="F7" s="25">
        <v>0.5</v>
      </c>
      <c r="G7" s="25"/>
      <c r="H7" s="25"/>
      <c r="I7" s="25"/>
      <c r="J7" s="25"/>
      <c r="K7" s="25"/>
    </row>
    <row r="8" spans="1:11" x14ac:dyDescent="0.25">
      <c r="A8" s="25">
        <v>2025</v>
      </c>
      <c r="B8" s="25" t="s">
        <v>317</v>
      </c>
      <c r="C8" s="25">
        <v>100</v>
      </c>
      <c r="D8" s="25">
        <v>2024</v>
      </c>
      <c r="E8" s="25">
        <v>5</v>
      </c>
      <c r="F8" s="25">
        <v>0.5</v>
      </c>
      <c r="G8" s="25">
        <v>0</v>
      </c>
      <c r="H8" s="25"/>
      <c r="I8" s="25"/>
      <c r="J8" s="25"/>
      <c r="K8" s="25"/>
    </row>
    <row r="9" spans="1:11" x14ac:dyDescent="0.25">
      <c r="A9" s="25">
        <v>2025</v>
      </c>
      <c r="B9" s="25" t="s">
        <v>317</v>
      </c>
      <c r="C9" s="25"/>
      <c r="D9" s="25">
        <v>2025</v>
      </c>
      <c r="E9" s="25">
        <v>5</v>
      </c>
      <c r="F9" s="25">
        <v>0.5</v>
      </c>
      <c r="G9" s="25">
        <v>0</v>
      </c>
      <c r="H9" s="25"/>
      <c r="I9" s="25"/>
      <c r="J9" s="25"/>
      <c r="K9" s="25"/>
    </row>
    <row r="10" spans="1:11" x14ac:dyDescent="0.25">
      <c r="A10" s="25">
        <v>2025</v>
      </c>
      <c r="B10" s="25" t="s">
        <v>317</v>
      </c>
      <c r="C10" s="25">
        <v>50</v>
      </c>
      <c r="D10" s="25">
        <v>2025</v>
      </c>
      <c r="E10" s="25">
        <v>5</v>
      </c>
      <c r="F10" s="25">
        <v>0.5</v>
      </c>
      <c r="G10" s="25">
        <v>0</v>
      </c>
      <c r="H10" s="25"/>
      <c r="I10" s="25"/>
      <c r="J10" s="25"/>
      <c r="K10" s="25"/>
    </row>
    <row r="11" spans="1:11" x14ac:dyDescent="0.25">
      <c r="A11" s="25">
        <v>2025</v>
      </c>
      <c r="B11" s="25" t="s">
        <v>317</v>
      </c>
      <c r="C11" s="25">
        <v>50</v>
      </c>
      <c r="D11" s="25">
        <v>2025</v>
      </c>
      <c r="E11" s="25">
        <v>5</v>
      </c>
      <c r="F11" s="25">
        <v>0.5</v>
      </c>
      <c r="G11" s="25">
        <v>0</v>
      </c>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8">
    <dataValidation operator="greaterThan" allowBlank="1" showInputMessage="1" showErrorMessage="1" sqref="C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K1048576" xr:uid="{90321D4F-D54C-4B37-92F0-442E27B3B60D}">
      <formula1>0</formula1>
    </dataValidation>
    <dataValidation type="whole" operator="greaterThan" allowBlank="1" showInputMessage="1" showErrorMessage="1" errorTitle="Data Type Error" error="The PPN portion should be in Integer or Float not String" sqref="I2: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theme="7" tint="0.39997558519241921"/>
  </sheetPr>
  <dimension ref="A1:F200"/>
  <sheetViews>
    <sheetView workbookViewId="0"/>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3" t="s">
        <v>0</v>
      </c>
      <c r="B1" s="73" t="s">
        <v>17</v>
      </c>
      <c r="C1" s="73" t="s">
        <v>18</v>
      </c>
      <c r="D1" s="73" t="s">
        <v>277</v>
      </c>
      <c r="E1" s="73" t="s">
        <v>274</v>
      </c>
      <c r="F1" s="73" t="s">
        <v>261</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6">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E1048576" xr:uid="{CE30951F-4309-49AB-8E09-C199EE825507}">
      <formula1>0</formula1>
    </dataValidation>
    <dataValidation type="whole" operator="greaterThan" allowBlank="1" showInputMessage="1" showErrorMessage="1" errorTitle="Data Type Error" error="The PDRI Portion should be in Integer or Float not String" sqref="F2:F1048576" xr:uid="{8C1BE538-9828-497F-8974-1EF45DE2C5A2}">
      <formula1>0</formula1>
    </dataValidation>
    <dataValidation allowBlank="1" showInputMessage="1" showErrorMessage="1" errorTitle="Cost Category Error" error="Please check the category of the cost" sqref="A1:F1" xr:uid="{587C7E7A-7A6A-4E2D-9238-1BEE1547036A}"/>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theme="7" tint="0.39997558519241921"/>
  </sheetPr>
  <dimension ref="A1:H200"/>
  <sheetViews>
    <sheetView workbookViewId="0">
      <selection activeCell="D14" sqref="D14"/>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3" t="s">
        <v>0</v>
      </c>
      <c r="B1" s="73" t="s">
        <v>17</v>
      </c>
      <c r="C1" s="73" t="s">
        <v>278</v>
      </c>
      <c r="D1" s="73" t="s">
        <v>279</v>
      </c>
      <c r="E1" s="73" t="s">
        <v>280</v>
      </c>
      <c r="F1" s="73" t="s">
        <v>277</v>
      </c>
      <c r="G1" s="73" t="s">
        <v>274</v>
      </c>
      <c r="H1" s="73" t="s">
        <v>261</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5">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H1048576" xr:uid="{571F39CA-2596-4703-8FE7-ECBA82C1DAC5}">
      <formula1>0</formula1>
    </dataValidation>
    <dataValidation operator="greaterThan" allowBlank="1" showInputMessage="1" showErrorMessage="1" sqref="C2:E1048576" xr:uid="{57D8EB5D-3412-4A1B-A503-E277B73E46EB}"/>
    <dataValidation type="whole" operator="greaterThan" allowBlank="1" showInputMessage="1" showErrorMessage="1" errorTitle="Data Type Error" error="The PPN portion should be in Integer or Float not String" sqref="F2:G2 G3 F4:G1048576" xr:uid="{D6BAAAA3-7123-4C72-8EA7-916A96E65F47}">
      <formula1>0</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theme="7" tint="0.39997558519241921"/>
  </sheetPr>
  <dimension ref="A1:E200"/>
  <sheetViews>
    <sheetView workbookViewId="0">
      <selection activeCell="D3" sqref="D3"/>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3.85546875" bestFit="1" customWidth="1"/>
    <col min="6" max="16384" width="8.85546875" hidden="1"/>
  </cols>
  <sheetData>
    <row r="1" spans="1:5" s="65" customFormat="1" x14ac:dyDescent="0.25">
      <c r="A1" s="73" t="s">
        <v>0</v>
      </c>
      <c r="B1" s="73" t="s">
        <v>17</v>
      </c>
      <c r="C1" s="73" t="s">
        <v>18</v>
      </c>
      <c r="D1" s="73" t="s">
        <v>22</v>
      </c>
      <c r="E1" s="73" t="s">
        <v>261</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row r="51" spans="1:5" x14ac:dyDescent="0.25">
      <c r="A51" s="25"/>
      <c r="B51" s="25"/>
      <c r="C51" s="25"/>
      <c r="D51" s="25"/>
      <c r="E51" s="25"/>
    </row>
    <row r="52" spans="1:5" x14ac:dyDescent="0.25">
      <c r="A52" s="25"/>
      <c r="B52" s="25"/>
      <c r="C52" s="25"/>
      <c r="D52" s="25"/>
      <c r="E52" s="25"/>
    </row>
    <row r="53" spans="1:5" x14ac:dyDescent="0.25">
      <c r="A53" s="25"/>
      <c r="B53" s="25"/>
      <c r="C53" s="25"/>
      <c r="D53" s="25"/>
      <c r="E53" s="25"/>
    </row>
    <row r="54" spans="1:5" x14ac:dyDescent="0.25">
      <c r="A54" s="25"/>
      <c r="B54" s="25"/>
      <c r="C54" s="25"/>
      <c r="D54" s="25"/>
      <c r="E54" s="25"/>
    </row>
    <row r="55" spans="1:5" x14ac:dyDescent="0.25">
      <c r="A55" s="25"/>
      <c r="B55" s="25"/>
      <c r="C55" s="25"/>
      <c r="D55" s="25"/>
      <c r="E55" s="25"/>
    </row>
    <row r="56" spans="1:5" x14ac:dyDescent="0.25">
      <c r="A56" s="25"/>
      <c r="B56" s="25"/>
      <c r="C56" s="25"/>
      <c r="D56" s="25"/>
      <c r="E56" s="25"/>
    </row>
    <row r="57" spans="1:5" x14ac:dyDescent="0.25">
      <c r="A57" s="25"/>
      <c r="B57" s="25"/>
      <c r="C57" s="25"/>
      <c r="D57" s="25"/>
      <c r="E57" s="25"/>
    </row>
    <row r="58" spans="1:5" x14ac:dyDescent="0.25">
      <c r="A58" s="25"/>
      <c r="B58" s="25"/>
      <c r="C58" s="25"/>
      <c r="D58" s="25"/>
      <c r="E58" s="25"/>
    </row>
    <row r="59" spans="1:5" x14ac:dyDescent="0.25">
      <c r="A59" s="25"/>
      <c r="B59" s="25"/>
      <c r="C59" s="25"/>
      <c r="D59" s="25"/>
      <c r="E59" s="25"/>
    </row>
    <row r="60" spans="1:5" x14ac:dyDescent="0.25">
      <c r="A60" s="25"/>
      <c r="B60" s="25"/>
      <c r="C60" s="25"/>
      <c r="D60" s="25"/>
      <c r="E60" s="25"/>
    </row>
    <row r="61" spans="1:5" x14ac:dyDescent="0.25">
      <c r="A61" s="25"/>
      <c r="B61" s="25"/>
      <c r="C61" s="25"/>
      <c r="D61" s="25"/>
      <c r="E61" s="25"/>
    </row>
    <row r="62" spans="1:5" x14ac:dyDescent="0.25">
      <c r="A62" s="25"/>
      <c r="B62" s="25"/>
      <c r="C62" s="25"/>
      <c r="D62" s="25"/>
      <c r="E62" s="25"/>
    </row>
    <row r="63" spans="1:5" x14ac:dyDescent="0.25">
      <c r="A63" s="25"/>
      <c r="B63" s="25"/>
      <c r="C63" s="25"/>
      <c r="D63" s="25"/>
      <c r="E63" s="25"/>
    </row>
    <row r="64" spans="1:5" x14ac:dyDescent="0.25">
      <c r="A64" s="25"/>
      <c r="B64" s="25"/>
      <c r="C64" s="25"/>
      <c r="D64" s="25"/>
      <c r="E64" s="25"/>
    </row>
    <row r="65" spans="1:5" x14ac:dyDescent="0.25">
      <c r="A65" s="25"/>
      <c r="B65" s="25"/>
      <c r="C65" s="25"/>
      <c r="D65" s="25"/>
      <c r="E65" s="25"/>
    </row>
    <row r="66" spans="1:5" x14ac:dyDescent="0.25">
      <c r="A66" s="25"/>
      <c r="B66" s="25"/>
      <c r="C66" s="25"/>
      <c r="D66" s="25"/>
      <c r="E66" s="25"/>
    </row>
    <row r="67" spans="1:5" x14ac:dyDescent="0.25">
      <c r="A67" s="25"/>
      <c r="B67" s="25"/>
      <c r="C67" s="25"/>
      <c r="D67" s="25"/>
      <c r="E67" s="25"/>
    </row>
    <row r="68" spans="1:5" x14ac:dyDescent="0.25">
      <c r="A68" s="25"/>
      <c r="B68" s="25"/>
      <c r="C68" s="25"/>
      <c r="D68" s="25"/>
      <c r="E68" s="25"/>
    </row>
    <row r="69" spans="1:5" x14ac:dyDescent="0.25">
      <c r="A69" s="25"/>
      <c r="B69" s="25"/>
      <c r="C69" s="25"/>
      <c r="D69" s="25"/>
      <c r="E69" s="25"/>
    </row>
    <row r="70" spans="1:5" x14ac:dyDescent="0.25">
      <c r="A70" s="25"/>
      <c r="B70" s="25"/>
      <c r="C70" s="25"/>
      <c r="D70" s="25"/>
      <c r="E70" s="25"/>
    </row>
    <row r="71" spans="1:5" x14ac:dyDescent="0.25">
      <c r="A71" s="25"/>
      <c r="B71" s="25"/>
      <c r="C71" s="25"/>
      <c r="D71" s="25"/>
      <c r="E71" s="25"/>
    </row>
    <row r="72" spans="1:5" x14ac:dyDescent="0.25">
      <c r="A72" s="25"/>
      <c r="B72" s="25"/>
      <c r="C72" s="25"/>
      <c r="D72" s="25"/>
      <c r="E72" s="25"/>
    </row>
    <row r="73" spans="1:5" x14ac:dyDescent="0.25">
      <c r="A73" s="25"/>
      <c r="B73" s="25"/>
      <c r="C73" s="25"/>
      <c r="D73" s="25"/>
      <c r="E73" s="25"/>
    </row>
    <row r="74" spans="1:5" x14ac:dyDescent="0.25">
      <c r="A74" s="25"/>
      <c r="B74" s="25"/>
      <c r="C74" s="25"/>
      <c r="D74" s="25"/>
      <c r="E74" s="25"/>
    </row>
    <row r="75" spans="1:5" x14ac:dyDescent="0.25">
      <c r="A75" s="25"/>
      <c r="B75" s="25"/>
      <c r="C75" s="25"/>
      <c r="D75" s="25"/>
      <c r="E75" s="25"/>
    </row>
    <row r="76" spans="1:5" x14ac:dyDescent="0.25">
      <c r="A76" s="25"/>
      <c r="B76" s="25"/>
      <c r="C76" s="25"/>
      <c r="D76" s="25"/>
      <c r="E76" s="25"/>
    </row>
    <row r="77" spans="1:5" x14ac:dyDescent="0.25">
      <c r="A77" s="25"/>
      <c r="B77" s="25"/>
      <c r="C77" s="25"/>
      <c r="D77" s="25"/>
      <c r="E77" s="25"/>
    </row>
    <row r="78" spans="1:5" x14ac:dyDescent="0.25">
      <c r="A78" s="25"/>
      <c r="B78" s="25"/>
      <c r="C78" s="25"/>
      <c r="D78" s="25"/>
      <c r="E78" s="25"/>
    </row>
    <row r="79" spans="1:5" x14ac:dyDescent="0.25">
      <c r="A79" s="25"/>
      <c r="B79" s="25"/>
      <c r="C79" s="25"/>
      <c r="D79" s="25"/>
      <c r="E79" s="25"/>
    </row>
    <row r="80" spans="1:5" x14ac:dyDescent="0.25">
      <c r="A80" s="25"/>
      <c r="B80" s="25"/>
      <c r="C80" s="25"/>
      <c r="D80" s="25"/>
      <c r="E80" s="25"/>
    </row>
    <row r="81" spans="1:5" x14ac:dyDescent="0.25">
      <c r="A81" s="25"/>
      <c r="B81" s="25"/>
      <c r="C81" s="25"/>
      <c r="D81" s="25"/>
      <c r="E81" s="25"/>
    </row>
    <row r="82" spans="1:5" x14ac:dyDescent="0.25">
      <c r="A82" s="25"/>
      <c r="B82" s="25"/>
      <c r="C82" s="25"/>
      <c r="D82" s="25"/>
      <c r="E82" s="25"/>
    </row>
    <row r="83" spans="1:5" x14ac:dyDescent="0.25">
      <c r="A83" s="25"/>
      <c r="B83" s="25"/>
      <c r="C83" s="25"/>
      <c r="D83" s="25"/>
      <c r="E83" s="25"/>
    </row>
    <row r="84" spans="1:5" x14ac:dyDescent="0.25">
      <c r="A84" s="25"/>
      <c r="B84" s="25"/>
      <c r="C84" s="25"/>
      <c r="D84" s="25"/>
      <c r="E84" s="25"/>
    </row>
    <row r="85" spans="1:5" x14ac:dyDescent="0.25">
      <c r="A85" s="25"/>
      <c r="B85" s="25"/>
      <c r="C85" s="25"/>
      <c r="D85" s="25"/>
      <c r="E85" s="25"/>
    </row>
    <row r="86" spans="1:5" x14ac:dyDescent="0.25">
      <c r="A86" s="25"/>
      <c r="B86" s="25"/>
      <c r="C86" s="25"/>
      <c r="D86" s="25"/>
      <c r="E86" s="25"/>
    </row>
    <row r="87" spans="1:5" x14ac:dyDescent="0.25">
      <c r="A87" s="25"/>
      <c r="B87" s="25"/>
      <c r="C87" s="25"/>
      <c r="D87" s="25"/>
      <c r="E87" s="25"/>
    </row>
    <row r="88" spans="1:5" x14ac:dyDescent="0.25">
      <c r="A88" s="25"/>
      <c r="B88" s="25"/>
      <c r="C88" s="25"/>
      <c r="D88" s="25"/>
      <c r="E88" s="25"/>
    </row>
    <row r="89" spans="1:5" x14ac:dyDescent="0.25">
      <c r="A89" s="25"/>
      <c r="B89" s="25"/>
      <c r="C89" s="25"/>
      <c r="D89" s="25"/>
      <c r="E89" s="25"/>
    </row>
    <row r="90" spans="1:5" x14ac:dyDescent="0.25">
      <c r="A90" s="25"/>
      <c r="B90" s="25"/>
      <c r="C90" s="25"/>
      <c r="D90" s="25"/>
      <c r="E90" s="25"/>
    </row>
    <row r="91" spans="1:5" x14ac:dyDescent="0.25">
      <c r="A91" s="25"/>
      <c r="B91" s="25"/>
      <c r="C91" s="25"/>
      <c r="D91" s="25"/>
      <c r="E91" s="25"/>
    </row>
    <row r="92" spans="1:5" x14ac:dyDescent="0.25">
      <c r="A92" s="25"/>
      <c r="B92" s="25"/>
      <c r="C92" s="25"/>
      <c r="D92" s="25"/>
      <c r="E92" s="25"/>
    </row>
    <row r="93" spans="1:5" x14ac:dyDescent="0.25">
      <c r="A93" s="25"/>
      <c r="B93" s="25"/>
      <c r="C93" s="25"/>
      <c r="D93" s="25"/>
      <c r="E93" s="25"/>
    </row>
    <row r="94" spans="1:5" x14ac:dyDescent="0.25">
      <c r="A94" s="25"/>
      <c r="B94" s="25"/>
      <c r="C94" s="25"/>
      <c r="D94" s="25"/>
      <c r="E94" s="25"/>
    </row>
    <row r="95" spans="1:5" x14ac:dyDescent="0.25">
      <c r="A95" s="25"/>
      <c r="B95" s="25"/>
      <c r="C95" s="25"/>
      <c r="D95" s="25"/>
      <c r="E95" s="25"/>
    </row>
    <row r="96" spans="1:5" x14ac:dyDescent="0.25">
      <c r="A96" s="25"/>
      <c r="B96" s="25"/>
      <c r="C96" s="25"/>
      <c r="D96" s="25"/>
      <c r="E96" s="25"/>
    </row>
    <row r="97" spans="1:5" x14ac:dyDescent="0.25">
      <c r="A97" s="25"/>
      <c r="B97" s="25"/>
      <c r="C97" s="25"/>
      <c r="D97" s="25"/>
      <c r="E97" s="25"/>
    </row>
    <row r="98" spans="1:5" x14ac:dyDescent="0.25">
      <c r="A98" s="25"/>
      <c r="B98" s="25"/>
      <c r="C98" s="25"/>
      <c r="D98" s="25"/>
      <c r="E98" s="25"/>
    </row>
    <row r="99" spans="1:5" x14ac:dyDescent="0.25">
      <c r="A99" s="25"/>
      <c r="B99" s="25"/>
      <c r="C99" s="25"/>
      <c r="D99" s="25"/>
      <c r="E99" s="25"/>
    </row>
    <row r="100" spans="1:5" x14ac:dyDescent="0.25">
      <c r="A100" s="25"/>
      <c r="B100" s="25"/>
      <c r="C100" s="25"/>
      <c r="D100" s="25"/>
      <c r="E100" s="25"/>
    </row>
    <row r="101" spans="1:5" x14ac:dyDescent="0.25">
      <c r="A101" s="25"/>
      <c r="B101" s="25"/>
      <c r="C101" s="25"/>
      <c r="D101" s="25"/>
      <c r="E101" s="25"/>
    </row>
    <row r="102" spans="1:5" x14ac:dyDescent="0.25">
      <c r="A102" s="25"/>
      <c r="B102" s="25"/>
      <c r="C102" s="25"/>
      <c r="D102" s="25"/>
      <c r="E102" s="25"/>
    </row>
    <row r="103" spans="1:5" x14ac:dyDescent="0.25">
      <c r="A103" s="25"/>
      <c r="B103" s="25"/>
      <c r="C103" s="25"/>
      <c r="D103" s="25"/>
      <c r="E103" s="25"/>
    </row>
    <row r="104" spans="1:5" x14ac:dyDescent="0.25">
      <c r="A104" s="25"/>
      <c r="B104" s="25"/>
      <c r="C104" s="25"/>
      <c r="D104" s="25"/>
      <c r="E104" s="25"/>
    </row>
    <row r="105" spans="1:5" x14ac:dyDescent="0.25">
      <c r="A105" s="25"/>
      <c r="B105" s="25"/>
      <c r="C105" s="25"/>
      <c r="D105" s="25"/>
      <c r="E105" s="25"/>
    </row>
    <row r="106" spans="1:5" x14ac:dyDescent="0.25">
      <c r="A106" s="25"/>
      <c r="B106" s="25"/>
      <c r="C106" s="25"/>
      <c r="D106" s="25"/>
      <c r="E106" s="25"/>
    </row>
    <row r="107" spans="1:5" x14ac:dyDescent="0.25">
      <c r="A107" s="25"/>
      <c r="B107" s="25"/>
      <c r="C107" s="25"/>
      <c r="D107" s="25"/>
      <c r="E107" s="25"/>
    </row>
    <row r="108" spans="1:5" x14ac:dyDescent="0.25">
      <c r="A108" s="25"/>
      <c r="B108" s="25"/>
      <c r="C108" s="25"/>
      <c r="D108" s="25"/>
      <c r="E108" s="25"/>
    </row>
    <row r="109" spans="1:5" x14ac:dyDescent="0.25">
      <c r="A109" s="25"/>
      <c r="B109" s="25"/>
      <c r="C109" s="25"/>
      <c r="D109" s="25"/>
      <c r="E109" s="25"/>
    </row>
    <row r="110" spans="1:5" x14ac:dyDescent="0.25">
      <c r="A110" s="25"/>
      <c r="B110" s="25"/>
      <c r="C110" s="25"/>
      <c r="D110" s="25"/>
      <c r="E110" s="25"/>
    </row>
    <row r="111" spans="1:5" x14ac:dyDescent="0.25">
      <c r="A111" s="25"/>
      <c r="B111" s="25"/>
      <c r="C111" s="25"/>
      <c r="D111" s="25"/>
      <c r="E111" s="25"/>
    </row>
    <row r="112" spans="1:5" x14ac:dyDescent="0.25">
      <c r="A112" s="25"/>
      <c r="B112" s="25"/>
      <c r="C112" s="25"/>
      <c r="D112" s="25"/>
      <c r="E112" s="25"/>
    </row>
    <row r="113" spans="1:5" x14ac:dyDescent="0.25">
      <c r="A113" s="25"/>
      <c r="B113" s="25"/>
      <c r="C113" s="25"/>
      <c r="D113" s="25"/>
      <c r="E113" s="25"/>
    </row>
    <row r="114" spans="1:5" x14ac:dyDescent="0.25">
      <c r="A114" s="25"/>
      <c r="B114" s="25"/>
      <c r="C114" s="25"/>
      <c r="D114" s="25"/>
      <c r="E114" s="25"/>
    </row>
    <row r="115" spans="1:5" x14ac:dyDescent="0.25">
      <c r="A115" s="25"/>
      <c r="B115" s="25"/>
      <c r="C115" s="25"/>
      <c r="D115" s="25"/>
      <c r="E115" s="25"/>
    </row>
    <row r="116" spans="1:5" x14ac:dyDescent="0.25">
      <c r="A116" s="25"/>
      <c r="B116" s="25"/>
      <c r="C116" s="25"/>
      <c r="D116" s="25"/>
      <c r="E116" s="25"/>
    </row>
    <row r="117" spans="1:5" x14ac:dyDescent="0.25">
      <c r="A117" s="25"/>
      <c r="B117" s="25"/>
      <c r="C117" s="25"/>
      <c r="D117" s="25"/>
      <c r="E117" s="25"/>
    </row>
    <row r="118" spans="1:5" x14ac:dyDescent="0.25">
      <c r="A118" s="25"/>
      <c r="B118" s="25"/>
      <c r="C118" s="25"/>
      <c r="D118" s="25"/>
      <c r="E118" s="25"/>
    </row>
    <row r="119" spans="1:5" x14ac:dyDescent="0.25">
      <c r="A119" s="25"/>
      <c r="B119" s="25"/>
      <c r="C119" s="25"/>
      <c r="D119" s="25"/>
      <c r="E119" s="25"/>
    </row>
    <row r="120" spans="1:5" x14ac:dyDescent="0.25">
      <c r="A120" s="25"/>
      <c r="B120" s="25"/>
      <c r="C120" s="25"/>
      <c r="D120" s="25"/>
      <c r="E120" s="25"/>
    </row>
    <row r="121" spans="1:5" x14ac:dyDescent="0.25">
      <c r="A121" s="25"/>
      <c r="B121" s="25"/>
      <c r="C121" s="25"/>
      <c r="D121" s="25"/>
      <c r="E121" s="25"/>
    </row>
    <row r="122" spans="1:5" x14ac:dyDescent="0.25">
      <c r="A122" s="25"/>
      <c r="B122" s="25"/>
      <c r="C122" s="25"/>
      <c r="D122" s="25"/>
      <c r="E122" s="25"/>
    </row>
    <row r="123" spans="1:5" x14ac:dyDescent="0.25">
      <c r="A123" s="25"/>
      <c r="B123" s="25"/>
      <c r="C123" s="25"/>
      <c r="D123" s="25"/>
      <c r="E123" s="25"/>
    </row>
    <row r="124" spans="1:5" x14ac:dyDescent="0.25">
      <c r="A124" s="25"/>
      <c r="B124" s="25"/>
      <c r="C124" s="25"/>
      <c r="D124" s="25"/>
      <c r="E124" s="25"/>
    </row>
    <row r="125" spans="1:5" x14ac:dyDescent="0.25">
      <c r="A125" s="25"/>
      <c r="B125" s="25"/>
      <c r="C125" s="25"/>
      <c r="D125" s="25"/>
      <c r="E125" s="25"/>
    </row>
    <row r="126" spans="1:5" x14ac:dyDescent="0.25">
      <c r="A126" s="25"/>
      <c r="B126" s="25"/>
      <c r="C126" s="25"/>
      <c r="D126" s="25"/>
      <c r="E126" s="25"/>
    </row>
    <row r="127" spans="1:5" x14ac:dyDescent="0.25">
      <c r="A127" s="25"/>
      <c r="B127" s="25"/>
      <c r="C127" s="25"/>
      <c r="D127" s="25"/>
      <c r="E127" s="25"/>
    </row>
    <row r="128" spans="1:5" x14ac:dyDescent="0.25">
      <c r="A128" s="25"/>
      <c r="B128" s="25"/>
      <c r="C128" s="25"/>
      <c r="D128" s="25"/>
      <c r="E128" s="25"/>
    </row>
    <row r="129" spans="1:5" x14ac:dyDescent="0.25">
      <c r="A129" s="25"/>
      <c r="B129" s="25"/>
      <c r="C129" s="25"/>
      <c r="D129" s="25"/>
      <c r="E129" s="25"/>
    </row>
    <row r="130" spans="1:5" x14ac:dyDescent="0.25">
      <c r="A130" s="25"/>
      <c r="B130" s="25"/>
      <c r="C130" s="25"/>
      <c r="D130" s="25"/>
      <c r="E130" s="25"/>
    </row>
    <row r="131" spans="1:5" x14ac:dyDescent="0.25">
      <c r="A131" s="25"/>
      <c r="B131" s="25"/>
      <c r="C131" s="25"/>
      <c r="D131" s="25"/>
      <c r="E131" s="25"/>
    </row>
    <row r="132" spans="1:5" x14ac:dyDescent="0.25">
      <c r="A132" s="25"/>
      <c r="B132" s="25"/>
      <c r="C132" s="25"/>
      <c r="D132" s="25"/>
      <c r="E132" s="25"/>
    </row>
    <row r="133" spans="1:5" x14ac:dyDescent="0.25">
      <c r="A133" s="25"/>
      <c r="B133" s="25"/>
      <c r="C133" s="25"/>
      <c r="D133" s="25"/>
      <c r="E133" s="25"/>
    </row>
    <row r="134" spans="1:5" x14ac:dyDescent="0.25">
      <c r="A134" s="25"/>
      <c r="B134" s="25"/>
      <c r="C134" s="25"/>
      <c r="D134" s="25"/>
      <c r="E134" s="25"/>
    </row>
    <row r="135" spans="1:5" x14ac:dyDescent="0.25">
      <c r="A135" s="25"/>
      <c r="B135" s="25"/>
      <c r="C135" s="25"/>
      <c r="D135" s="25"/>
      <c r="E135" s="25"/>
    </row>
    <row r="136" spans="1:5" x14ac:dyDescent="0.25">
      <c r="A136" s="25"/>
      <c r="B136" s="25"/>
      <c r="C136" s="25"/>
      <c r="D136" s="25"/>
      <c r="E136" s="25"/>
    </row>
    <row r="137" spans="1:5" x14ac:dyDescent="0.25">
      <c r="A137" s="25"/>
      <c r="B137" s="25"/>
      <c r="C137" s="25"/>
      <c r="D137" s="25"/>
      <c r="E137" s="25"/>
    </row>
    <row r="138" spans="1:5" x14ac:dyDescent="0.25">
      <c r="A138" s="25"/>
      <c r="B138" s="25"/>
      <c r="C138" s="25"/>
      <c r="D138" s="25"/>
      <c r="E138" s="25"/>
    </row>
    <row r="139" spans="1:5" x14ac:dyDescent="0.25">
      <c r="A139" s="25"/>
      <c r="B139" s="25"/>
      <c r="C139" s="25"/>
      <c r="D139" s="25"/>
      <c r="E139" s="25"/>
    </row>
    <row r="140" spans="1:5" x14ac:dyDescent="0.25">
      <c r="A140" s="25"/>
      <c r="B140" s="25"/>
      <c r="C140" s="25"/>
      <c r="D140" s="25"/>
      <c r="E140" s="25"/>
    </row>
    <row r="141" spans="1:5" x14ac:dyDescent="0.25">
      <c r="A141" s="25"/>
      <c r="B141" s="25"/>
      <c r="C141" s="25"/>
      <c r="D141" s="25"/>
      <c r="E141" s="25"/>
    </row>
    <row r="142" spans="1:5" x14ac:dyDescent="0.25">
      <c r="A142" s="25"/>
      <c r="B142" s="25"/>
      <c r="C142" s="25"/>
      <c r="D142" s="25"/>
      <c r="E142" s="25"/>
    </row>
    <row r="143" spans="1:5" x14ac:dyDescent="0.25">
      <c r="A143" s="25"/>
      <c r="B143" s="25"/>
      <c r="C143" s="25"/>
      <c r="D143" s="25"/>
      <c r="E143" s="25"/>
    </row>
    <row r="144" spans="1:5" x14ac:dyDescent="0.25">
      <c r="A144" s="25"/>
      <c r="B144" s="25"/>
      <c r="C144" s="25"/>
      <c r="D144" s="25"/>
      <c r="E144" s="25"/>
    </row>
    <row r="145" spans="1:5" x14ac:dyDescent="0.25">
      <c r="A145" s="25"/>
      <c r="B145" s="25"/>
      <c r="C145" s="25"/>
      <c r="D145" s="25"/>
      <c r="E145" s="25"/>
    </row>
    <row r="146" spans="1:5" x14ac:dyDescent="0.25">
      <c r="A146" s="25"/>
      <c r="B146" s="25"/>
      <c r="C146" s="25"/>
      <c r="D146" s="25"/>
      <c r="E146" s="25"/>
    </row>
    <row r="147" spans="1:5" x14ac:dyDescent="0.25">
      <c r="A147" s="25"/>
      <c r="B147" s="25"/>
      <c r="C147" s="25"/>
      <c r="D147" s="25"/>
      <c r="E147" s="25"/>
    </row>
    <row r="148" spans="1:5" x14ac:dyDescent="0.25">
      <c r="A148" s="25"/>
      <c r="B148" s="25"/>
      <c r="C148" s="25"/>
      <c r="D148" s="25"/>
      <c r="E148" s="25"/>
    </row>
    <row r="149" spans="1:5" x14ac:dyDescent="0.25">
      <c r="A149" s="25"/>
      <c r="B149" s="25"/>
      <c r="C149" s="25"/>
      <c r="D149" s="25"/>
      <c r="E149" s="25"/>
    </row>
    <row r="150" spans="1:5" x14ac:dyDescent="0.25">
      <c r="A150" s="25"/>
      <c r="B150" s="25"/>
      <c r="C150" s="25"/>
      <c r="D150" s="25"/>
      <c r="E150" s="25"/>
    </row>
    <row r="151" spans="1:5" x14ac:dyDescent="0.25">
      <c r="A151" s="25"/>
      <c r="B151" s="25"/>
      <c r="C151" s="25"/>
      <c r="D151" s="25"/>
      <c r="E151" s="25"/>
    </row>
    <row r="152" spans="1:5" x14ac:dyDescent="0.25">
      <c r="A152" s="25"/>
      <c r="B152" s="25"/>
      <c r="C152" s="25"/>
      <c r="D152" s="25"/>
      <c r="E152" s="25"/>
    </row>
    <row r="153" spans="1:5" x14ac:dyDescent="0.25">
      <c r="A153" s="25"/>
      <c r="B153" s="25"/>
      <c r="C153" s="25"/>
      <c r="D153" s="25"/>
      <c r="E153" s="25"/>
    </row>
    <row r="154" spans="1:5" x14ac:dyDescent="0.25">
      <c r="A154" s="25"/>
      <c r="B154" s="25"/>
      <c r="C154" s="25"/>
      <c r="D154" s="25"/>
      <c r="E154" s="25"/>
    </row>
    <row r="155" spans="1:5" x14ac:dyDescent="0.25">
      <c r="A155" s="25"/>
      <c r="B155" s="25"/>
      <c r="C155" s="25"/>
      <c r="D155" s="25"/>
      <c r="E155" s="25"/>
    </row>
    <row r="156" spans="1:5" x14ac:dyDescent="0.25">
      <c r="A156" s="25"/>
      <c r="B156" s="25"/>
      <c r="C156" s="25"/>
      <c r="D156" s="25"/>
      <c r="E156" s="25"/>
    </row>
    <row r="157" spans="1:5" x14ac:dyDescent="0.25">
      <c r="A157" s="25"/>
      <c r="B157" s="25"/>
      <c r="C157" s="25"/>
      <c r="D157" s="25"/>
      <c r="E157" s="25"/>
    </row>
    <row r="158" spans="1:5" x14ac:dyDescent="0.25">
      <c r="A158" s="25"/>
      <c r="B158" s="25"/>
      <c r="C158" s="25"/>
      <c r="D158" s="25"/>
      <c r="E158" s="25"/>
    </row>
    <row r="159" spans="1:5" x14ac:dyDescent="0.25">
      <c r="A159" s="25"/>
      <c r="B159" s="25"/>
      <c r="C159" s="25"/>
      <c r="D159" s="25"/>
      <c r="E159" s="25"/>
    </row>
    <row r="160" spans="1:5" x14ac:dyDescent="0.25">
      <c r="A160" s="25"/>
      <c r="B160" s="25"/>
      <c r="C160" s="25"/>
      <c r="D160" s="25"/>
      <c r="E160" s="25"/>
    </row>
    <row r="161" spans="1:5" x14ac:dyDescent="0.25">
      <c r="A161" s="25"/>
      <c r="B161" s="25"/>
      <c r="C161" s="25"/>
      <c r="D161" s="25"/>
      <c r="E161" s="25"/>
    </row>
    <row r="162" spans="1:5" x14ac:dyDescent="0.25">
      <c r="A162" s="25"/>
      <c r="B162" s="25"/>
      <c r="C162" s="25"/>
      <c r="D162" s="25"/>
      <c r="E162" s="25"/>
    </row>
    <row r="163" spans="1:5" x14ac:dyDescent="0.25">
      <c r="A163" s="25"/>
      <c r="B163" s="25"/>
      <c r="C163" s="25"/>
      <c r="D163" s="25"/>
      <c r="E163" s="25"/>
    </row>
    <row r="164" spans="1:5" x14ac:dyDescent="0.25">
      <c r="A164" s="25"/>
      <c r="B164" s="25"/>
      <c r="C164" s="25"/>
      <c r="D164" s="25"/>
      <c r="E164" s="25"/>
    </row>
    <row r="165" spans="1:5" x14ac:dyDescent="0.25">
      <c r="A165" s="25"/>
      <c r="B165" s="25"/>
      <c r="C165" s="25"/>
      <c r="D165" s="25"/>
      <c r="E165" s="25"/>
    </row>
    <row r="166" spans="1:5" x14ac:dyDescent="0.25">
      <c r="A166" s="25"/>
      <c r="B166" s="25"/>
      <c r="C166" s="25"/>
      <c r="D166" s="25"/>
      <c r="E166" s="25"/>
    </row>
    <row r="167" spans="1:5" x14ac:dyDescent="0.25">
      <c r="A167" s="25"/>
      <c r="B167" s="25"/>
      <c r="C167" s="25"/>
      <c r="D167" s="25"/>
      <c r="E167" s="25"/>
    </row>
    <row r="168" spans="1:5" x14ac:dyDescent="0.25">
      <c r="A168" s="25"/>
      <c r="B168" s="25"/>
      <c r="C168" s="25"/>
      <c r="D168" s="25"/>
      <c r="E168" s="25"/>
    </row>
    <row r="169" spans="1:5" x14ac:dyDescent="0.25">
      <c r="A169" s="25"/>
      <c r="B169" s="25"/>
      <c r="C169" s="25"/>
      <c r="D169" s="25"/>
      <c r="E169" s="25"/>
    </row>
    <row r="170" spans="1:5" x14ac:dyDescent="0.25">
      <c r="A170" s="25"/>
      <c r="B170" s="25"/>
      <c r="C170" s="25"/>
      <c r="D170" s="25"/>
      <c r="E170" s="25"/>
    </row>
    <row r="171" spans="1:5" x14ac:dyDescent="0.25">
      <c r="A171" s="25"/>
      <c r="B171" s="25"/>
      <c r="C171" s="25"/>
      <c r="D171" s="25"/>
      <c r="E171" s="25"/>
    </row>
    <row r="172" spans="1:5" x14ac:dyDescent="0.25">
      <c r="A172" s="25"/>
      <c r="B172" s="25"/>
      <c r="C172" s="25"/>
      <c r="D172" s="25"/>
      <c r="E172" s="25"/>
    </row>
    <row r="173" spans="1:5" x14ac:dyDescent="0.25">
      <c r="A173" s="25"/>
      <c r="B173" s="25"/>
      <c r="C173" s="25"/>
      <c r="D173" s="25"/>
      <c r="E173" s="25"/>
    </row>
    <row r="174" spans="1:5" x14ac:dyDescent="0.25">
      <c r="A174" s="25"/>
      <c r="B174" s="25"/>
      <c r="C174" s="25"/>
      <c r="D174" s="25"/>
      <c r="E174" s="25"/>
    </row>
    <row r="175" spans="1:5" x14ac:dyDescent="0.25">
      <c r="A175" s="25"/>
      <c r="B175" s="25"/>
      <c r="C175" s="25"/>
      <c r="D175" s="25"/>
      <c r="E175" s="25"/>
    </row>
    <row r="176" spans="1:5" x14ac:dyDescent="0.25">
      <c r="A176" s="25"/>
      <c r="B176" s="25"/>
      <c r="C176" s="25"/>
      <c r="D176" s="25"/>
      <c r="E176" s="25"/>
    </row>
    <row r="177" spans="1:5" x14ac:dyDescent="0.25">
      <c r="A177" s="25"/>
      <c r="B177" s="25"/>
      <c r="C177" s="25"/>
      <c r="D177" s="25"/>
      <c r="E177" s="25"/>
    </row>
    <row r="178" spans="1:5" x14ac:dyDescent="0.25">
      <c r="A178" s="25"/>
      <c r="B178" s="25"/>
      <c r="C178" s="25"/>
      <c r="D178" s="25"/>
      <c r="E178" s="25"/>
    </row>
    <row r="179" spans="1:5" x14ac:dyDescent="0.25">
      <c r="A179" s="25"/>
      <c r="B179" s="25"/>
      <c r="C179" s="25"/>
      <c r="D179" s="25"/>
      <c r="E179" s="25"/>
    </row>
    <row r="180" spans="1:5" x14ac:dyDescent="0.25">
      <c r="A180" s="25"/>
      <c r="B180" s="25"/>
      <c r="C180" s="25"/>
      <c r="D180" s="25"/>
      <c r="E180" s="25"/>
    </row>
    <row r="181" spans="1:5" x14ac:dyDescent="0.25">
      <c r="A181" s="25"/>
      <c r="B181" s="25"/>
      <c r="C181" s="25"/>
      <c r="D181" s="25"/>
      <c r="E181" s="25"/>
    </row>
    <row r="182" spans="1:5" x14ac:dyDescent="0.25">
      <c r="A182" s="25"/>
      <c r="B182" s="25"/>
      <c r="C182" s="25"/>
      <c r="D182" s="25"/>
      <c r="E182" s="25"/>
    </row>
    <row r="183" spans="1:5" x14ac:dyDescent="0.25">
      <c r="A183" s="25"/>
      <c r="B183" s="25"/>
      <c r="C183" s="25"/>
      <c r="D183" s="25"/>
      <c r="E183" s="25"/>
    </row>
    <row r="184" spans="1:5" x14ac:dyDescent="0.25">
      <c r="A184" s="25"/>
      <c r="B184" s="25"/>
      <c r="C184" s="25"/>
      <c r="D184" s="25"/>
      <c r="E184" s="25"/>
    </row>
    <row r="185" spans="1:5" x14ac:dyDescent="0.25">
      <c r="A185" s="25"/>
      <c r="B185" s="25"/>
      <c r="C185" s="25"/>
      <c r="D185" s="25"/>
      <c r="E185" s="25"/>
    </row>
    <row r="186" spans="1:5" x14ac:dyDescent="0.25">
      <c r="A186" s="25"/>
      <c r="B186" s="25"/>
      <c r="C186" s="25"/>
      <c r="D186" s="25"/>
      <c r="E186" s="25"/>
    </row>
    <row r="187" spans="1:5" x14ac:dyDescent="0.25">
      <c r="A187" s="25"/>
      <c r="B187" s="25"/>
      <c r="C187" s="25"/>
      <c r="D187" s="25"/>
      <c r="E187" s="25"/>
    </row>
    <row r="188" spans="1:5" x14ac:dyDescent="0.25">
      <c r="A188" s="25"/>
      <c r="B188" s="25"/>
      <c r="C188" s="25"/>
      <c r="D188" s="25"/>
      <c r="E188" s="25"/>
    </row>
    <row r="189" spans="1:5" x14ac:dyDescent="0.25">
      <c r="A189" s="25"/>
      <c r="B189" s="25"/>
      <c r="C189" s="25"/>
      <c r="D189" s="25"/>
      <c r="E189" s="25"/>
    </row>
    <row r="190" spans="1:5" x14ac:dyDescent="0.25">
      <c r="A190" s="25"/>
      <c r="B190" s="25"/>
      <c r="C190" s="25"/>
      <c r="D190" s="25"/>
      <c r="E190" s="25"/>
    </row>
    <row r="191" spans="1:5" x14ac:dyDescent="0.25">
      <c r="A191" s="25"/>
      <c r="B191" s="25"/>
      <c r="C191" s="25"/>
      <c r="D191" s="25"/>
      <c r="E191" s="25"/>
    </row>
    <row r="192" spans="1:5" x14ac:dyDescent="0.25">
      <c r="A192" s="25"/>
      <c r="B192" s="25"/>
      <c r="C192" s="25"/>
      <c r="D192" s="25"/>
      <c r="E192" s="25"/>
    </row>
    <row r="193" spans="1:5" x14ac:dyDescent="0.25">
      <c r="A193" s="25"/>
      <c r="B193" s="25"/>
      <c r="C193" s="25"/>
      <c r="D193" s="25"/>
      <c r="E193" s="25"/>
    </row>
    <row r="194" spans="1:5" x14ac:dyDescent="0.25">
      <c r="A194" s="25"/>
      <c r="B194" s="25"/>
      <c r="C194" s="25"/>
      <c r="D194" s="25"/>
      <c r="E194" s="25"/>
    </row>
    <row r="195" spans="1:5" x14ac:dyDescent="0.25">
      <c r="A195" s="25"/>
      <c r="B195" s="25"/>
      <c r="C195" s="25"/>
      <c r="D195" s="25"/>
      <c r="E195" s="25"/>
    </row>
    <row r="196" spans="1:5" x14ac:dyDescent="0.25">
      <c r="A196" s="25"/>
      <c r="B196" s="25"/>
      <c r="C196" s="25"/>
      <c r="D196" s="25"/>
      <c r="E196" s="25"/>
    </row>
    <row r="197" spans="1:5" x14ac:dyDescent="0.25">
      <c r="A197" s="25"/>
      <c r="B197" s="25"/>
      <c r="C197" s="25"/>
      <c r="D197" s="25"/>
      <c r="E197" s="25"/>
    </row>
    <row r="198" spans="1:5" x14ac:dyDescent="0.25">
      <c r="A198" s="25"/>
      <c r="B198" s="25"/>
      <c r="C198" s="25"/>
      <c r="D198" s="25"/>
      <c r="E198" s="25"/>
    </row>
    <row r="199" spans="1:5" x14ac:dyDescent="0.25">
      <c r="A199" s="25"/>
      <c r="B199" s="25"/>
      <c r="C199" s="25"/>
      <c r="D199" s="25"/>
      <c r="E199" s="25"/>
    </row>
    <row r="200" spans="1:5" x14ac:dyDescent="0.25">
      <c r="A200" s="25"/>
      <c r="B200" s="25"/>
      <c r="C200" s="25"/>
      <c r="D200" s="25"/>
      <c r="E200" s="25"/>
    </row>
  </sheetData>
  <dataValidations count="5">
    <dataValidation operator="greaterThan" allowBlank="1" showInputMessage="1" showErrorMessage="1" sqref="C2:C1048576" xr:uid="{5BCCE960-18E6-4C83-BB26-0A13093ED7FD}"/>
    <dataValidation type="whole" operator="greaterThan" allowBlank="1" showInputMessage="1" showErrorMessage="1" errorTitle="Data Type Error" error="The PDRI Portion should be in Integer or Float not String" sqref="E2:E1048576" xr:uid="{8722536D-716B-4E96-A826-80CF0CD4DCA4}">
      <formula1>0</formula1>
    </dataValidation>
    <dataValidation type="whole" operator="greaterThan" allowBlank="1" showInputMessage="1" showErrorMessage="1" errorTitle="Data Type Error" error="The PPN portion should be in Integer or Float not String" sqref="D2:D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theme="9" tint="0.39997558519241921"/>
  </sheetPr>
  <dimension ref="B3:AF66"/>
  <sheetViews>
    <sheetView showGridLines="0" showRowColHeaders="0" workbookViewId="0">
      <selection activeCell="B5" sqref="B5"/>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316</v>
      </c>
    </row>
    <row r="4" spans="2:32" x14ac:dyDescent="0.25">
      <c r="B4" s="71" t="s">
        <v>0</v>
      </c>
      <c r="C4" s="71" t="s">
        <v>288</v>
      </c>
      <c r="D4" s="71" t="s">
        <v>289</v>
      </c>
      <c r="E4" s="71" t="s">
        <v>290</v>
      </c>
      <c r="F4" s="71" t="s">
        <v>291</v>
      </c>
      <c r="G4" s="71" t="s">
        <v>232</v>
      </c>
      <c r="H4" s="71" t="s">
        <v>233</v>
      </c>
      <c r="I4" s="71" t="s">
        <v>292</v>
      </c>
      <c r="J4" s="71" t="s">
        <v>293</v>
      </c>
      <c r="K4" s="71" t="s">
        <v>294</v>
      </c>
      <c r="L4" s="71" t="s">
        <v>295</v>
      </c>
      <c r="M4" s="71" t="s">
        <v>296</v>
      </c>
      <c r="N4" s="71" t="s">
        <v>297</v>
      </c>
      <c r="O4" s="71" t="s">
        <v>298</v>
      </c>
      <c r="P4" s="71" t="s">
        <v>299</v>
      </c>
      <c r="Q4" s="71" t="s">
        <v>300</v>
      </c>
      <c r="R4" s="71" t="s">
        <v>304</v>
      </c>
      <c r="S4" s="71" t="s">
        <v>302</v>
      </c>
      <c r="T4" s="71" t="s">
        <v>301</v>
      </c>
      <c r="U4" s="71" t="s">
        <v>303</v>
      </c>
      <c r="V4" s="71" t="s">
        <v>305</v>
      </c>
      <c r="W4" s="71" t="s">
        <v>306</v>
      </c>
      <c r="X4" s="71" t="s">
        <v>307</v>
      </c>
      <c r="Y4" s="71" t="s">
        <v>308</v>
      </c>
      <c r="Z4" s="71" t="s">
        <v>309</v>
      </c>
      <c r="AA4" s="71" t="s">
        <v>310</v>
      </c>
      <c r="AB4" s="71" t="s">
        <v>311</v>
      </c>
      <c r="AC4" s="71" t="s">
        <v>312</v>
      </c>
      <c r="AD4" s="71" t="s">
        <v>313</v>
      </c>
      <c r="AE4" s="71" t="s">
        <v>314</v>
      </c>
      <c r="AF4" s="71" t="s">
        <v>315</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5" spans="2:32" x14ac:dyDescent="0.25">
      <c r="B25" s="9" t="s">
        <v>317</v>
      </c>
    </row>
    <row r="26" spans="2:32" x14ac:dyDescent="0.25">
      <c r="B26" s="72" t="s">
        <v>0</v>
      </c>
      <c r="C26" s="72" t="s">
        <v>288</v>
      </c>
      <c r="D26" s="72" t="s">
        <v>289</v>
      </c>
      <c r="E26" s="72" t="s">
        <v>290</v>
      </c>
      <c r="F26" s="72" t="s">
        <v>291</v>
      </c>
      <c r="G26" s="72" t="s">
        <v>232</v>
      </c>
      <c r="H26" s="72" t="s">
        <v>233</v>
      </c>
      <c r="I26" s="72" t="s">
        <v>292</v>
      </c>
      <c r="J26" s="72" t="s">
        <v>293</v>
      </c>
      <c r="K26" s="72" t="s">
        <v>294</v>
      </c>
      <c r="L26" s="72" t="s">
        <v>295</v>
      </c>
      <c r="M26" s="72" t="s">
        <v>296</v>
      </c>
      <c r="N26" s="72" t="s">
        <v>297</v>
      </c>
      <c r="O26" s="72" t="s">
        <v>298</v>
      </c>
      <c r="P26" s="72" t="s">
        <v>299</v>
      </c>
      <c r="Q26" s="72" t="s">
        <v>300</v>
      </c>
      <c r="R26" s="72" t="s">
        <v>304</v>
      </c>
      <c r="S26" s="72" t="s">
        <v>318</v>
      </c>
      <c r="T26" s="72" t="s">
        <v>301</v>
      </c>
      <c r="U26" s="72" t="s">
        <v>303</v>
      </c>
      <c r="V26" s="72" t="s">
        <v>305</v>
      </c>
      <c r="W26" s="72" t="s">
        <v>306</v>
      </c>
      <c r="X26" s="72" t="s">
        <v>307</v>
      </c>
      <c r="Y26" s="72" t="s">
        <v>308</v>
      </c>
      <c r="Z26" s="72" t="s">
        <v>309</v>
      </c>
      <c r="AA26" s="72" t="s">
        <v>310</v>
      </c>
      <c r="AB26" s="72" t="s">
        <v>311</v>
      </c>
      <c r="AC26" s="72" t="s">
        <v>312</v>
      </c>
      <c r="AD26" s="72" t="s">
        <v>313</v>
      </c>
      <c r="AE26" s="72" t="s">
        <v>314</v>
      </c>
      <c r="AF26" s="72" t="s">
        <v>315</v>
      </c>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7" spans="2:32" x14ac:dyDescent="0.25">
      <c r="B47" s="9" t="s">
        <v>319</v>
      </c>
    </row>
    <row r="48" spans="2:32" x14ac:dyDescent="0.25">
      <c r="B48" s="68" t="s">
        <v>0</v>
      </c>
      <c r="C48" s="68" t="s">
        <v>288</v>
      </c>
      <c r="D48" s="68" t="s">
        <v>289</v>
      </c>
      <c r="E48" s="68" t="s">
        <v>290</v>
      </c>
      <c r="F48" s="68" t="s">
        <v>291</v>
      </c>
      <c r="G48" s="68" t="s">
        <v>232</v>
      </c>
      <c r="H48" s="68" t="s">
        <v>233</v>
      </c>
      <c r="I48" s="68" t="s">
        <v>292</v>
      </c>
      <c r="J48" s="68" t="s">
        <v>293</v>
      </c>
      <c r="K48" s="68" t="s">
        <v>294</v>
      </c>
      <c r="L48" s="68" t="s">
        <v>295</v>
      </c>
      <c r="M48" s="68" t="s">
        <v>296</v>
      </c>
      <c r="N48" s="68" t="s">
        <v>297</v>
      </c>
      <c r="O48" s="68" t="s">
        <v>298</v>
      </c>
      <c r="P48" s="68" t="s">
        <v>299</v>
      </c>
      <c r="Q48" s="68" t="s">
        <v>300</v>
      </c>
      <c r="R48" s="68" t="s">
        <v>304</v>
      </c>
      <c r="S48" s="68" t="s">
        <v>318</v>
      </c>
      <c r="T48" s="68" t="s">
        <v>301</v>
      </c>
      <c r="U48" s="68" t="s">
        <v>303</v>
      </c>
      <c r="V48" s="68" t="s">
        <v>305</v>
      </c>
      <c r="W48" s="68" t="s">
        <v>306</v>
      </c>
      <c r="X48" s="68" t="s">
        <v>307</v>
      </c>
      <c r="Y48" s="68" t="s">
        <v>308</v>
      </c>
      <c r="Z48" s="68" t="s">
        <v>309</v>
      </c>
      <c r="AA48" s="68" t="s">
        <v>310</v>
      </c>
      <c r="AB48" s="68" t="s">
        <v>311</v>
      </c>
      <c r="AC48" s="68" t="s">
        <v>312</v>
      </c>
      <c r="AD48" s="68" t="s">
        <v>313</v>
      </c>
      <c r="AE48" s="68" t="s">
        <v>314</v>
      </c>
      <c r="AF48" s="68" t="s">
        <v>315</v>
      </c>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5" spans="2:32"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row>
    <row r="56" spans="2:32"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row>
    <row r="57" spans="2:32"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row>
    <row r="58" spans="2:32"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theme="9" tint="0.39997558519241921"/>
  </sheetPr>
  <dimension ref="B3:AB66"/>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316</v>
      </c>
    </row>
    <row r="4" spans="2:28" x14ac:dyDescent="0.25">
      <c r="B4" s="71" t="s">
        <v>0</v>
      </c>
      <c r="C4" s="71" t="s">
        <v>288</v>
      </c>
      <c r="D4" s="71" t="s">
        <v>289</v>
      </c>
      <c r="E4" s="71" t="s">
        <v>290</v>
      </c>
      <c r="F4" s="71" t="s">
        <v>320</v>
      </c>
      <c r="G4" s="71" t="s">
        <v>321</v>
      </c>
      <c r="H4" s="71" t="s">
        <v>322</v>
      </c>
      <c r="I4" s="71" t="s">
        <v>323</v>
      </c>
      <c r="J4" s="71" t="s">
        <v>307</v>
      </c>
      <c r="K4" s="71" t="s">
        <v>308</v>
      </c>
      <c r="L4" s="71" t="s">
        <v>292</v>
      </c>
      <c r="M4" s="71" t="s">
        <v>324</v>
      </c>
      <c r="N4" s="71" t="s">
        <v>325</v>
      </c>
      <c r="O4" s="71" t="s">
        <v>326</v>
      </c>
      <c r="P4" s="71" t="s">
        <v>327</v>
      </c>
      <c r="Q4" s="71" t="s">
        <v>234</v>
      </c>
      <c r="R4" s="71" t="s">
        <v>329</v>
      </c>
      <c r="S4" s="71" t="s">
        <v>328</v>
      </c>
      <c r="T4" s="71" t="s">
        <v>330</v>
      </c>
      <c r="U4" s="71" t="s">
        <v>331</v>
      </c>
      <c r="V4" s="71" t="s">
        <v>309</v>
      </c>
      <c r="W4" s="71" t="s">
        <v>310</v>
      </c>
      <c r="X4" s="71" t="s">
        <v>312</v>
      </c>
      <c r="Y4" s="71" t="s">
        <v>249</v>
      </c>
      <c r="Z4" s="71" t="s">
        <v>332</v>
      </c>
      <c r="AA4" s="71" t="s">
        <v>333</v>
      </c>
      <c r="AB4" s="71" t="s">
        <v>334</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5" spans="2:28" x14ac:dyDescent="0.25">
      <c r="B25" s="9" t="s">
        <v>317</v>
      </c>
    </row>
    <row r="26" spans="2:28" x14ac:dyDescent="0.25">
      <c r="B26" s="72" t="s">
        <v>0</v>
      </c>
      <c r="C26" s="72" t="s">
        <v>288</v>
      </c>
      <c r="D26" s="72" t="s">
        <v>289</v>
      </c>
      <c r="E26" s="72" t="s">
        <v>290</v>
      </c>
      <c r="F26" s="72" t="s">
        <v>320</v>
      </c>
      <c r="G26" s="72" t="s">
        <v>321</v>
      </c>
      <c r="H26" s="72" t="s">
        <v>322</v>
      </c>
      <c r="I26" s="72" t="s">
        <v>323</v>
      </c>
      <c r="J26" s="72" t="s">
        <v>307</v>
      </c>
      <c r="K26" s="72" t="s">
        <v>308</v>
      </c>
      <c r="L26" s="72" t="s">
        <v>292</v>
      </c>
      <c r="M26" s="72" t="s">
        <v>324</v>
      </c>
      <c r="N26" s="72" t="s">
        <v>325</v>
      </c>
      <c r="O26" s="72" t="s">
        <v>326</v>
      </c>
      <c r="P26" s="72" t="s">
        <v>327</v>
      </c>
      <c r="Q26" s="72" t="s">
        <v>234</v>
      </c>
      <c r="R26" s="72" t="s">
        <v>318</v>
      </c>
      <c r="S26" s="72" t="s">
        <v>328</v>
      </c>
      <c r="T26" s="72" t="s">
        <v>330</v>
      </c>
      <c r="U26" s="72" t="s">
        <v>331</v>
      </c>
      <c r="V26" s="72" t="s">
        <v>309</v>
      </c>
      <c r="W26" s="72" t="s">
        <v>310</v>
      </c>
      <c r="X26" s="72" t="s">
        <v>312</v>
      </c>
      <c r="Y26" s="72" t="s">
        <v>249</v>
      </c>
      <c r="Z26" s="72" t="s">
        <v>332</v>
      </c>
      <c r="AA26" s="72" t="s">
        <v>333</v>
      </c>
      <c r="AB26" s="72" t="s">
        <v>334</v>
      </c>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7" spans="2:28" x14ac:dyDescent="0.25">
      <c r="B47" s="9" t="s">
        <v>319</v>
      </c>
    </row>
    <row r="48" spans="2:28" x14ac:dyDescent="0.25">
      <c r="B48" s="68" t="s">
        <v>0</v>
      </c>
      <c r="C48" s="68" t="s">
        <v>288</v>
      </c>
      <c r="D48" s="68" t="s">
        <v>289</v>
      </c>
      <c r="E48" s="68" t="s">
        <v>290</v>
      </c>
      <c r="F48" s="68" t="s">
        <v>320</v>
      </c>
      <c r="G48" s="68" t="s">
        <v>321</v>
      </c>
      <c r="H48" s="68" t="s">
        <v>322</v>
      </c>
      <c r="I48" s="68" t="s">
        <v>323</v>
      </c>
      <c r="J48" s="68" t="s">
        <v>307</v>
      </c>
      <c r="K48" s="68" t="s">
        <v>308</v>
      </c>
      <c r="L48" s="68" t="s">
        <v>292</v>
      </c>
      <c r="M48" s="68" t="s">
        <v>324</v>
      </c>
      <c r="N48" s="68" t="s">
        <v>325</v>
      </c>
      <c r="O48" s="68" t="s">
        <v>326</v>
      </c>
      <c r="P48" s="68" t="s">
        <v>327</v>
      </c>
      <c r="Q48" s="68" t="s">
        <v>234</v>
      </c>
      <c r="R48" s="68" t="s">
        <v>318</v>
      </c>
      <c r="S48" s="68" t="s">
        <v>328</v>
      </c>
      <c r="T48" s="68" t="s">
        <v>330</v>
      </c>
      <c r="U48" s="68" t="s">
        <v>331</v>
      </c>
      <c r="V48" s="68" t="s">
        <v>309</v>
      </c>
      <c r="W48" s="68" t="s">
        <v>310</v>
      </c>
      <c r="X48" s="68" t="s">
        <v>312</v>
      </c>
      <c r="Y48" s="68" t="s">
        <v>249</v>
      </c>
      <c r="Z48" s="68" t="s">
        <v>332</v>
      </c>
      <c r="AA48" s="68" t="s">
        <v>333</v>
      </c>
      <c r="AB48" s="68" t="s">
        <v>334</v>
      </c>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5" spans="2:28"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row>
    <row r="56" spans="2:28"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row>
    <row r="57" spans="2:28"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row>
    <row r="58" spans="2:28"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Cover</vt:lpstr>
      <vt:lpstr>UserGuide</vt:lpstr>
      <vt:lpstr>Result</vt:lpstr>
      <vt:lpstr>General Config</vt:lpstr>
      <vt:lpstr>Fiscal Config</vt:lpstr>
      <vt:lpstr>Prod Oil</vt:lpstr>
      <vt:lpstr>Prod Gas</vt:lpstr>
      <vt:lpstr>Prod LPG Propane</vt:lpstr>
      <vt:lpstr>Prod LPG Butane</vt:lpstr>
      <vt:lpstr>Prod CO2</vt:lpstr>
      <vt:lpstr>Prod Sulfur</vt:lpstr>
      <vt:lpstr>Gross Split Config (2)</vt:lpstr>
      <vt:lpstr>Cost Recovery Config</vt:lpstr>
      <vt:lpstr>Gross Split Config</vt:lpstr>
      <vt:lpstr>Cost Recovery Config (2)</vt:lpstr>
      <vt:lpstr>Cost Tangible</vt:lpstr>
      <vt:lpstr>Cost Intangible</vt:lpstr>
      <vt:lpstr>Cost OPEX</vt:lpstr>
      <vt:lpstr>Cost ASR</vt:lpstr>
      <vt:lpstr>Result Table CR</vt:lpstr>
      <vt:lpstr>Result Table 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2023-11-18T07:30:56Z</dcterms:modified>
</cp:coreProperties>
</file>