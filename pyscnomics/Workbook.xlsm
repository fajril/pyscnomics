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5.xml" ContentType="application/vnd.openxmlformats-officedocument.drawing+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2da2dada15245f0"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A9258BEC-F683-4EA1-934D-0D2F9B280745}" xr6:coauthVersionLast="47" xr6:coauthVersionMax="47" xr10:uidLastSave="{00000000-0000-0000-0000-000000000000}"/>
  <bookViews>
    <workbookView xWindow="28695" yWindow="0" windowWidth="14610" windowHeight="15585" tabRatio="912" firstSheet="3" activeTab="30" xr2:uid="{F41B6BF2-4712-40A6-B007-CDDECCED21AA}"/>
  </bookViews>
  <sheets>
    <sheet name="Cover" sheetId="19" state="hidden" r:id="rId1"/>
    <sheet name="UserGuide" sheetId="8" state="hidden" r:id="rId2"/>
    <sheet name="Summary" sheetId="18" state="hidden" r:id="rId3"/>
    <sheet name="General Config" sheetId="4" r:id="rId4"/>
    <sheet name="Optimization" sheetId="375" state="hidden" r:id="rId5"/>
    <sheet name="Monte Carlo" sheetId="378" state="hidden" r:id="rId6"/>
    <sheet name="Uncertainty" sheetId="377" state="hidden" r:id="rId7"/>
    <sheet name="Result Table GS" sheetId="347" state="hidden" r:id="rId8"/>
    <sheet name="Result Table GS (2)" sheetId="379" state="hidden" r:id="rId9"/>
    <sheet name="Result Table CR" sheetId="346" state="hidden" r:id="rId10"/>
    <sheet name="Result Table CR (2)" sheetId="380" state="hidden" r:id="rId11"/>
    <sheet name="Fiscal Config" sheetId="345" state="hidden" r:id="rId12"/>
    <sheet name="Prod Oil" sheetId="54" state="hidden" r:id="rId13"/>
    <sheet name="Prod LPG Propane" sheetId="6" state="hidden" r:id="rId14"/>
    <sheet name="Prod Oil (2)" sheetId="382" state="hidden" r:id="rId15"/>
    <sheet name="Prod Electricity" sheetId="353" state="hidden" r:id="rId16"/>
    <sheet name="Prod Electricity (2)" sheetId="388" state="hidden" r:id="rId17"/>
    <sheet name="Prod Gas" sheetId="5" state="hidden" r:id="rId18"/>
    <sheet name="Prod Gas (2)" sheetId="383" state="hidden" r:id="rId19"/>
    <sheet name="Prod LPG Propane (2)" sheetId="384" state="hidden" r:id="rId20"/>
    <sheet name="Prod Sulfur" sheetId="9" state="hidden" r:id="rId21"/>
    <sheet name="Cost Intangible" sheetId="73" state="hidden" r:id="rId22"/>
    <sheet name="Cost ASR" sheetId="75" state="hidden" r:id="rId23"/>
    <sheet name="Prod Sulfur (2)" sheetId="387" state="hidden" r:id="rId24"/>
    <sheet name="Prod CO2" sheetId="10" state="hidden" r:id="rId25"/>
    <sheet name="Sensitivity" sheetId="376" state="hidden" r:id="rId26"/>
    <sheet name="Cost Tangible" sheetId="72" state="hidden" r:id="rId27"/>
    <sheet name="Cost OPEX" sheetId="74" state="hidden" r:id="rId28"/>
    <sheet name="Prod LPG Butane" sheetId="7" state="hidden" r:id="rId29"/>
    <sheet name="Cost Recovery Config" sheetId="16" r:id="rId30"/>
    <sheet name="Cost Recovery Config (2)" sheetId="389" r:id="rId31"/>
    <sheet name="Gross Split Config" sheetId="15" state="hidden" r:id="rId32"/>
    <sheet name="Gross Split Config (2)" sheetId="381" state="hidden" r:id="rId33"/>
    <sheet name="Prod LPG Butane (2)" sheetId="385" state="hidden" r:id="rId34"/>
    <sheet name="Prod CO2 (2)" sheetId="386" state="hidden" r:id="rId35"/>
  </sheets>
  <functionGroups builtInGroupCount="19"/>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_pyexe">Cover!$A$19</definedName>
    <definedName name="_pymain">Cover!$A$20</definedName>
    <definedName name="averageInflation">#REF!</definedName>
    <definedName name="Beta_overBrent">#REF!</definedName>
    <definedName name="bon_Prod_Amt_Gas_T1">#REF!</definedName>
    <definedName name="bon_Prod_Amt_Gas_T2">#REF!</definedName>
    <definedName name="bon_Prod_Amt_Gas_T3">#REF!</definedName>
    <definedName name="bon_Prod_Amt_Oil_T1">#REF!</definedName>
    <definedName name="bon_Prod_Amt_Oil_T2">#REF!</definedName>
    <definedName name="bon_Prod_Amt_Oil_T3">#REF!</definedName>
    <definedName name="bon_Prod_Amt_Oil_T4">#REF!</definedName>
    <definedName name="bon_Prod_CumProd_Gas_T1">#REF!</definedName>
    <definedName name="bon_Prod_CumProd_Gas_T2">#REF!</definedName>
    <definedName name="bon_Prod_CumProd_Gas_T3">#REF!</definedName>
    <definedName name="bon_Prod_CumProd_Oil_T1">#REF!</definedName>
    <definedName name="bon_Prod_CumProd_Oil_T2">#REF!</definedName>
    <definedName name="bon_Prod_CumProd_Oil_T3">#REF!</definedName>
    <definedName name="bon_Prod_CumProd_Oil_T4">#REF!</definedName>
    <definedName name="breakevenToggle">#REF!</definedName>
    <definedName name="CA_AvgPriceGas">#REF!</definedName>
    <definedName name="CA_AvgPriceLiquids">#REF!</definedName>
    <definedName name="CA_CapexDecom">#REF!</definedName>
    <definedName name="CA_CapexDevexTotal">#REF!</definedName>
    <definedName name="CA_CapexDrillexIntan">#REF!</definedName>
    <definedName name="CA_CapexDrillexTan">#REF!</definedName>
    <definedName name="CA_CapexEAIntan">#REF!</definedName>
    <definedName name="CA_CapexEATan">#REF!</definedName>
    <definedName name="CA_CapexEATotal">#REF!</definedName>
    <definedName name="CA_CapexFacilFloaters">#REF!</definedName>
    <definedName name="CA_CapexFacilInfra">#REF!</definedName>
    <definedName name="CA_CapexFacilLNG">#REF!</definedName>
    <definedName name="CA_CapexFacilOther">#REF!</definedName>
    <definedName name="CA_CapexFacilProduction">#REF!</definedName>
    <definedName name="CA_CapexFacilStructures">#REF!</definedName>
    <definedName name="CA_CapexFacilSubsea">#REF!</definedName>
    <definedName name="CA_CapexFacilTerminals">#REF!</definedName>
    <definedName name="CA_CapexFacilTopsides">#REF!</definedName>
    <definedName name="CA_CapexFacilWPG">#REF!</definedName>
    <definedName name="CA_CapexGG">#REF!</definedName>
    <definedName name="CA_CapexLeasehold">#REF!</definedName>
    <definedName name="CA_CapexOther">#REF!</definedName>
    <definedName name="CA_CapexPipelines">#REF!</definedName>
    <definedName name="CA_CarbonCosts">#REF!</definedName>
    <definedName name="CA_CarriedCosts">#REF!</definedName>
    <definedName name="CA_CarryRepayment">#REF!</definedName>
    <definedName name="CA_Days">#REF!</definedName>
    <definedName name="CA_IndexEscCapex">#REF!</definedName>
    <definedName name="CA_IndexEscOpex">#REF!</definedName>
    <definedName name="CA_IndexInflation">#REF!</definedName>
    <definedName name="CA_IndexInflationFixed">#REF!</definedName>
    <definedName name="CA_OpexFixed">#REF!</definedName>
    <definedName name="CA_OpexLNG">#REF!</definedName>
    <definedName name="CA_OpexTotal">#REF!</definedName>
    <definedName name="CA_OpexVarTotal">#REF!</definedName>
    <definedName name="CA_OpTrig">#REF!</definedName>
    <definedName name="CA_PctGasRevenue">#REF!</definedName>
    <definedName name="CA_PctGasVolumeTotal">#REF!</definedName>
    <definedName name="CA_PctLiquidsRevenue">#REF!</definedName>
    <definedName name="CA_Periods">#REF!</definedName>
    <definedName name="CA_PriceCO2e">#REF!</definedName>
    <definedName name="CA_PriceFinalCondDom">#REF!</definedName>
    <definedName name="CA_PriceFinalCondExport">#REF!</definedName>
    <definedName name="CA_PriceFinalGasDom">#REF!</definedName>
    <definedName name="CA_PriceFinalGasExport">#REF!</definedName>
    <definedName name="CA_PriceFinalLNGFeedstockDom">#REF!</definedName>
    <definedName name="CA_PriceFinalLNGFeedstockExport">#REF!</definedName>
    <definedName name="CA_PriceFinalLNGSalesDom">#REF!</definedName>
    <definedName name="CA_PriceFinalLNGSalesExport">#REF!</definedName>
    <definedName name="CA_PriceFinalNGLDom">#REF!</definedName>
    <definedName name="CA_PriceFinalNGLExport">#REF!</definedName>
    <definedName name="CA_PriceFinalOilDom">#REF!</definedName>
    <definedName name="CA_PriceFinalOilExport">#REF!</definedName>
    <definedName name="CA_PriceFinalOtherDom10">#REF!</definedName>
    <definedName name="CA_PriceFinalOtherDom5">#REF!</definedName>
    <definedName name="CA_PriceFinalOtherDom6">#REF!</definedName>
    <definedName name="CA_PriceFinalOtherDom7">#REF!</definedName>
    <definedName name="CA_PriceFinalOtherDom8">#REF!</definedName>
    <definedName name="CA_PriceFinalOtherDom9">#REF!</definedName>
    <definedName name="CA_PriceFinalOtherExport10">#REF!</definedName>
    <definedName name="CA_PriceFinalOtherExport5">#REF!</definedName>
    <definedName name="CA_PriceFinalOtherExport6">#REF!</definedName>
    <definedName name="CA_PriceFinalOtherExport7">#REF!</definedName>
    <definedName name="CA_PriceFinalOtherExport8">#REF!</definedName>
    <definedName name="CA_PriceFinalOtherExport9">#REF!</definedName>
    <definedName name="CA_PriceFinalTotalDom">#REF!</definedName>
    <definedName name="CA_PriceFinalTotalExport">#REF!</definedName>
    <definedName name="CA_ProdCO2e">#REF!</definedName>
    <definedName name="CA_ProdRateLNGFeedstock">#REF!</definedName>
    <definedName name="CA_ProductionGas">#REF!</definedName>
    <definedName name="CA_ProductionGasCum">#REF!</definedName>
    <definedName name="CA_ProductionLiquids">#REF!</definedName>
    <definedName name="CA_ProductionLiquidsCum">#REF!</definedName>
    <definedName name="CA_ProductionTotal">#REF!</definedName>
    <definedName name="CA_ProductionTotalCum">#REF!</definedName>
    <definedName name="CA_QualAdjust">#REF!</definedName>
    <definedName name="CA_QualAdjustCond_Domestic">#REF!</definedName>
    <definedName name="CA_QualAdjustCond_Export">#REF!</definedName>
    <definedName name="CA_RevenueDomesticGas">#REF!</definedName>
    <definedName name="CA_RevenueExportGas">#REF!</definedName>
    <definedName name="CA_RevenueGrossGas">#REF!</definedName>
    <definedName name="CA_RevenueGrossLiquids">#REF!</definedName>
    <definedName name="CA_RevenueGrossOil">#REF!</definedName>
    <definedName name="CA_RevenueGrossTotal">#REF!</definedName>
    <definedName name="CA_RevenueLNGFeedstock">#REF!</definedName>
    <definedName name="CA_RevenueLNGSales">#REF!</definedName>
    <definedName name="CA_RevenueNGL">#REF!</definedName>
    <definedName name="CA_SalesCondDom">#REF!</definedName>
    <definedName name="CA_SalesCondExport">#REF!</definedName>
    <definedName name="CA_SalesGasDom">#REF!</definedName>
    <definedName name="CA_SalesGasExport">#REF!</definedName>
    <definedName name="CA_SalesLNGFeedstock">#REF!</definedName>
    <definedName name="CA_SalesLNGFeedstockDom">#REF!</definedName>
    <definedName name="CA_SalesLNGSales">#REF!</definedName>
    <definedName name="CA_SalesLNGSalesDom">#REF!</definedName>
    <definedName name="CA_SalesNGL">#REF!</definedName>
    <definedName name="CA_SalesNGLDom">#REF!</definedName>
    <definedName name="CA_SalesOilDom">#REF!</definedName>
    <definedName name="CA_SalesOilExport">#REF!</definedName>
    <definedName name="CA_SalesOtherDom10">#REF!</definedName>
    <definedName name="CA_SalesOtherDom5">#REF!</definedName>
    <definedName name="CA_SalesOtherDom6">#REF!</definedName>
    <definedName name="CA_SalesOtherDom7">#REF!</definedName>
    <definedName name="CA_SalesOtherDom8">#REF!</definedName>
    <definedName name="CA_SalesOtherDom9">#REF!</definedName>
    <definedName name="CA_SalesOtherExport10">#REF!</definedName>
    <definedName name="CA_SalesOtherExport5">#REF!</definedName>
    <definedName name="CA_SalesOtherExport6">#REF!</definedName>
    <definedName name="CA_SalesOtherExport7">#REF!</definedName>
    <definedName name="CA_SalesOtherExport8">#REF!</definedName>
    <definedName name="CA_SalesOtherExport9">#REF!</definedName>
    <definedName name="CA_WI_IOC">#REF!</definedName>
    <definedName name="CA_WI_NOC">#REF!</definedName>
    <definedName name="CA_Years">#REF!</definedName>
    <definedName name="calc_pctGasRevTotal">#REF!</definedName>
    <definedName name="calc_pctOilRevTotal">#REF!</definedName>
    <definedName name="CarbonTaxToggle">#REF!</definedName>
    <definedName name="CarbonToggle">#REF!</definedName>
    <definedName name="carryRateDevex">#REF!</definedName>
    <definedName name="carryRateEA">#REF!</definedName>
    <definedName name="carryRateFees">#REF!</definedName>
    <definedName name="carryRateOpex">#REF!</definedName>
    <definedName name="carryRateSigBonus">#REF!</definedName>
    <definedName name="carryRpmtDevex">#REF!</definedName>
    <definedName name="carryRpmtEA">#REF!</definedName>
    <definedName name="carryRpmtFees">#REF!</definedName>
    <definedName name="carryRpmtOpex">#REF!</definedName>
    <definedName name="carryRpmtSigBonus">#REF!</definedName>
    <definedName name="CondDiscountToCrude_Domestic">#REF!</definedName>
    <definedName name="CondDiscountToCrude_Export">#REF!</definedName>
    <definedName name="conv_Bbls_Mcf">#REF!</definedName>
    <definedName name="conv_MMbtu_Mcf">#REF!</definedName>
    <definedName name="conv_MMbtu_Mcf_LNG">#REF!</definedName>
    <definedName name="conv_USD_IDR">#REF!</definedName>
    <definedName name="costprem_Capex">#REF!</definedName>
    <definedName name="costprem_Opex">#REF!</definedName>
    <definedName name="cr_Limit">#REF!</definedName>
    <definedName name="CT_Rate">#REF!</definedName>
    <definedName name="CT_Year">#REF!</definedName>
    <definedName name="dcr_Capitalization">#REF!</definedName>
    <definedName name="dcr_FacilPctTan">#REF!</definedName>
    <definedName name="DCRA__Yr1OR">#REF!</definedName>
    <definedName name="DCRA_Capital">#REF!</definedName>
    <definedName name="DCRA_CapitalizedAssets">#REF!</definedName>
    <definedName name="DCRA_DB_Switch">#REF!</definedName>
    <definedName name="DCRA_Factor">#REF!</definedName>
    <definedName name="DCRA_Final">#REF!</definedName>
    <definedName name="DCRA_Life">#REF!</definedName>
    <definedName name="DCRA_Method">#REF!</definedName>
    <definedName name="DCRA_MethodFinal">#REF!</definedName>
    <definedName name="DCRA_Rates">#REF!</definedName>
    <definedName name="DCRA_RatesRev">#REF!</definedName>
    <definedName name="DCRA_TaxDepreciation">#REF!</definedName>
    <definedName name="dit_Capitalization">#REF!</definedName>
    <definedName name="dit_FacilPctTan">#REF!</definedName>
    <definedName name="DITA_Capital">#REF!</definedName>
    <definedName name="DITA_CapitalizedAssets">#REF!</definedName>
    <definedName name="DITA_DB_Switch">#REF!</definedName>
    <definedName name="DITA_Factor">#REF!</definedName>
    <definedName name="DITA_Final">#REF!</definedName>
    <definedName name="DITA_Life">#REF!</definedName>
    <definedName name="DITA_Method">#REF!</definedName>
    <definedName name="DITA_MethodFinal">#REF!</definedName>
    <definedName name="DITA_Rates">#REF!</definedName>
    <definedName name="DITA_RatesRev">#REF!</definedName>
    <definedName name="DITA_TaxDepreciation">#REF!</definedName>
    <definedName name="DITA_UOPRates">#REF!</definedName>
    <definedName name="DITA_Yr1OR">#REF!</definedName>
    <definedName name="dmo_Max_Multip">#REF!</definedName>
    <definedName name="dmo_Price_Until1987">#REF!</definedName>
    <definedName name="dmo_Prod_Period">#REF!</definedName>
    <definedName name="econLimitToggle">#REF!</definedName>
    <definedName name="econLimitTrig">#REF!</definedName>
    <definedName name="FA_Aceh_CommFund">#REF!</definedName>
    <definedName name="FA_Carbon_Tax">#REF!</definedName>
    <definedName name="FA_CIT">#REF!</definedName>
    <definedName name="FA_CITRate">#REF!</definedName>
    <definedName name="FA_Contr_FTP_Gas">#REF!</definedName>
    <definedName name="FA_Contr_FTP_Oil">#REF!</definedName>
    <definedName name="FA_CostRecoveryTotal_Gas">#REF!</definedName>
    <definedName name="FA_CostRecoveryTotal_Liquids">#REF!</definedName>
    <definedName name="FA_DMO_Discount">#REF!</definedName>
    <definedName name="FA_DMO_Volume">#REF!</definedName>
    <definedName name="FA_Fees">#REF!</definedName>
    <definedName name="FA_Gas_Transfer_Price_Est">#REF!</definedName>
    <definedName name="FA_GovProfitShare_Gas">#REF!</definedName>
    <definedName name="FA_GovProfitShare_Liquids">#REF!</definedName>
    <definedName name="FA_GSATerms">#REF!</definedName>
    <definedName name="FA_InvestCredit_Gas">#REF!</definedName>
    <definedName name="FA_InvestCredit_Oil">#REF!</definedName>
    <definedName name="FA_ProdBonus">#REF!</definedName>
    <definedName name="FA_ProdBonus_Gas">#REF!</definedName>
    <definedName name="FA_ProdBonus_Oil">#REF!</definedName>
    <definedName name="FA_ProfitShare_Gas">#REF!</definedName>
    <definedName name="FA_ProfitShare_Liquids">#REF!</definedName>
    <definedName name="FA_RecCostsCapexDevex">#REF!</definedName>
    <definedName name="FA_RecCostsCapexDevex_Gas">#REF!</definedName>
    <definedName name="FA_RecCostsCapexDevex_Liquids">#REF!</definedName>
    <definedName name="FA_RecCostsDecom">#REF!</definedName>
    <definedName name="FA_RecCostsDecom_Gas">#REF!</definedName>
    <definedName name="FA_RecCostsDecom_Liquids">#REF!</definedName>
    <definedName name="FA_RecCostsEA">#REF!</definedName>
    <definedName name="FA_RecCostsEA_Gas">#REF!</definedName>
    <definedName name="FA_RecCostsEA_Liquids">#REF!</definedName>
    <definedName name="FA_RecCostsFees">#REF!</definedName>
    <definedName name="FA_RecCostsFees_Gas">#REF!</definedName>
    <definedName name="FA_RecCostsFees_Liquids">#REF!</definedName>
    <definedName name="FA_RecCostsIC">#REF!</definedName>
    <definedName name="FA_RecCostsIC_Gas">#REF!</definedName>
    <definedName name="FA_RecCostsIC_Liquids">#REF!</definedName>
    <definedName name="FA_RecCostsOpex">#REF!</definedName>
    <definedName name="FA_RecCostsOpex_Gas">#REF!</definedName>
    <definedName name="FA_RecCostsOpex_Liquids">#REF!</definedName>
    <definedName name="FA_RoyaltyGas">#REF!</definedName>
    <definedName name="FA_RoyaltyLiquids">#REF!</definedName>
    <definedName name="FA_RoyaltyTotal">#REF!</definedName>
    <definedName name="fee_Admin">#REF!</definedName>
    <definedName name="fee_Communities">#REF!</definedName>
    <definedName name="gen_api">#REF!</definedName>
    <definedName name="gen_contractDuration">#REF!</definedName>
    <definedName name="gen_depthWater">#REF!</definedName>
    <definedName name="gen_discountRate">#REF!</definedName>
    <definedName name="gen_primaryProduct">#REF!</definedName>
    <definedName name="gen_ProjectName">#REF!</definedName>
    <definedName name="gen_stub">#REF!</definedName>
    <definedName name="gen_timingCosts">#REF!</definedName>
    <definedName name="gen_timingPrices">#REF!</definedName>
    <definedName name="IA_CapexDecom">#REF!</definedName>
    <definedName name="IA_CapexDrillexIntan">#REF!</definedName>
    <definedName name="IA_CapexDrillexTan">#REF!</definedName>
    <definedName name="IA_CapexEAIntan">#REF!</definedName>
    <definedName name="IA_CapexEATan">#REF!</definedName>
    <definedName name="IA_CapexFacilFloaters">#REF!</definedName>
    <definedName name="IA_CapexFacilInfra">#REF!</definedName>
    <definedName name="IA_CapexFacilLNG">#REF!</definedName>
    <definedName name="IA_CapexFacilOther">#REF!</definedName>
    <definedName name="IA_CapexFacilProd">#REF!</definedName>
    <definedName name="IA_CapexFacilStructures">#REF!</definedName>
    <definedName name="IA_CapexFacilSubsea">#REF!</definedName>
    <definedName name="IA_CapexFacilTerminals">#REF!</definedName>
    <definedName name="IA_CapexFacilTopsides">#REF!</definedName>
    <definedName name="IA_CapexFacilWPG">#REF!</definedName>
    <definedName name="IA_CapexGG">#REF!</definedName>
    <definedName name="IA_CapexLeasehold">#REF!</definedName>
    <definedName name="IA_CapexOther">#REF!</definedName>
    <definedName name="IA_CapexPipelines">#REF!</definedName>
    <definedName name="IA_carry_WD">#REF!</definedName>
    <definedName name="IA_CarryMax">#REF!</definedName>
    <definedName name="IA_carryRpmtLimit">#REF!</definedName>
    <definedName name="IA_CIT_Rate">#REF!</definedName>
    <definedName name="IA_CIT_Yr">#REF!</definedName>
    <definedName name="IA_Contract_Inputs">#REF!</definedName>
    <definedName name="IA_ContractName1">#REF!</definedName>
    <definedName name="IA_DMO_Discount">#REF!</definedName>
    <definedName name="IA_DMO_Yr">#REF!</definedName>
    <definedName name="IA_DomCond">#REF!</definedName>
    <definedName name="IA_DomGas">#REF!</definedName>
    <definedName name="IA_DomLNGFeedstock">#REF!</definedName>
    <definedName name="IA_DomLNGSales">#REF!</definedName>
    <definedName name="IA_DomNGL">#REF!</definedName>
    <definedName name="IA_DomOil">#REF!</definedName>
    <definedName name="IA_DomOther10">#REF!</definedName>
    <definedName name="IA_DomOther5">#REF!</definedName>
    <definedName name="IA_DomOther6">#REF!</definedName>
    <definedName name="IA_DomOther7">#REF!</definedName>
    <definedName name="IA_DomOther8">#REF!</definedName>
    <definedName name="IA_DomOther9">#REF!</definedName>
    <definedName name="IA_EscCapex">#REF!</definedName>
    <definedName name="IA_EscOpex">#REF!</definedName>
    <definedName name="IA_GasLossFactor">#REF!</definedName>
    <definedName name="IA_IC_Gas_WD2001">#REF!</definedName>
    <definedName name="IA_IC_Gas_Yr2001">#REF!</definedName>
    <definedName name="IA_IC_Gas2001">#REF!</definedName>
    <definedName name="IA_IC_Oil_WD2001">#REF!</definedName>
    <definedName name="IA_IC_Oil_Yr2001">#REF!</definedName>
    <definedName name="IA_IC_Oil2001">#REF!</definedName>
    <definedName name="IA_IC_Rate_Gas">#REF!</definedName>
    <definedName name="IA_IC_Rate_Oil">#REF!</definedName>
    <definedName name="IA_IC_Yr_Gas">#REF!</definedName>
    <definedName name="IA_IC_Yr_Oil">#REF!</definedName>
    <definedName name="IA_ICP">#REF!</definedName>
    <definedName name="IA_ICP_Yr">#REF!</definedName>
    <definedName name="IA_Inflation">#REF!</definedName>
    <definedName name="IA_IOCParticipation">#REF!</definedName>
    <definedName name="IA_IsNOC">#REF!</definedName>
    <definedName name="IA_License_Table">#REF!</definedName>
    <definedName name="IA_NOLMax">#REF!</definedName>
    <definedName name="IA_OpexFixedTotal">#REF!</definedName>
    <definedName name="IA_OpexLNG">#REF!</definedName>
    <definedName name="IA_OpexVarCompr">#REF!</definedName>
    <definedName name="IA_OpexVarGT">#REF!</definedName>
    <definedName name="IA_OpexVarOps">#REF!</definedName>
    <definedName name="IA_OpexVarOther">#REF!</definedName>
    <definedName name="IA_OpexVarProc">#REF!</definedName>
    <definedName name="IA_OpexVarTariffs">#REF!</definedName>
    <definedName name="IA_OpexVarTotal">#REF!</definedName>
    <definedName name="IA_OtherProd10">#REF!</definedName>
    <definedName name="IA_OtherProd5">#REF!</definedName>
    <definedName name="IA_OtherProd6">#REF!</definedName>
    <definedName name="IA_OtherProd7">#REF!</definedName>
    <definedName name="IA_OtherProd8">#REF!</definedName>
    <definedName name="IA_OtherProd9">#REF!</definedName>
    <definedName name="IA_PartnerList">#REF!</definedName>
    <definedName name="IA_PriceCO2e">#REF!</definedName>
    <definedName name="IA_PriceDomesticCond_Disc">#REF!</definedName>
    <definedName name="IA_PriceDomesticDiffCond_Calc">#REF!</definedName>
    <definedName name="IA_PriceDomesticDiffCond_HC">#REF!</definedName>
    <definedName name="IA_PriceDomesticDiffGas">#REF!</definedName>
    <definedName name="IA_PriceDomesticDiffLNGFeedstock">#REF!</definedName>
    <definedName name="IA_PriceDomesticDiffLNGSales">#REF!</definedName>
    <definedName name="IA_PriceDomesticDiffNGL">#REF!</definedName>
    <definedName name="IA_PriceDomesticDiffOil_Calc">#REF!</definedName>
    <definedName name="IA_PriceDomesticDiffOil_HC">#REF!</definedName>
    <definedName name="IA_PriceDomesticDiffOther10">#REF!</definedName>
    <definedName name="IA_PriceDomesticDiffOther5">#REF!</definedName>
    <definedName name="IA_PriceDomesticDiffOther6">#REF!</definedName>
    <definedName name="IA_PriceDomesticDiffOther7">#REF!</definedName>
    <definedName name="IA_PriceDomesticDiffOther8">#REF!</definedName>
    <definedName name="IA_PriceDomesticDiffOther9">#REF!</definedName>
    <definedName name="IA_PriceDomesticGas">#REF!</definedName>
    <definedName name="IA_PriceDomesticLNGFeedstock">#REF!</definedName>
    <definedName name="IA_PriceDomesticLNGSales">#REF!</definedName>
    <definedName name="IA_PriceDomesticNGL">#REF!</definedName>
    <definedName name="IA_PriceDomesticOil">#REF!</definedName>
    <definedName name="IA_PriceDomesticOther10">#REF!</definedName>
    <definedName name="IA_PriceDomesticOther5">#REF!</definedName>
    <definedName name="IA_PriceDomesticOther6">#REF!</definedName>
    <definedName name="IA_PriceDomesticOther7">#REF!</definedName>
    <definedName name="IA_PriceDomesticOther8">#REF!</definedName>
    <definedName name="IA_PriceDomesticOther9">#REF!</definedName>
    <definedName name="IA_PriceExportDiffCond">#REF!</definedName>
    <definedName name="IA_PriceExportDiffCond_Calc">#REF!</definedName>
    <definedName name="IA_PriceExportDiffCond_HC">#REF!</definedName>
    <definedName name="IA_PriceExportDiffGas">#REF!</definedName>
    <definedName name="IA_PriceExportDiffLNGFeedstock">#REF!</definedName>
    <definedName name="IA_PriceExportDiffLNGSales">#REF!</definedName>
    <definedName name="IA_PriceExportDiffNGL">#REF!</definedName>
    <definedName name="IA_PriceExportDiffOil_Calc">#REF!</definedName>
    <definedName name="IA_PriceExportDiffOil_HC">#REF!</definedName>
    <definedName name="IA_PriceExportDiffOther10">#REF!</definedName>
    <definedName name="IA_PriceExportDiffOther5">#REF!</definedName>
    <definedName name="IA_PriceExportDiffOther6">#REF!</definedName>
    <definedName name="IA_PriceExportDiffOther7">#REF!</definedName>
    <definedName name="IA_PriceExportDiffOther8">#REF!</definedName>
    <definedName name="IA_PriceExportDiffOther9">#REF!</definedName>
    <definedName name="IA_PriceExportGas">#REF!</definedName>
    <definedName name="IA_PriceExportLNGFeedstock">#REF!</definedName>
    <definedName name="IA_PriceExportLNGSales">#REF!</definedName>
    <definedName name="IA_PriceExportNGL">#REF!</definedName>
    <definedName name="IA_PriceExportOil">#REF!</definedName>
    <definedName name="IA_PriceExportOther10">#REF!</definedName>
    <definedName name="IA_PriceExportOther5">#REF!</definedName>
    <definedName name="IA_PriceExportOther6">#REF!</definedName>
    <definedName name="IA_PriceExportOther7">#REF!</definedName>
    <definedName name="IA_PriceExportOther8">#REF!</definedName>
    <definedName name="IA_PriceExportOther9">#REF!</definedName>
    <definedName name="IA_ProdCO2e">#REF!</definedName>
    <definedName name="IA_ProdCond">#REF!</definedName>
    <definedName name="IA_ProdGas">#REF!</definedName>
    <definedName name="IA_ProdLNGFeedstock">#REF!</definedName>
    <definedName name="IA_ProdLNGSales">#REF!</definedName>
    <definedName name="IA_ProdNGL">#REF!</definedName>
    <definedName name="IA_ProdOil">#REF!</definedName>
    <definedName name="IA_PS_Prog_CumProd">#REF!</definedName>
    <definedName name="IA_PS_Prog_CumProd_Rate">#REF!</definedName>
    <definedName name="IA_PS_Rate_Gas">#REF!</definedName>
    <definedName name="IA_PS_Rate_Gas2001">#REF!</definedName>
    <definedName name="IA_PS_Rate_Oil">#REF!</definedName>
    <definedName name="IA_PS_Rate_Oil2001">#REF!</definedName>
    <definedName name="IA_PS_WD_Gas">#REF!</definedName>
    <definedName name="IA_PS_WD_Gas2001">#REF!</definedName>
    <definedName name="IA_PS_WD_Oil">#REF!</definedName>
    <definedName name="IA_PS_WD_Oil2001">#REF!</definedName>
    <definedName name="IA_PS_Yr_Gas">#REF!</definedName>
    <definedName name="IA_PS_Yr_Gas2001">#REF!</definedName>
    <definedName name="IA_PS_Yr_Oil">#REF!</definedName>
    <definedName name="IA_PS_Yr_Oil2001">#REF!</definedName>
    <definedName name="IA_Roy_Rate">#REF!</definedName>
    <definedName name="IA_Roy_Rate2001">#REF!</definedName>
    <definedName name="IA_Roy_WD2001">#REF!</definedName>
    <definedName name="IA_Roy_Yr">#REF!</definedName>
    <definedName name="IA_Roy_Yr2001">#REF!</definedName>
    <definedName name="IA_StateParticipation">#REF!</definedName>
    <definedName name="IA_WHTrate">#REF!</definedName>
    <definedName name="ICP_Esc">#REF!</definedName>
    <definedName name="index_yr0Capex">#REF!</definedName>
    <definedName name="index_yr0Inflation">#REF!</definedName>
    <definedName name="index_yr0Opex">#REF!</definedName>
    <definedName name="input_CapexDecom">#REF!</definedName>
    <definedName name="input_OpexFixedTotal">#REF!</definedName>
    <definedName name="input_OpexLNG">#REF!</definedName>
    <definedName name="input_OpexVarCompr">#REF!</definedName>
    <definedName name="input_OpexVarGT">#REF!</definedName>
    <definedName name="input_OpexVarOps">#REF!</definedName>
    <definedName name="input_OpexVarOther">#REF!</definedName>
    <definedName name="input_OpexVarProc">#REF!</definedName>
    <definedName name="input_OpexVarTariffs">#REF!</definedName>
    <definedName name="input_OpexVarTotal">#REF!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#REF!</definedName>
    <definedName name="OA_AdditionalTaxes">#REF!</definedName>
    <definedName name="OA_ATCF_Nominal">#REF!</definedName>
    <definedName name="OA_ATCF_Nominal_IOC">#REF!</definedName>
    <definedName name="OA_ATCF_Nominal_NOC">#REF!</definedName>
    <definedName name="OA_ATCF_Real">#REF!</definedName>
    <definedName name="OA_ATCF_Real_HostGovt">#REF!</definedName>
    <definedName name="OA_ATCF_Real_IOC">#REF!</definedName>
    <definedName name="OA_ATCF_Real_NOC">#REF!</definedName>
    <definedName name="OA_CapexDecom">#REF!</definedName>
    <definedName name="OA_CapexDevex">#REF!</definedName>
    <definedName name="OA_CapexDevexLNG">#REF!</definedName>
    <definedName name="OA_CapexEA">#REF!</definedName>
    <definedName name="OA_CapexTotal">#REF!</definedName>
    <definedName name="OA_CarbonCosts">#REF!</definedName>
    <definedName name="OA_CIT">#REF!</definedName>
    <definedName name="OA_Decom">#REF!</definedName>
    <definedName name="OA_Decom_Tax">#REF!</definedName>
    <definedName name="OA_DF_DevForward">#REF!</definedName>
    <definedName name="OA_DF_FullCycle">#REF!</definedName>
    <definedName name="OA_DF_PointForward">#REF!</definedName>
    <definedName name="OA_DI_Nominal">#REF!</definedName>
    <definedName name="OA_EBITDA">#REF!</definedName>
    <definedName name="OA_EntitlementRevTotal">#REF!</definedName>
    <definedName name="OA_EntitleRevenue_Gas">#REF!</definedName>
    <definedName name="OA_EntitleRevenue_Liquids">#REF!</definedName>
    <definedName name="OA_EntitleVol_Gas">#REF!</definedName>
    <definedName name="OA_EntitleVol_Liquids">#REF!</definedName>
    <definedName name="OA_GrossRevenueGas">#REF!</definedName>
    <definedName name="OA_GrossRevenueLiquids">#REF!</definedName>
    <definedName name="OA_GrossRevenueOil">#REF!</definedName>
    <definedName name="OA_GrossRevenueTotal">#REF!</definedName>
    <definedName name="OA_Nom_To_Real">#REF!</definedName>
    <definedName name="OA_OpexFixed">#REF!</definedName>
    <definedName name="OA_OpexLNG">#REF!</definedName>
    <definedName name="OA_OpexTotal">#REF!</definedName>
    <definedName name="OA_OpexVariable">#REF!</definedName>
    <definedName name="OA_OtherCosts">#REF!</definedName>
    <definedName name="OA_ProdAndOtherTaxes">#REF!</definedName>
    <definedName name="outEconLimitYear">#REF!</definedName>
    <definedName name="outIRR_Proj">#REF!</definedName>
    <definedName name="outIRR_Proj_DevFwd">#REF!</definedName>
    <definedName name="outIRR_Proj_PntFwd">#REF!</definedName>
    <definedName name="outNPV_Proj">#REF!</definedName>
    <definedName name="outNPV_Proj_DevFwd">#REF!</definedName>
    <definedName name="outNPV_Proj_PntFwd">#REF!</definedName>
    <definedName name="ps_contract_Premium">#REF!</definedName>
    <definedName name="ps_Prog_CumProd_Trig">#REF!</definedName>
    <definedName name="ps_Rate_Gas_GrossSplit">#REF!</definedName>
    <definedName name="ps_Rate_GrossSplit_Var">#REF!</definedName>
    <definedName name="ps_Rate_Oil_AdjustmentPrice">#REF!</definedName>
    <definedName name="ps_Rate_Oil_AdjustmentRate">#REF!</definedName>
    <definedName name="ps_Rate_Oil_GrossSplit">#REF!</definedName>
    <definedName name="ps_Rate_Premium">#REF!</definedName>
    <definedName name="ps_Rate_Prog_Gas_Price1">#REF!</definedName>
    <definedName name="ps_Rate_Prog_Gas_Price2">#REF!</definedName>
    <definedName name="ps_Rate_Prog_Gas_Rate">#REF!</definedName>
    <definedName name="ps_Rate_Prog_Oil">#REF!</definedName>
    <definedName name="ps_Yr_Premium">#REF!</definedName>
    <definedName name="sensitivity_CarbonPrice">#REF!</definedName>
    <definedName name="sensitivity_CarbonPrice2">#REF!</definedName>
    <definedName name="sensitivity_Decom">#REF!</definedName>
    <definedName name="sensitivity_Decom2">#REF!</definedName>
    <definedName name="Sensitivity_DiscountRate">#REF!</definedName>
    <definedName name="sensitivity_FD">#REF!</definedName>
    <definedName name="sensitivity_FD2">#REF!</definedName>
    <definedName name="sensitivity_Opex">#REF!</definedName>
    <definedName name="sensitivity_Opex2">#REF!</definedName>
    <definedName name="sensitivity_Price">#REF!</definedName>
    <definedName name="sensitivity_Price2">#REF!</definedName>
    <definedName name="sensitivity_Production">#REF!</definedName>
    <definedName name="sensitivity_Production2">#REF!</definedName>
    <definedName name="sigBonusRecov">#REF!</definedName>
    <definedName name="switch_NomReal">#REF!</definedName>
    <definedName name="switch_Period">#REF!</definedName>
    <definedName name="tax_GTP_CapAll">#REF!</definedName>
    <definedName name="trig_contract">#REF!</definedName>
    <definedName name="trig_Conventional">#REF!</definedName>
    <definedName name="trig_Decom_HC">#REF!</definedName>
    <definedName name="trig_FixedOpex_HC">#REF!</definedName>
    <definedName name="trig_Frontier">#REF!</definedName>
    <definedName name="trig_Gas_Transfer_Price_Est">#REF!</definedName>
    <definedName name="trig_LNG">#REF!</definedName>
    <definedName name="trig_LNGOpex_HC">#REF!</definedName>
    <definedName name="trig_PriceInputcondDomestic_Calc">#REF!</definedName>
    <definedName name="trig_PriceInputcondDomestic_HC">#REF!</definedName>
    <definedName name="trig_PriceInputCondExport_Calc">#REF!</definedName>
    <definedName name="trig_PriceInputCondExport_HC">#REF!</definedName>
    <definedName name="trig_PriceInputOilDomestic_Calc">#REF!</definedName>
    <definedName name="trig_PriceInputOilDomestic_HC">#REF!</definedName>
    <definedName name="trig_PriceInputOilExport_Calc">#REF!</definedName>
    <definedName name="trig_PriceInputOilExport_HC">#REF!</definedName>
    <definedName name="trig_Production">#REF!</definedName>
    <definedName name="trig_VarOpexCompr_HC">#REF!</definedName>
    <definedName name="trig_VarOpexGT_HC">#REF!</definedName>
    <definedName name="trig_VarOpexOps_HC">#REF!</definedName>
    <definedName name="trig_VarOpexOther_HC">#REF!</definedName>
    <definedName name="trig_VarOpexProc_HC">#REF!</definedName>
    <definedName name="trig_VarOpexTariffs_HC">#REF!</definedName>
    <definedName name="trig_VarOpexTotal">#REF!</definedName>
    <definedName name="trig_VarOpexTotal_HC">#REF!</definedName>
    <definedName name="year_baseCosts">#REF!</definedName>
    <definedName name="year_basePrices">#REF!</definedName>
    <definedName name="year_cntTotal">#REF!</definedName>
    <definedName name="year_contractAward">#REF!</definedName>
    <definedName name="year_ContractConvert">#REF!</definedName>
    <definedName name="year_contractExpiry">#REF!</definedName>
    <definedName name="year_current">#REF!</definedName>
    <definedName name="year_FID">#REF!</definedName>
    <definedName name="year_firstProd">#REF!</definedName>
    <definedName name="year_firstSpend">#REF!</definedName>
    <definedName name="year_GSAactive">#REF!</definedName>
    <definedName name="year_lastProd">#REF!</definedName>
    <definedName name="year_modelStart">#REF!</definedName>
    <definedName name="year_peakPro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163" i="380" l="1"/>
  <c r="AJ163" i="380"/>
  <c r="AI163" i="380"/>
  <c r="AH163" i="380"/>
  <c r="AG163" i="380"/>
  <c r="AF163" i="380"/>
  <c r="AE163" i="380"/>
  <c r="AD163" i="380"/>
  <c r="AC163" i="380"/>
  <c r="AB163" i="380"/>
  <c r="AA163" i="380"/>
  <c r="Z163" i="380"/>
  <c r="Y163" i="380"/>
  <c r="X163" i="380"/>
  <c r="W163" i="380"/>
  <c r="V163" i="380"/>
  <c r="U163" i="380"/>
  <c r="T163" i="380"/>
  <c r="S163" i="380"/>
  <c r="R163" i="380"/>
  <c r="Q163" i="380"/>
  <c r="P163" i="380"/>
  <c r="O163" i="380"/>
  <c r="N163" i="380"/>
  <c r="M163" i="380"/>
  <c r="L163" i="380"/>
  <c r="K163" i="380"/>
  <c r="J163" i="380"/>
  <c r="I163" i="380"/>
  <c r="H163" i="380"/>
  <c r="G163" i="380"/>
  <c r="F163" i="380"/>
  <c r="E163" i="380"/>
  <c r="D163" i="380"/>
  <c r="C163" i="380"/>
  <c r="AH109" i="380"/>
  <c r="AG109" i="380"/>
  <c r="AF109" i="380"/>
  <c r="AE109" i="380"/>
  <c r="AD109" i="380"/>
  <c r="AC109" i="380"/>
  <c r="AB109" i="380"/>
  <c r="AA109" i="380"/>
  <c r="Z109" i="380"/>
  <c r="Y109" i="380"/>
  <c r="X109" i="380"/>
  <c r="W109" i="380"/>
  <c r="V109" i="380"/>
  <c r="U109" i="380"/>
  <c r="T109" i="380"/>
  <c r="S109" i="380"/>
  <c r="R109" i="380"/>
  <c r="Q109" i="380"/>
  <c r="P109" i="380"/>
  <c r="O109" i="380"/>
  <c r="N109" i="380"/>
  <c r="M109" i="380"/>
  <c r="L109" i="380"/>
  <c r="K109" i="380"/>
  <c r="J109" i="380"/>
  <c r="I109" i="380"/>
  <c r="H109" i="380"/>
  <c r="G109" i="380"/>
  <c r="F109" i="380"/>
  <c r="E109" i="380"/>
  <c r="D109" i="380"/>
  <c r="C109" i="380"/>
  <c r="AH55" i="380"/>
  <c r="AG55" i="380"/>
  <c r="AF55" i="380"/>
  <c r="AE55" i="380"/>
  <c r="AD55" i="380"/>
  <c r="AC55" i="380"/>
  <c r="AB55" i="380"/>
  <c r="AA55" i="380"/>
  <c r="Z55" i="380"/>
  <c r="Y55" i="380"/>
  <c r="X55" i="380"/>
  <c r="W55" i="380"/>
  <c r="V55" i="380"/>
  <c r="U55" i="380"/>
  <c r="T55" i="380"/>
  <c r="S55" i="380"/>
  <c r="R55" i="380"/>
  <c r="Q55" i="380"/>
  <c r="P55" i="380"/>
  <c r="O55" i="380"/>
  <c r="N55" i="380"/>
  <c r="M55" i="380"/>
  <c r="L55" i="380"/>
  <c r="K55" i="380"/>
  <c r="J55" i="380"/>
  <c r="I55" i="380"/>
  <c r="H55" i="380"/>
  <c r="G55" i="380"/>
  <c r="F55" i="380"/>
  <c r="E55" i="380"/>
  <c r="D55" i="380"/>
  <c r="C55" i="380"/>
  <c r="G55" i="346"/>
  <c r="G109" i="346"/>
  <c r="G163" i="346"/>
  <c r="AH163" i="346"/>
  <c r="AI163" i="346"/>
  <c r="AJ163" i="346"/>
  <c r="AH109" i="346"/>
  <c r="AH55" i="346"/>
  <c r="AK163" i="346"/>
  <c r="AG163" i="346"/>
  <c r="AF163" i="346"/>
  <c r="AE163" i="346"/>
  <c r="AD163" i="346"/>
  <c r="AC163" i="346"/>
  <c r="AB163" i="346"/>
  <c r="AA163" i="346"/>
  <c r="Z163" i="346"/>
  <c r="Y163" i="346"/>
  <c r="X163" i="346"/>
  <c r="W163" i="346"/>
  <c r="V163" i="346"/>
  <c r="U163" i="346"/>
  <c r="T163" i="346"/>
  <c r="S163" i="346"/>
  <c r="R163" i="346"/>
  <c r="Q163" i="346"/>
  <c r="P163" i="346"/>
  <c r="O163" i="346"/>
  <c r="N163" i="346"/>
  <c r="M163" i="346"/>
  <c r="L163" i="346"/>
  <c r="K163" i="346"/>
  <c r="J163" i="346"/>
  <c r="I163" i="346"/>
  <c r="H163" i="346"/>
  <c r="F163" i="346"/>
  <c r="E163" i="346"/>
  <c r="D163" i="346"/>
  <c r="C163" i="346"/>
  <c r="AG109" i="346"/>
  <c r="AF109" i="346"/>
  <c r="AE109" i="346"/>
  <c r="AD109" i="346"/>
  <c r="AC109" i="346"/>
  <c r="AB109" i="346"/>
  <c r="AA109" i="346"/>
  <c r="Z109" i="346"/>
  <c r="Y109" i="346"/>
  <c r="X109" i="346"/>
  <c r="W109" i="346"/>
  <c r="V109" i="346"/>
  <c r="U109" i="346"/>
  <c r="T109" i="346"/>
  <c r="S109" i="346"/>
  <c r="R109" i="346"/>
  <c r="Q109" i="346"/>
  <c r="P109" i="346"/>
  <c r="O109" i="346"/>
  <c r="N109" i="346"/>
  <c r="M109" i="346"/>
  <c r="L109" i="346"/>
  <c r="K109" i="346"/>
  <c r="J109" i="346"/>
  <c r="I109" i="346"/>
  <c r="H109" i="346"/>
  <c r="F109" i="346"/>
  <c r="E109" i="346"/>
  <c r="D109" i="346"/>
  <c r="C109" i="346"/>
  <c r="D55" i="346"/>
  <c r="E55" i="346"/>
  <c r="F55" i="346"/>
  <c r="H55" i="346"/>
  <c r="I55" i="346"/>
  <c r="J55" i="346"/>
  <c r="K55" i="346"/>
  <c r="L55" i="346"/>
  <c r="M55" i="346"/>
  <c r="N55" i="346"/>
  <c r="O55" i="346"/>
  <c r="P55" i="346"/>
  <c r="Q55" i="346"/>
  <c r="R55" i="346"/>
  <c r="S55" i="346"/>
  <c r="T55" i="346"/>
  <c r="U55" i="346"/>
  <c r="V55" i="346"/>
  <c r="W55" i="346"/>
  <c r="X55" i="346"/>
  <c r="Y55" i="346"/>
  <c r="Z55" i="346"/>
  <c r="AA55" i="346"/>
  <c r="AB55" i="346"/>
  <c r="AC55" i="346"/>
  <c r="AD55" i="346"/>
  <c r="AE55" i="346"/>
  <c r="AF55" i="346"/>
  <c r="AG55" i="346"/>
  <c r="C55" i="346"/>
  <c r="D11" i="376"/>
  <c r="F7" i="377" s="1"/>
  <c r="F18" i="375"/>
  <c r="D7" i="376"/>
  <c r="D9" i="376"/>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B27" authorId="0" shapeId="0" xr:uid="{D8C979C4-6B88-4842-9FB0-C371A043927A}">
      <text>
        <r>
          <rPr>
            <b/>
            <sz val="9"/>
            <color indexed="81"/>
            <rFont val="Tahoma"/>
            <family val="2"/>
          </rPr>
          <t xml:space="preserve">PySCnomics: </t>
        </r>
        <r>
          <rPr>
            <sz val="9"/>
            <color indexed="81"/>
            <rFont val="Tahoma"/>
            <family val="2"/>
          </rPr>
          <t xml:space="preserve">Only for non-PSC method
</t>
        </r>
      </text>
    </comment>
  </commentList>
</comments>
</file>

<file path=xl/sharedStrings.xml><?xml version="1.0" encoding="utf-8"?>
<sst xmlns="http://schemas.openxmlformats.org/spreadsheetml/2006/main" count="1298" uniqueCount="417">
  <si>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</si>
  <si>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</si>
  <si>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</si>
  <si>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</si>
  <si>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</si>
  <si>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</si>
  <si>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</si>
  <si>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</si>
  <si>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</si>
  <si>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</si>
  <si>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</si>
  <si>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</si>
  <si>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</si>
  <si>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</si>
  <si>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</si>
  <si>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</si>
  <si>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</si>
  <si>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</si>
  <si>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</si>
  <si>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</si>
  <si>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</si>
  <si>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</si>
  <si>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</si>
  <si>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</si>
  <si>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</si>
  <si>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</si>
  <si>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</si>
  <si>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</si>
  <si>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</si>
  <si>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</si>
  <si>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</si>
  <si>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</si>
  <si>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</si>
  <si>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</si>
  <si>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</si>
  <si>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</si>
  <si>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</si>
  <si>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</si>
  <si>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</si>
  <si>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</si>
  <si>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</si>
  <si>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</si>
  <si>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</si>
  <si>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</si>
  <si>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</si>
  <si>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</si>
  <si>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</si>
  <si>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</si>
  <si>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</si>
  <si>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</si>
  <si>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</si>
  <si>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</si>
  <si>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</si>
  <si>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</si>
  <si>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</si>
  <si>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</si>
  <si>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</si>
  <si>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</si>
  <si>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</si>
  <si>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</si>
  <si>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</si>
  <si>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</si>
  <si>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</si>
  <si>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</si>
  <si>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</si>
  <si>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</si>
  <si>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</si>
  <si>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</si>
  <si>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</si>
  <si>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</si>
  <si>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</si>
  <si>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</si>
  <si>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</si>
  <si>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</si>
  <si>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</si>
  <si>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</si>
  <si>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</si>
  <si>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</si>
  <si>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</si>
  <si>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</si>
  <si>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</si>
  <si>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</si>
  <si>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</si>
  <si>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</si>
  <si>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</si>
  <si>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</si>
  <si>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</si>
  <si>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</si>
  <si>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</si>
  <si>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</si>
  <si>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</si>
  <si>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</si>
  <si>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</si>
  <si>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</si>
  <si>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</si>
  <si>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</si>
  <si>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</si>
  <si>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</si>
  <si>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</si>
  <si>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</si>
  <si>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</si>
  <si>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</si>
  <si>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</si>
  <si>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</si>
  <si>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</si>
  <si>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</si>
  <si>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</si>
  <si>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</si>
  <si>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</si>
  <si>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</si>
  <si>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</si>
  <si>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</si>
  <si>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</si>
  <si>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</si>
  <si>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</si>
  <si>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</si>
  <si>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</si>
  <si>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</si>
  <si>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</si>
  <si>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</si>
  <si>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</si>
  <si>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</si>
  <si>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</si>
  <si>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</si>
  <si>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</si>
  <si>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</si>
  <si>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</si>
  <si>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</si>
  <si>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</si>
  <si>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</si>
  <si>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</si>
  <si>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</si>
  <si>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</si>
  <si>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</si>
  <si>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</si>
  <si>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</si>
  <si>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</si>
  <si>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</si>
  <si>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</si>
  <si>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</si>
  <si>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</si>
  <si>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</si>
  <si>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</si>
  <si>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</si>
  <si>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</si>
  <si>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</si>
  <si>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</si>
  <si>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</si>
  <si>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</si>
  <si>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</si>
  <si>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</si>
  <si>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</si>
  <si>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</si>
  <si>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</si>
  <si>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</si>
  <si>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</si>
  <si>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</si>
  <si>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</si>
  <si>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</si>
  <si>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</si>
  <si>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</si>
  <si>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</si>
  <si>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</si>
  <si>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</si>
  <si>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</si>
  <si>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</si>
  <si>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</si>
  <si>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</si>
  <si>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</si>
  <si>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</si>
  <si>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</si>
  <si>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</si>
  <si>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</si>
  <si>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</si>
  <si>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</si>
  <si>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</si>
  <si>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</si>
  <si>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</si>
  <si>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</si>
  <si>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</si>
  <si>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</si>
  <si>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</si>
  <si>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</si>
  <si>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</si>
  <si>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</si>
  <si>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</si>
  <si>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</si>
  <si>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</si>
  <si>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</si>
  <si>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</si>
  <si>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</si>
  <si>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</si>
  <si>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</si>
  <si>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</si>
  <si>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</si>
  <si>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</si>
  <si>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</si>
  <si>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</si>
  <si>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</si>
  <si>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</si>
  <si>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</si>
  <si>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</si>
  <si>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</si>
  <si>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</si>
  <si>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</si>
  <si>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</si>
  <si>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</si>
  <si>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</si>
  <si>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</si>
  <si>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</si>
  <si>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</si>
  <si>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</si>
  <si>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</si>
  <si>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</si>
  <si>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</si>
  <si>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</si>
  <si>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</si>
  <si>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</si>
  <si>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</si>
  <si>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</si>
  <si>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</si>
  <si>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</si>
  <si>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</si>
  <si>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</si>
  <si>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</si>
  <si>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</si>
  <si>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</si>
  <si>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</si>
  <si>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</si>
  <si>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</si>
  <si>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</si>
  <si>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</si>
  <si>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</si>
  <si>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</si>
  <si>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</si>
  <si>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POT</t>
  </si>
  <si>
    <t>years</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</si>
  <si>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</si>
  <si>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</si>
  <si>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</si>
  <si>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</si>
  <si>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</si>
  <si>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</si>
  <si>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</si>
  <si>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</si>
  <si>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</si>
  <si>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</si>
  <si>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</si>
  <si>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</si>
  <si>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</si>
  <si>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</si>
  <si>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</si>
  <si>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</si>
  <si>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</si>
  <si>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</si>
  <si>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</si>
  <si>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</si>
  <si>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</si>
  <si>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</si>
  <si>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</si>
  <si>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</si>
  <si>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</si>
  <si>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</si>
  <si>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</si>
  <si>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</si>
  <si>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</si>
  <si>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</si>
  <si>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</si>
  <si>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</si>
  <si>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</si>
  <si>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</si>
  <si>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</si>
  <si>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</si>
  <si>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</si>
  <si>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</si>
  <si>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</si>
  <si>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</si>
  <si>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</si>
  <si>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</si>
  <si>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</si>
  <si>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</si>
  <si>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</si>
  <si>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</si>
  <si>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</si>
  <si>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</si>
  <si>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</si>
  <si>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</si>
  <si>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</si>
  <si>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</si>
  <si>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</si>
  <si>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</si>
  <si>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</si>
  <si>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</si>
  <si>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</si>
  <si>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</si>
  <si>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</si>
  <si>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</si>
  <si>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</si>
  <si>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</si>
  <si>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</si>
  <si>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</si>
  <si>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</si>
  <si>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</si>
  <si>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</si>
  <si>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</si>
  <si>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</si>
  <si>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</si>
  <si>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</si>
  <si>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</si>
  <si>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</si>
  <si>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</si>
  <si>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</si>
  <si>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</si>
  <si>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</si>
  <si>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</si>
  <si>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</si>
  <si>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</si>
  <si>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</si>
  <si>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</si>
  <si>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</si>
  <si>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</si>
  <si>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</si>
  <si>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</si>
  <si>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</si>
  <si>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</si>
  <si>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</si>
  <si>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</si>
  <si>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</si>
  <si>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</si>
  <si>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</si>
  <si>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</si>
  <si>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</si>
  <si>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</si>
  <si>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</si>
  <si>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</si>
  <si>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</si>
  <si>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</si>
  <si>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</si>
  <si>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</si>
  <si>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</si>
  <si>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</si>
  <si>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</si>
  <si>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</si>
  <si>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</si>
  <si>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</si>
  <si>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</si>
  <si>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</si>
  <si>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</si>
  <si>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</si>
  <si>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</si>
  <si>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</si>
  <si>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</si>
  <si>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</si>
  <si>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</si>
  <si>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</si>
  <si>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</si>
  <si>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</si>
  <si>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</si>
  <si>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</si>
  <si>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</si>
  <si>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</si>
  <si>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</si>
  <si>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</si>
  <si>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</si>
  <si>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</si>
  <si>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</si>
  <si>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</si>
  <si>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</si>
  <si>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</si>
  <si>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</si>
  <si>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</si>
  <si>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</si>
  <si>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</si>
  <si>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</si>
  <si>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</si>
  <si>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</si>
  <si>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</si>
  <si>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</si>
  <si>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C:\Users\Abdan\.conda\envs\Econ2023\python.exe</t>
  </si>
  <si>
    <t>Due Mode</t>
  </si>
  <si>
    <t>PDJP No.20 Tahun 2017</t>
  </si>
  <si>
    <t>Tax Payment</t>
  </si>
  <si>
    <t>Sum</t>
  </si>
  <si>
    <t>Lifting Oil</t>
  </si>
  <si>
    <t>Lifting Gas</t>
  </si>
  <si>
    <t>Tax Due</t>
  </si>
  <si>
    <t>Unpaid Tax Balance</t>
  </si>
  <si>
    <t>CTR Net Share</t>
  </si>
  <si>
    <t>CTR Take</t>
  </si>
  <si>
    <t>Cash Flow</t>
  </si>
  <si>
    <t>Cum. Cash Flow</t>
  </si>
  <si>
    <t>Contr. NPV</t>
  </si>
  <si>
    <t>Contr. IRR</t>
  </si>
  <si>
    <t>Contr. PV Ratio</t>
  </si>
  <si>
    <t>C:\Users\Abdan\Documents\GitHub\pyscnomics\pyscnomics\io\main</t>
  </si>
  <si>
    <t>Contr. PI</t>
  </si>
  <si>
    <t>VAT Configuration</t>
  </si>
  <si>
    <t>VAT Rate</t>
  </si>
  <si>
    <t>LBT Configuration</t>
  </si>
  <si>
    <t>VAT Mode</t>
  </si>
  <si>
    <t>LBT Mode</t>
  </si>
  <si>
    <t>LBT Rate</t>
  </si>
  <si>
    <t>Base Oil Split</t>
  </si>
  <si>
    <t>Base Gas Split</t>
  </si>
  <si>
    <t>Oil FTP Availability</t>
  </si>
  <si>
    <t>Oil FTP is Shared</t>
  </si>
  <si>
    <t>Oil FTP Portion</t>
  </si>
  <si>
    <t>Gas FTP Availability</t>
  </si>
  <si>
    <t>Gas FTP is Shared</t>
  </si>
  <si>
    <t>Gas FTP Portion</t>
  </si>
  <si>
    <t>Indicator for Sliding Scale or RC Split</t>
  </si>
  <si>
    <t>Indicator</t>
  </si>
  <si>
    <t>Decline Factor</t>
  </si>
  <si>
    <t>Tax Rate at Second Project</t>
  </si>
  <si>
    <t>CAPEX AND OPEX</t>
  </si>
  <si>
    <t>User Input - Multi Value</t>
  </si>
  <si>
    <t>Transition CR -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</si>
</sst>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00_);_(* \(#,##0.00\);_(* &quot;-&quot;_);_(@_)"/>
    <numFmt numFmtId="165" formatCode="0.0"/>
    <numFmt numFmtId="166" formatCode="0.0000%"/>
    <numFmt numFmtId="167" formatCode="_(* #,##0.00000000_);_(* \(#,##0.00000000\);_(* &quot;-&quot;??_);_(@_)"/>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6">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
      <patternFill patternType="solid">
        <fgColor theme="2"/>
        <bgColor indexed="64"/>
      </patternFill>
    </fill>
  </fills>
  <borders count="37">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41" fontId="1" fillId="0" borderId="0" applyFont="0" applyFill="0" applyBorder="0" applyAlignment="0" applyProtection="0"/>
  </cellStyleXfs>
  <cellXfs count="131">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4"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4" fontId="11" fillId="0" borderId="13" xfId="6" applyNumberFormat="1" applyFont="1" applyFill="1" applyBorder="1" applyAlignment="1">
      <alignment horizontal="center"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166" fontId="7" fillId="4" borderId="3" xfId="2" applyNumberFormat="1" applyFont="1" applyFill="1" applyBorder="1" applyAlignment="1">
      <alignment horizontal="center"/>
    </xf>
    <xf numFmtId="0" fontId="17" fillId="9" borderId="6" xfId="0" applyFont="1" applyFill="1" applyBorder="1" applyAlignment="1">
      <alignment horizontal="center"/>
    </xf>
    <xf numFmtId="0" fontId="17" fillId="9" borderId="5" xfId="0" applyFont="1" applyFill="1" applyBorder="1" applyAlignment="1">
      <alignment horizontal="center"/>
    </xf>
    <xf numFmtId="0" fontId="0" fillId="0" borderId="7" xfId="0" applyBorder="1"/>
    <xf numFmtId="0" fontId="3" fillId="15" borderId="4" xfId="0" applyFont="1" applyFill="1" applyBorder="1" applyAlignment="1">
      <alignment horizontal="center" vertical="center"/>
    </xf>
    <xf numFmtId="0" fontId="3" fillId="15" borderId="4" xfId="0" applyFont="1" applyFill="1" applyBorder="1" applyAlignment="1">
      <alignment horizontal="center"/>
    </xf>
    <xf numFmtId="43" fontId="11" fillId="7" borderId="13" xfId="4" applyFont="1" applyFill="1" applyBorder="1" applyAlignment="1">
      <alignment horizontal="right" vertical="center"/>
    </xf>
    <xf numFmtId="10" fontId="11" fillId="7" borderId="13" xfId="2" applyNumberFormat="1" applyFont="1" applyFill="1" applyBorder="1" applyAlignment="1">
      <alignment horizontal="right" vertical="center"/>
    </xf>
    <xf numFmtId="9" fontId="11" fillId="7" borderId="13" xfId="2" applyFont="1" applyFill="1" applyBorder="1" applyAlignment="1">
      <alignment horizontal="right" vertical="center"/>
    </xf>
    <xf numFmtId="167" fontId="11" fillId="7" borderId="13" xfId="4" applyNumberFormat="1" applyFont="1" applyFill="1" applyBorder="1" applyAlignment="1">
      <alignment horizontal="right" vertical="center"/>
    </xf>
    <xf numFmtId="10" fontId="7" fillId="4" borderId="3" xfId="2" applyNumberFormat="1" applyFont="1" applyFill="1" applyBorder="1" applyAlignment="1">
      <alignment horizontal="center"/>
    </xf>
    <xf numFmtId="0" fontId="15" fillId="0" borderId="30" xfId="0" applyFont="1" applyBorder="1" applyAlignment="1">
      <alignment horizontal="center" vertical="center" wrapText="1"/>
    </xf>
    <xf numFmtId="41" fontId="15" fillId="0" borderId="32" xfId="7" applyFont="1" applyFill="1" applyBorder="1" applyAlignment="1">
      <alignment horizontal="center" vertical="center" wrapText="1"/>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11" fillId="7" borderId="34" xfId="3" applyFont="1" applyFill="1" applyBorder="1" applyAlignment="1">
      <alignment horizontal="center" vertical="center"/>
    </xf>
    <xf numFmtId="0" fontId="11" fillId="7" borderId="35" xfId="3" applyFont="1" applyFill="1" applyBorder="1" applyAlignment="1">
      <alignment horizontal="center" vertical="center"/>
    </xf>
    <xf numFmtId="0" fontId="11" fillId="7" borderId="36" xfId="3" applyFont="1" applyFill="1" applyBorder="1" applyAlignment="1">
      <alignment horizontal="center" vertical="center"/>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5" fontId="7" fillId="4" borderId="14" xfId="0" applyNumberFormat="1" applyFont="1" applyFill="1" applyBorder="1" applyAlignment="1">
      <alignment horizontal="center" vertical="center"/>
    </xf>
    <xf numFmtId="165" fontId="7" fillId="4" borderId="15" xfId="0" applyNumberFormat="1" applyFont="1" applyFill="1" applyBorder="1" applyAlignment="1">
      <alignment horizontal="center" vertical="center"/>
    </xf>
    <xf numFmtId="165"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41" fontId="15" fillId="0" borderId="32" xfId="7" applyFont="1" applyFill="1" applyBorder="1" applyAlignment="1">
      <alignment horizontal="center" wrapText="1"/>
    </xf>
    <xf numFmtId="41"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3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val="2"/>
</file>

<file path=xl/ctrlProps/ctrlProp11.xml><?xml version="1.0" encoding="utf-8"?>
<formControlPr xmlns="http://schemas.microsoft.com/office/spreadsheetml/2009/9/main" objectType="Spin" dx="26" fmlaLink="$D$16" max="10" min="1" page="10" val="2"/>
</file>

<file path=xl/ctrlProps/ctrlProp12.xml><?xml version="1.0" encoding="utf-8"?>
<formControlPr xmlns="http://schemas.microsoft.com/office/spreadsheetml/2009/9/main" objectType="Spin" dx="26" fmlaLink="$D$17" max="10" min="1" page="10" val="2"/>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8" max="10" min="1" page="10" val="2"/>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30" max="2" min="1" page="10" val="0"/>
</file>

<file path=xl/ctrlProps/ctrlProp34.xml><?xml version="1.0" encoding="utf-8"?>
<formControlPr xmlns="http://schemas.microsoft.com/office/spreadsheetml/2009/9/main" objectType="Spin" dx="26" fmlaLink="$C$60" max="2" min="1" page="10" val="0"/>
</file>

<file path=xl/ctrlProps/ctrlProp35.xml><?xml version="1.0" encoding="utf-8"?>
<formControlPr xmlns="http://schemas.microsoft.com/office/spreadsheetml/2009/9/main" objectType="Spin" dx="26" fmlaLink="$C$86" max="2" min="1" page="10" val="0"/>
</file>

<file path=xl/ctrlProps/ctrlProp36.xml><?xml version="1.0" encoding="utf-8"?>
<formControlPr xmlns="http://schemas.microsoft.com/office/spreadsheetml/2009/9/main" objectType="Spin" dx="26" fmlaLink="$C$10" max="3" min="1" page="10" val="0"/>
</file>

<file path=xl/ctrlProps/ctrlProp37.xml><?xml version="1.0" encoding="utf-8"?>
<formControlPr xmlns="http://schemas.microsoft.com/office/spreadsheetml/2009/9/main" objectType="Spin" dx="26" fmlaLink="$C$10" max="3" min="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64771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B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29</xdr:row>
          <xdr:rowOff>9525</xdr:rowOff>
        </xdr:from>
        <xdr:to>
          <xdr:col>2</xdr:col>
          <xdr:colOff>1685925</xdr:colOff>
          <xdr:row>29</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B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59</xdr:row>
          <xdr:rowOff>9525</xdr:rowOff>
        </xdr:from>
        <xdr:to>
          <xdr:col>2</xdr:col>
          <xdr:colOff>1685925</xdr:colOff>
          <xdr:row>59</xdr:row>
          <xdr:rowOff>171450</xdr:rowOff>
        </xdr:to>
        <xdr:sp macro="" textlink="">
          <xdr:nvSpPr>
            <xdr:cNvPr id="303111" name="Spinner 7" hidden="1">
              <a:extLst>
                <a:ext uri="{63B3BB69-23CF-44E3-9099-C40C66FF867C}">
                  <a14:compatExt spid="_x0000_s303111"/>
                </a:ext>
                <a:ext uri="{FF2B5EF4-FFF2-40B4-BE49-F238E27FC236}">
                  <a16:creationId xmlns:a16="http://schemas.microsoft.com/office/drawing/2014/main" id="{00000000-0008-0000-0B00-000007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85</xdr:row>
          <xdr:rowOff>9525</xdr:rowOff>
        </xdr:from>
        <xdr:to>
          <xdr:col>2</xdr:col>
          <xdr:colOff>1685925</xdr:colOff>
          <xdr:row>85</xdr:row>
          <xdr:rowOff>171450</xdr:rowOff>
        </xdr:to>
        <xdr:sp macro="" textlink="">
          <xdr:nvSpPr>
            <xdr:cNvPr id="303112" name="Spinner 8" hidden="1">
              <a:extLst>
                <a:ext uri="{63B3BB69-23CF-44E3-9099-C40C66FF867C}">
                  <a14:compatExt spid="_x0000_s303112"/>
                </a:ext>
                <a:ext uri="{FF2B5EF4-FFF2-40B4-BE49-F238E27FC236}">
                  <a16:creationId xmlns:a16="http://schemas.microsoft.com/office/drawing/2014/main" id="{00000000-0008-0000-0B00-000008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9</xdr:row>
          <xdr:rowOff>9525</xdr:rowOff>
        </xdr:from>
        <xdr:to>
          <xdr:col>2</xdr:col>
          <xdr:colOff>1295400</xdr:colOff>
          <xdr:row>9</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D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9</xdr:row>
          <xdr:rowOff>9525</xdr:rowOff>
        </xdr:from>
        <xdr:to>
          <xdr:col>2</xdr:col>
          <xdr:colOff>1295400</xdr:colOff>
          <xdr:row>9</xdr:row>
          <xdr:rowOff>171450</xdr:rowOff>
        </xdr:to>
        <xdr:sp macro="" textlink="">
          <xdr:nvSpPr>
            <xdr:cNvPr id="345089" name="Spinner 1" hidden="1">
              <a:extLst>
                <a:ext uri="{63B3BB69-23CF-44E3-9099-C40C66FF867C}">
                  <a14:compatExt spid="_x0000_s345089"/>
                </a:ext>
                <a:ext uri="{FF2B5EF4-FFF2-40B4-BE49-F238E27FC236}">
                  <a16:creationId xmlns:a16="http://schemas.microsoft.com/office/drawing/2014/main" id="{0DEC11CF-3C57-4CF4-8CA7-3229C0BE8E7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234" dataDxfId="233">
  <tableColumns count="5">
    <tableColumn id="1" xr3:uid="{F5C1188B-5A01-4D20-9CDA-43938053BE14}" name="Year" dataDxfId="232"/>
    <tableColumn id="2" xr3:uid="{488F6F74-60C4-41C0-8968-CFABEEC8C577}" name="Oil Sales (MMBOPY)" dataDxfId="231"/>
    <tableColumn id="3" xr3:uid="{FA019DEC-C16E-43AA-B922-7626C07066D2}" name="Oil Price (USD/BBL)" dataDxfId="230"/>
    <tableColumn id="4" xr3:uid="{E46E713A-179D-444E-88B6-019AD68876B5}" name="Condensate Sales (MMBOPY)" dataDxfId="229"/>
    <tableColumn id="5" xr3:uid="{04F0C769-33F5-487D-B7D5-F46799049A69}" name="Condensate Price (USD/BBL)" dataDxfId="22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227" dataDxfId="226">
  <autoFilter ref="A1:C50" xr:uid="{4F6CF9AB-FA3D-4BB4-ADAA-CA685555616C}"/>
  <tableColumns count="3">
    <tableColumn id="1" xr3:uid="{0DB2853D-2883-477A-BEC2-C3A8EC6BE1B6}" name="Year" dataDxfId="225"/>
    <tableColumn id="2" xr3:uid="{01418EAC-C4F4-48E8-9287-8988948DB9F1}" name="LPG Propane Sales (MT)" dataDxfId="224"/>
    <tableColumn id="3" xr3:uid="{4374CFEA-F40D-4DFA-9E1A-50C068F77BB6}" name="LPG Propane Price (USD/T)" dataDxfId="22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8BDAF2-94D0-408A-B616-9611E9CCB5FC}" name="tbl_prod_oil2" displayName="tbl_prod_oil2" ref="A1:E50" totalsRowShown="0" headerRowDxfId="222" dataDxfId="221">
  <tableColumns count="5">
    <tableColumn id="1" xr3:uid="{EF82E659-7472-40E9-81EE-01F19D68C0CC}" name="Year" dataDxfId="220"/>
    <tableColumn id="2" xr3:uid="{C97E2BB5-C885-43DB-84E2-222F29B76851}" name="Oil Sales (MMBOPY)" dataDxfId="219"/>
    <tableColumn id="3" xr3:uid="{79A9D70F-917C-4DFA-B992-C65B259BF036}" name="Oil Price (USD/BBL)" dataDxfId="218"/>
    <tableColumn id="4" xr3:uid="{24F1BF9D-C76F-4B36-8293-6A08E71FB09D}" name="Condensate Sales (MMBOPY)" dataDxfId="217"/>
    <tableColumn id="5" xr3:uid="{15737A4A-B500-4690-9BE6-BB5573B8E39F}" name="Condensate Price (USD/BBL)" dataDxfId="216"/>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215" dataDxfId="214">
  <autoFilter ref="A1:C50" xr:uid="{DEE72A9B-4BBC-4F3F-80BF-BC7085A5EA38}"/>
  <tableColumns count="3">
    <tableColumn id="1" xr3:uid="{9046D9DD-2F71-4AF2-8197-1C4A99CD21F1}" name="Year" dataDxfId="213"/>
    <tableColumn id="2" xr3:uid="{AC666C38-3CBA-4F89-96AF-CD0114273121}" name="Electricity Sales (Unit)" dataDxfId="212"/>
    <tableColumn id="3" xr3:uid="{A9E705E7-0E52-4109-A72A-9C8AD1165D12}" name="Price (MMUSD/Unit)" dataDxfId="21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2A82477-69BA-4C45-BAF5-46AB61A3D7DE}" name="tbl_prod_sulfur1214" displayName="tbl_prod_sulfur1214" ref="A1:C50" totalsRowShown="0" headerRowDxfId="210" dataDxfId="209">
  <autoFilter ref="A1:C50" xr:uid="{DEE72A9B-4BBC-4F3F-80BF-BC7085A5EA38}"/>
  <tableColumns count="3">
    <tableColumn id="1" xr3:uid="{A5E15333-F509-433E-80D7-4C7CC887FF94}" name="Year" dataDxfId="208"/>
    <tableColumn id="2" xr3:uid="{D4E82B64-DD29-4C93-A863-8C6AB04CE13F}" name="Electricity Sales (Unit)" dataDxfId="207"/>
    <tableColumn id="3" xr3:uid="{3B29F8D0-0573-4B3A-BFED-DEEBF0C84835}" name="Price (MMUSD/Unit)" dataDxfId="206"/>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205" dataDxfId="204">
  <autoFilter ref="A1:BJ50" xr:uid="{F3B5FD60-3EF6-4239-90D9-138C2E5C0533}"/>
  <tableColumns count="62">
    <tableColumn id="1" xr3:uid="{77AB1563-534C-4000-8990-E78C5E489BD7}" name="Year" dataDxfId="203"/>
    <tableColumn id="2" xr3:uid="{D229AC35-73B4-42FD-BBA3-AD438E380811}" name="Gas Production (BSCF)" dataDxfId="202"/>
    <tableColumn id="3" xr3:uid="{FCC8C31C-5036-4AF9-B6CE-1EEA31C5FAE9}" name="GSA 1 Volume (BSCF)" dataDxfId="201"/>
    <tableColumn id="4" xr3:uid="{C43DEA5B-2B33-4E7F-A57F-5476C60E7DCB}" name="GSA 1 GHV (BTU/SCF)" dataDxfId="200"/>
    <tableColumn id="5" xr3:uid="{41CF3913-D317-4E9F-B718-27DD21583BF7}" name="GSA 1 Price (USD/MMBTU)" dataDxfId="199"/>
    <tableColumn id="6" xr3:uid="{D3447C8E-599C-4059-A25A-5992EAF3CA98}" name="GSA 2 Volume (BSCF)" dataDxfId="198"/>
    <tableColumn id="7" xr3:uid="{08251CDD-AB2B-44EA-BB2B-B83A1024372A}" name="GSA 2 GHV (BTU/SCF)" dataDxfId="197"/>
    <tableColumn id="8" xr3:uid="{2AAA0FEE-F453-4CDC-BB43-9260633E2A77}" name="GSA 2 Price (USD/MMBTU)" dataDxfId="196"/>
    <tableColumn id="9" xr3:uid="{11DE7FD8-4E88-43BA-9FC1-5BFC6B7A4152}" name="GSA 3 Volume (BSCF)" dataDxfId="195"/>
    <tableColumn id="10" xr3:uid="{62D5C9C4-267A-4911-9B26-395CA0A13963}" name="GSA 3 GHV (BTU/SCF)" dataDxfId="194"/>
    <tableColumn id="11" xr3:uid="{8E831C1F-1E47-4011-B7F2-3315ADF97880}" name="GSA 3 Price (USD/MMBTU)" dataDxfId="193"/>
    <tableColumn id="12" xr3:uid="{7495CB1E-FAD1-4D28-AFB9-5721BE9D6A62}" name="GSA 4 Volume (BSCF)" dataDxfId="192"/>
    <tableColumn id="13" xr3:uid="{CCEEC0D9-E00C-4AE0-A6FB-2A21358BEFD2}" name="GSA 4 GHV (BTU/SCF)" dataDxfId="191"/>
    <tableColumn id="14" xr3:uid="{02D4E6A1-2B65-421C-8510-61E7E14C93AF}" name="GSA 4 Price (USD/MMBTU)" dataDxfId="190"/>
    <tableColumn id="15" xr3:uid="{81A66C00-B18B-44A8-B655-2F196AEDE152}" name="GSA 5 Volume (BSCF)" dataDxfId="189"/>
    <tableColumn id="16" xr3:uid="{E3C45877-F389-429D-8AA5-C760BD17A529}" name="GSA 5 GHV (BTU/SCF)" dataDxfId="188"/>
    <tableColumn id="17" xr3:uid="{29EC26AB-1FD3-4B90-8A35-51DD0A51A022}" name="GSA 5 Price (USD/MMBTU)" dataDxfId="187"/>
    <tableColumn id="18" xr3:uid="{13A537C0-0178-4CB4-B395-6E350791AFD2}" name="GSA 6 Volume (BSCF)5" dataDxfId="186"/>
    <tableColumn id="19" xr3:uid="{200121C4-4603-4606-9C7C-E8E2BEB00D03}" name="GSA 6 GHV (BTU/SCF)" dataDxfId="185"/>
    <tableColumn id="20" xr3:uid="{8C225936-78F4-424A-A66E-AC5E32060AAF}" name="GSA 6 Price (USD/MMBTU)" dataDxfId="184"/>
    <tableColumn id="21" xr3:uid="{44CE13E9-EEEF-4BEC-8518-6B116C1AD26B}" name="GSA 7 Volume (BSCF)" dataDxfId="183"/>
    <tableColumn id="22" xr3:uid="{ECD91665-11BC-45C6-9498-68BDC2D7C660}" name="GSA 7 GHV (BTU/SCF)" dataDxfId="182"/>
    <tableColumn id="23" xr3:uid="{BBCF0D25-A5E6-4644-964E-087F828A3214}" name="GSA 7 Price (USD/MMBTU)" dataDxfId="181"/>
    <tableColumn id="24" xr3:uid="{8DBCA4FF-FABE-4194-B3F6-1DBCEF167B28}" name="GSA 8 Volume (BSCF)" dataDxfId="180"/>
    <tableColumn id="25" xr3:uid="{C036027E-6E33-43E1-BE27-B060EB711E54}" name="GSA 8 GHV (BTU/SCF)" dataDxfId="179"/>
    <tableColumn id="26" xr3:uid="{F97DC2DB-AC07-4EF5-8063-0BE58357542D}" name="GSA 8 Price (USD/MMBTU)" dataDxfId="178"/>
    <tableColumn id="27" xr3:uid="{DA65A24F-CADB-4DE1-8A15-3A7FBA499C71}" name="GSA 9 Volume (BSCF)" dataDxfId="177"/>
    <tableColumn id="28" xr3:uid="{965B634C-0E56-49A6-8114-ACEABD08501E}" name="GSA 9 GHV (BTU/SCF)" dataDxfId="176"/>
    <tableColumn id="29" xr3:uid="{EBB76C16-8154-4DF6-ACC0-632DF52511A6}" name="GSA 9 Price (USD/MMBTU)" dataDxfId="175"/>
    <tableColumn id="30" xr3:uid="{2EE56E13-7901-46A4-B827-82F154323535}" name="GSA 10 Volume (BSCF)" dataDxfId="174"/>
    <tableColumn id="31" xr3:uid="{B059A543-383C-48AF-974C-15AEF15B1E83}" name="GSA 10 GHV (BTU/SCF)" dataDxfId="173"/>
    <tableColumn id="32" xr3:uid="{EB5FE66C-4F13-4C5A-9295-9CA6B5EBE0DB}" name="GSA 10 Price (USD/MMBTU)" dataDxfId="172"/>
    <tableColumn id="33" xr3:uid="{48C2A0C4-CDE1-43D4-80DA-9A04CFD50DF3}" name="GSA 11 Volume (BSCF)" dataDxfId="171"/>
    <tableColumn id="34" xr3:uid="{D58B2C50-D5D3-4FA0-BF0F-B249498FE2E5}" name="GSA 11 GHV (BTU/SCF)" dataDxfId="170"/>
    <tableColumn id="35" xr3:uid="{086395B3-EDF7-4416-824F-DADC5A41C808}" name="GSA 11 Price (USD/MMBTU)" dataDxfId="169"/>
    <tableColumn id="36" xr3:uid="{50F0227B-E5CB-4438-A313-A1630B0C4478}" name="GSA 12 Volume (BSCF)" dataDxfId="168"/>
    <tableColumn id="37" xr3:uid="{2E59E514-274A-4FF3-97F1-4C10C438F92C}" name="GSA 12 GHV (BTU/SCF)" dataDxfId="167"/>
    <tableColumn id="38" xr3:uid="{DC78227B-224D-4D70-AAA8-998E0854A236}" name="GSA 12 Price (USD/MMBTU)" dataDxfId="166"/>
    <tableColumn id="39" xr3:uid="{380FF60C-4086-4E19-B225-F579C632C9DF}" name="GSA 13 Volume (BSCF)5" dataDxfId="165"/>
    <tableColumn id="40" xr3:uid="{EA265128-A0AF-496A-8215-D7EA67E172D9}" name="GSA 13 GHV (BTU/SCF)" dataDxfId="164"/>
    <tableColumn id="41" xr3:uid="{6B34D3A2-F4F8-4588-9485-1E1F4AB9929F}" name="GSA 13 Price (USD/MMBTU)" dataDxfId="163"/>
    <tableColumn id="42" xr3:uid="{13937CA0-4E6B-49CB-82C8-CD285DE9A0AD}" name="GSA 14 Volume (BSCF)" dataDxfId="162"/>
    <tableColumn id="43" xr3:uid="{F104848B-FC0E-4CBC-8952-456A40422817}" name="GSA 14 GHV (BTU/SCF)" dataDxfId="161"/>
    <tableColumn id="44" xr3:uid="{A52502E1-9A56-45E0-B86B-4ADC54D7C46F}" name="GSA 14 Price (USD/MMBTU)" dataDxfId="160"/>
    <tableColumn id="45" xr3:uid="{D0E6F40C-E9D8-476C-974F-CD8BD0CC9E3E}" name="GSA 15 Volume (BSCF)" dataDxfId="159"/>
    <tableColumn id="46" xr3:uid="{D56CBA84-14DB-427F-BA7E-8A9A8CD3EF99}" name="GSA 15 GHV (BTU/SCF)" dataDxfId="158"/>
    <tableColumn id="47" xr3:uid="{79C8FA99-16A2-404A-8433-D73D4D3115E8}" name="GSA 15 Price (USD/MMBTU)" dataDxfId="157"/>
    <tableColumn id="48" xr3:uid="{7000071C-AB3D-4E5E-BAFD-6D0FF7DC3959}" name="GSA 16 Volume (BSCF)" dataDxfId="156"/>
    <tableColumn id="49" xr3:uid="{666AD423-FDD2-4B36-B9F4-1190CD03FDA3}" name="GSA 16 GHV (BTU/SCF)" dataDxfId="155"/>
    <tableColumn id="50" xr3:uid="{AE6DCD42-F2A8-4EA9-8085-856DCD64C3F8}" name="GSA 16 Price (USD/MMBTU)" dataDxfId="154"/>
    <tableColumn id="51" xr3:uid="{0691CFC8-568E-4AD2-920C-23CAEB458DAD}" name="GSA 17 Volume (BSCF)" dataDxfId="153"/>
    <tableColumn id="52" xr3:uid="{16C1EC1E-B5AC-4161-A0BF-CBB9D4021BC8}" name="GSA 17 GHV (BTU/SCF)" dataDxfId="152"/>
    <tableColumn id="53" xr3:uid="{1508BBC4-8EA3-47F1-8A28-5F141C9A3043}" name="GSA 17 Price (USD/MMBTU)" dataDxfId="151"/>
    <tableColumn id="62" xr3:uid="{969F6049-83E6-4535-A53A-482126AA77D7}" name="GSA 18 Volume (BSCF)" dataDxfId="150"/>
    <tableColumn id="61" xr3:uid="{03793DC0-561A-4F93-A29A-C63F176A5815}" name="GSA 18 GHV (BTU/SCF)" dataDxfId="149"/>
    <tableColumn id="60" xr3:uid="{FEAD4B29-4CB5-4083-BBB7-B1DBD002BE7E}" name="GSA 18 Price (USD/MMBTU)" dataDxfId="148"/>
    <tableColumn id="54" xr3:uid="{FDC4A9DF-4688-4830-B992-39D1F5107766}" name="GSA 19 Volume (BSCF)" dataDxfId="147"/>
    <tableColumn id="55" xr3:uid="{B0D7E298-E213-45EC-81C3-3AEA0B511A75}" name="GSA 19 GHV (BTU/SCF)" dataDxfId="146"/>
    <tableColumn id="56" xr3:uid="{65BE7B38-E137-4116-BE99-9732D0D27601}" name="GSA 19 Price (USD/MMBTU)" dataDxfId="145"/>
    <tableColumn id="57" xr3:uid="{66A45D79-4EFD-4A60-B7FC-2AAF364EBD1D}" name="GSA 20 Volume (BSCF)5" dataDxfId="144"/>
    <tableColumn id="58" xr3:uid="{F6354756-CE1B-4E3C-993B-28993F1AAAD2}" name="GSA 20 GHV (BTU/SCF)" dataDxfId="143"/>
    <tableColumn id="59" xr3:uid="{DCC94FD8-C643-4565-AB15-65A7E5B1F9AA}" name="GSA 20 Price (USD/MMBTU)" dataDxfId="14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45992F-DA00-4475-96BE-1F4FD7016544}" name="tbl_prod_gas8" displayName="tbl_prod_gas8" ref="A1:BJ50" totalsRowShown="0" headerRowDxfId="141" dataDxfId="140">
  <autoFilter ref="A1:BJ50" xr:uid="{F3B5FD60-3EF6-4239-90D9-138C2E5C0533}"/>
  <tableColumns count="62">
    <tableColumn id="1" xr3:uid="{1EB6DF0E-7A0D-4397-ADA8-18926843B695}" name="Year" dataDxfId="139"/>
    <tableColumn id="2" xr3:uid="{EE42844C-1D30-4A81-82DE-EBC5EF0037CF}" name="Gas Production (BSCF)" dataDxfId="138"/>
    <tableColumn id="3" xr3:uid="{D7377DB0-26D2-4C67-9363-082B7F0F2B28}" name="GSA 1 Volume (BSCF)" dataDxfId="137"/>
    <tableColumn id="4" xr3:uid="{1EDAEB57-E246-44E4-B9A4-9DBF7483A1E1}" name="GSA 1 GHV (BTU/SCF)" dataDxfId="136"/>
    <tableColumn id="5" xr3:uid="{71405492-25B6-4BEF-9E03-E584B4653F4F}" name="GSA 1 Price (USD/MMBTU)" dataDxfId="135"/>
    <tableColumn id="6" xr3:uid="{129ACB72-4F69-42FF-ACB5-3B81ECD8D91F}" name="GSA 2 Volume (BSCF)" dataDxfId="134"/>
    <tableColumn id="7" xr3:uid="{7F4016A2-FC80-4985-ADA9-2CFCC763830E}" name="GSA 2 GHV (BTU/SCF)" dataDxfId="133"/>
    <tableColumn id="8" xr3:uid="{7095FA92-387C-4778-8F3A-9EB0E7C86432}" name="GSA 2 Price (USD/MMBTU)" dataDxfId="132"/>
    <tableColumn id="9" xr3:uid="{A92F788B-02FF-403F-A73A-27AB91E71FD8}" name="GSA 3 Volume (BSCF)" dataDxfId="131"/>
    <tableColumn id="10" xr3:uid="{E4B7F416-AB5D-4AE9-9159-596550AEC0DB}" name="GSA 3 GHV (BTU/SCF)" dataDxfId="130"/>
    <tableColumn id="11" xr3:uid="{62BF700D-B417-42F8-A369-4AC9CDF986FD}" name="GSA 3 Price (USD/MMBTU)" dataDxfId="129"/>
    <tableColumn id="12" xr3:uid="{A68D6CCC-340E-4E62-A724-0C0BD4A74230}" name="GSA 4 Volume (BSCF)" dataDxfId="128"/>
    <tableColumn id="13" xr3:uid="{1C79B9DC-8E2F-450C-B403-3B4390E42348}" name="GSA 4 GHV (BTU/SCF)" dataDxfId="127"/>
    <tableColumn id="14" xr3:uid="{737A7AE4-7583-4174-9EA0-DD6EDF06F449}" name="GSA 4 Price (USD/MMBTU)" dataDxfId="126"/>
    <tableColumn id="15" xr3:uid="{D64A6F9B-4D00-4F17-A31D-B1D7C956FAF2}" name="GSA 5 Volume (BSCF)" dataDxfId="125"/>
    <tableColumn id="16" xr3:uid="{2E75B63A-1830-4268-ABF2-E42A521F3116}" name="GSA 5 GHV (BTU/SCF)" dataDxfId="124"/>
    <tableColumn id="17" xr3:uid="{EB2BD659-7694-4644-9EFA-DEFD07025A44}" name="GSA 5 Price (USD/MMBTU)" dataDxfId="123"/>
    <tableColumn id="18" xr3:uid="{827211D5-A76D-42C5-A501-974BEFE1F10C}" name="GSA 6 Volume (BSCF)5" dataDxfId="122"/>
    <tableColumn id="19" xr3:uid="{3AF66F37-0006-4575-91A4-9266F4A7EBAD}" name="GSA 6 GHV (BTU/SCF)" dataDxfId="121"/>
    <tableColumn id="20" xr3:uid="{2D7145B8-6B1E-4FCA-8273-88E36A493856}" name="GSA 6 Price (USD/MMBTU)" dataDxfId="120"/>
    <tableColumn id="21" xr3:uid="{D7E6312F-590F-46F1-A3E9-7AD21611DE10}" name="GSA 7 Volume (BSCF)" dataDxfId="119"/>
    <tableColumn id="22" xr3:uid="{49FF6173-9812-4CBA-86C2-8D4162258EA2}" name="GSA 7 GHV (BTU/SCF)" dataDxfId="118"/>
    <tableColumn id="23" xr3:uid="{B4A2B168-6DD1-4769-B8A0-BB54B0B6F4F4}" name="GSA 7 Price (USD/MMBTU)" dataDxfId="117"/>
    <tableColumn id="24" xr3:uid="{44DE0954-A78A-4052-9A56-A541180FC1FD}" name="GSA 8 Volume (BSCF)" dataDxfId="116"/>
    <tableColumn id="25" xr3:uid="{E8459D9B-92AF-4237-8D53-0C87C282D586}" name="GSA 8 GHV (BTU/SCF)" dataDxfId="115"/>
    <tableColumn id="26" xr3:uid="{885F59E7-0352-4A7D-8C1D-6FF4445907D7}" name="GSA 8 Price (USD/MMBTU)" dataDxfId="114"/>
    <tableColumn id="27" xr3:uid="{94428370-5D44-42C8-8E2D-E245C93C974E}" name="GSA 9 Volume (BSCF)" dataDxfId="113"/>
    <tableColumn id="28" xr3:uid="{5018755B-D2A7-4CA5-AE71-72CD550C31FE}" name="GSA 9 GHV (BTU/SCF)" dataDxfId="112"/>
    <tableColumn id="29" xr3:uid="{E55DB6AE-7D8D-484C-896E-2F763C8F169E}" name="GSA 9 Price (USD/MMBTU)" dataDxfId="111"/>
    <tableColumn id="30" xr3:uid="{42F72002-F3CC-4470-BC3C-C6BB35C111EF}" name="GSA 10 Volume (BSCF)" dataDxfId="110"/>
    <tableColumn id="31" xr3:uid="{C1BEFDF3-301E-4EA7-A0E5-219A4A5E846D}" name="GSA 10 GHV (BTU/SCF)" dataDxfId="109"/>
    <tableColumn id="32" xr3:uid="{ADA93A24-6EE1-4C9C-B71C-7B423490530A}" name="GSA 10 Price (USD/MMBTU)" dataDxfId="108"/>
    <tableColumn id="33" xr3:uid="{8B217011-AF42-4AD4-A10C-02AF4DED2621}" name="GSA 11 Volume (BSCF)" dataDxfId="107"/>
    <tableColumn id="34" xr3:uid="{F5CDA3CB-4CA2-4ED5-AAFA-AFF48B002B9E}" name="GSA 11 GHV (BTU/SCF)" dataDxfId="106"/>
    <tableColumn id="35" xr3:uid="{A284500A-4683-4B44-873A-34E1E8D234ED}" name="GSA 11 Price (USD/MMBTU)" dataDxfId="105"/>
    <tableColumn id="36" xr3:uid="{FB77E4DE-82BD-4A1B-8876-FEE140DC5C6A}" name="GSA 12 Volume (BSCF)" dataDxfId="104"/>
    <tableColumn id="37" xr3:uid="{E709781A-5C0A-4AA7-B791-D192443BB159}" name="GSA 12 GHV (BTU/SCF)" dataDxfId="103"/>
    <tableColumn id="38" xr3:uid="{F9457929-31C0-4F33-A01A-551335AECBAE}" name="GSA 12 Price (USD/MMBTU)" dataDxfId="102"/>
    <tableColumn id="39" xr3:uid="{DEFE69F1-D649-4BEE-A90F-DB19CD1B42D1}" name="GSA 13 Volume (BSCF)5" dataDxfId="101"/>
    <tableColumn id="40" xr3:uid="{62655B10-6479-4FE4-AE53-0C6F0CDE3FD5}" name="GSA 13 GHV (BTU/SCF)" dataDxfId="100"/>
    <tableColumn id="41" xr3:uid="{7B0FA78D-0EF2-40C9-97FF-9A638442407B}" name="GSA 13 Price (USD/MMBTU)" dataDxfId="99"/>
    <tableColumn id="42" xr3:uid="{93746FCE-3ED1-4E59-A2D6-2ACDCBD514FF}" name="GSA 14 Volume (BSCF)" dataDxfId="98"/>
    <tableColumn id="43" xr3:uid="{EF0043F0-BC92-4103-80FC-69344FDFE67E}" name="GSA 14 GHV (BTU/SCF)" dataDxfId="97"/>
    <tableColumn id="44" xr3:uid="{7A0C456D-41C0-400A-9322-1B0F5FA6AD1E}" name="GSA 14 Price (USD/MMBTU)" dataDxfId="96"/>
    <tableColumn id="45" xr3:uid="{C9040E03-9A4E-4E2A-8960-47F737F1C030}" name="GSA 15 Volume (BSCF)" dataDxfId="95"/>
    <tableColumn id="46" xr3:uid="{E1122EBF-F967-45F2-8C73-98B323034FBD}" name="GSA 15 GHV (BTU/SCF)" dataDxfId="94"/>
    <tableColumn id="47" xr3:uid="{770CD4F4-F7B3-4B92-AB2A-CA930510CFD3}" name="GSA 15 Price (USD/MMBTU)" dataDxfId="93"/>
    <tableColumn id="48" xr3:uid="{E96FDC87-E358-4C8E-B65C-1B77116D5DFB}" name="GSA 16 Volume (BSCF)" dataDxfId="92"/>
    <tableColumn id="49" xr3:uid="{E33746C4-8074-4DA8-B2E3-D9F36247550D}" name="GSA 16 GHV (BTU/SCF)" dataDxfId="91"/>
    <tableColumn id="50" xr3:uid="{0C75C8FD-0981-4FB7-8183-629A121B9B7E}" name="GSA 16 Price (USD/MMBTU)" dataDxfId="90"/>
    <tableColumn id="51" xr3:uid="{2EB595BE-C07B-47F6-8A33-4A99705839E0}" name="GSA 17 Volume (BSCF)" dataDxfId="89"/>
    <tableColumn id="52" xr3:uid="{738EE615-0B34-4F2A-B3C7-4A5D0A03D12E}" name="GSA 17 GHV (BTU/SCF)" dataDxfId="88"/>
    <tableColumn id="53" xr3:uid="{6B5124C7-4905-48FB-86AE-91079CF23818}" name="GSA 17 Price (USD/MMBTU)" dataDxfId="87"/>
    <tableColumn id="62" xr3:uid="{DC9A9CB8-00EB-423D-91EB-C3AF41014B8C}" name="GSA 18 Volume (BSCF)" dataDxfId="86"/>
    <tableColumn id="61" xr3:uid="{45AF899F-7BCB-41E4-B699-F40612830EDA}" name="GSA 18 GHV (BTU/SCF)" dataDxfId="85"/>
    <tableColumn id="60" xr3:uid="{FC257364-6441-4F10-A1AE-2B72FA997E59}" name="GSA 18 Price (USD/MMBTU)" dataDxfId="84"/>
    <tableColumn id="54" xr3:uid="{AF2E048F-96EB-4742-9E4B-F14CFF3CEE73}" name="GSA 19 Volume (BSCF)" dataDxfId="83"/>
    <tableColumn id="55" xr3:uid="{5BC70A7D-1CF8-4473-9976-2DA2CD974365}" name="GSA 19 GHV (BTU/SCF)" dataDxfId="82"/>
    <tableColumn id="56" xr3:uid="{0DA1794F-213A-4D8C-A80E-ED38F4C145C7}" name="GSA 19 Price (USD/MMBTU)" dataDxfId="81"/>
    <tableColumn id="57" xr3:uid="{F76FA096-BE9E-4B98-B203-82EA24E685DC}" name="GSA 20 Volume (BSCF)5" dataDxfId="80"/>
    <tableColumn id="58" xr3:uid="{AEF565A0-C8A9-4137-B676-BBDCE0AAD88D}" name="GSA 20 GHV (BTU/SCF)" dataDxfId="79"/>
    <tableColumn id="59" xr3:uid="{E46164F7-A869-4FB3-BC7C-FE1F020CE52D}" name="GSA 20 Price (USD/MMBTU)" dataDxfId="78"/>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FC6A55-E7C6-44FE-B00E-6EFE5834686B}" name="tbl_prod_lpgpropane9" displayName="tbl_prod_lpgpropane9" ref="A1:C50" totalsRowShown="0" headerRowDxfId="77" dataDxfId="76">
  <autoFilter ref="A1:C50" xr:uid="{4F6CF9AB-FA3D-4BB4-ADAA-CA685555616C}"/>
  <tableColumns count="3">
    <tableColumn id="1" xr3:uid="{9D2CB9AA-FF0E-4668-B843-A52469147E6D}" name="Year" dataDxfId="75"/>
    <tableColumn id="2" xr3:uid="{2E2DB5E6-5677-4DC0-8E30-7411C9C31D79}" name="LPG Propane Sales (MT)" dataDxfId="74"/>
    <tableColumn id="3" xr3:uid="{E73B89E5-80D0-4904-9609-63A2C7EE9218}" name="LPG Propane Price (USD/T)" dataDxfId="73"/>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72" dataDxfId="71">
  <autoFilter ref="A1:C50" xr:uid="{DEE72A9B-4BBC-4F3F-80BF-BC7085A5EA38}"/>
  <tableColumns count="3">
    <tableColumn id="1" xr3:uid="{36797F45-B4D8-4AAF-9EF9-72A94931E9BD}" name="Year" dataDxfId="70"/>
    <tableColumn id="2" xr3:uid="{F565D607-058E-4CC9-A868-ABC946C30F0A}" name="Sulfur Sales (Ton)" dataDxfId="69"/>
    <tableColumn id="3" xr3:uid="{FE95A159-27F7-4729-98BD-3BC24A13F318}" name="Price (MMUSD/Unit)" dataDxfId="6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67" dataDxfId="66">
  <autoFilter ref="A1:F200" xr:uid="{7C91890B-09E6-4AFA-B40C-6F75BB3A42FE}"/>
  <tableColumns count="6">
    <tableColumn id="1" xr3:uid="{EA9912A2-FB4D-4FF7-8E68-51936E856411}" name="Year" dataDxfId="65"/>
    <tableColumn id="3" xr3:uid="{1CE8F2C7-DD5F-4DEA-9086-BF2335D1081C}" name="Associated With" dataDxfId="64"/>
    <tableColumn id="4" xr3:uid="{7E00D1F9-CE30-44EC-8013-F359F8BB7526}" name="Cost (MUSD)" dataDxfId="63"/>
    <tableColumn id="6" xr3:uid="{6AA0DA30-A6A0-4F5A-8A9D-599F23F31F9A}" name="VAT Portion" dataDxfId="62"/>
    <tableColumn id="2" xr3:uid="{20C207BB-9D25-48F4-A557-2DE98DC86DE2}" name="LBT Portion" dataDxfId="61"/>
    <tableColumn id="7" xr3:uid="{88C69571-67EC-47E5-9D42-08FE1421FD7B}" name="Description" dataDxfId="60"/>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59" dataDxfId="58">
  <autoFilter ref="A1:F200" xr:uid="{7C91890B-09E6-4AFA-B40C-6F75BB3A42FE}"/>
  <tableColumns count="6">
    <tableColumn id="1" xr3:uid="{D90C6F3C-116C-43AA-9F64-E2131D95E5C5}" name="Year" dataDxfId="57"/>
    <tableColumn id="3" xr3:uid="{9372B980-5592-43DD-ACB0-807DB4570841}" name="Associated With" dataDxfId="56"/>
    <tableColumn id="4" xr3:uid="{206A9B04-1A88-477A-8F64-4C0F0E3C5733}" name="Cost (MUSD)" dataDxfId="55"/>
    <tableColumn id="6" xr3:uid="{6949DE12-A1F2-402E-AD64-B2E62B7B03B0}" name="VAT Portion" dataDxfId="54"/>
    <tableColumn id="2" xr3:uid="{8AB5815F-EA72-48B7-8147-A2F48253134F}" name="LBT Portion" dataDxfId="53"/>
    <tableColumn id="7" xr3:uid="{409BC20B-C4FF-4632-A019-CE1FBF972D05}" name="Description" dataDxfId="52"/>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71FB06-0ACB-4ACB-AD6F-E6EEFD925124}" name="tbl_prod_sulfur13" displayName="tbl_prod_sulfur13" ref="A1:C50" totalsRowShown="0" headerRowDxfId="51" dataDxfId="50">
  <autoFilter ref="A1:C50" xr:uid="{DEE72A9B-4BBC-4F3F-80BF-BC7085A5EA38}"/>
  <tableColumns count="3">
    <tableColumn id="1" xr3:uid="{25F61EB7-3EF5-417F-87FF-8E09D7805E20}" name="Year" dataDxfId="49"/>
    <tableColumn id="2" xr3:uid="{48BE659F-6BA3-4C58-A876-C8E822ED127D}" name="Sulfur Sales (Ton)" dataDxfId="48"/>
    <tableColumn id="3" xr3:uid="{BD4F91D1-32BF-4082-950C-D7D91A045D43}" name="Price (MMUSD/Unit)" dataDxfId="47"/>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6" dataDxfId="45" tableBorderDxfId="44">
  <autoFilter ref="A1:C50" xr:uid="{AFC9D790-2204-4F4A-AEE5-A13F7CE6AF28}"/>
  <tableColumns count="3">
    <tableColumn id="1" xr3:uid="{B94BBB40-0B72-4B57-B720-38EEC1B95A78}" name="Year" dataDxfId="43"/>
    <tableColumn id="2" xr3:uid="{F53E2F6F-AB58-41DA-895C-419E73EC60A8}" name="CO2 Sales (Ton)" dataDxfId="42"/>
    <tableColumn id="3" xr3:uid="{6782EC61-C652-4E3C-B9F2-11DB4EFF1616}" name="Price (MMUSD/Unit)" dataDxfId="41"/>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40" dataDxfId="39">
  <autoFilter ref="A1:K200" xr:uid="{7C91890B-09E6-4AFA-B40C-6F75BB3A42FE}"/>
  <tableColumns count="11">
    <tableColumn id="1" xr3:uid="{C5E29AD2-AE25-44BD-901B-58F05DE5E702}" name="Year" dataDxfId="38"/>
    <tableColumn id="3" xr3:uid="{34B633CC-B7D2-4E02-B4C0-6546AED90ECD}" name="Associated With" dataDxfId="37"/>
    <tableColumn id="4" xr3:uid="{15363438-3001-44B3-BFFB-44F0E337DA0F}" name="Cost (MUSD)" dataDxfId="36"/>
    <tableColumn id="5" xr3:uid="{26A9C678-E732-4913-AC99-C95C83093FA8}" name="PIS Year" dataDxfId="35"/>
    <tableColumn id="8" xr3:uid="{7364EFAD-EAA4-45EB-8863-C84BB6B52FCF}" name="Useful Life (Years)" dataDxfId="34"/>
    <tableColumn id="9" xr3:uid="{7894BF9B-F0BD-4BFE-BFA3-3BE9D613C40A}" name="Depreciation Factor" dataDxfId="33"/>
    <tableColumn id="11" xr3:uid="{3328797F-722A-43DE-B743-779488C03E40}" name="Salvage Value" dataDxfId="32"/>
    <tableColumn id="10" xr3:uid="{88614DD2-0187-4679-A89D-61C72EA94D65}" name="Applied By IC" dataDxfId="31"/>
    <tableColumn id="6" xr3:uid="{A9867297-A677-4A93-9B0F-A32163B58107}" name="VAT Portion" dataDxfId="30"/>
    <tableColumn id="12" xr3:uid="{E4597EDC-E479-4B07-9316-B7D3C15AAE4C}" name="LBT Portion" dataDxfId="29"/>
    <tableColumn id="7" xr3:uid="{E6363697-EFAA-4A7E-A486-8D9583D38261}" name="Description" dataDxfId="28"/>
  </tableColumns>
  <tableStyleInfo name="TableStyleLight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7" dataDxfId="26">
  <autoFilter ref="A1:H200" xr:uid="{7C91890B-09E6-4AFA-B40C-6F75BB3A42FE}"/>
  <tableColumns count="8">
    <tableColumn id="1" xr3:uid="{AC895082-1EAA-441F-8FD0-34C18A1CB089}" name="Year" dataDxfId="25"/>
    <tableColumn id="3" xr3:uid="{FE660166-2BA0-42A0-937E-5DBF97CED42C}" name="Associated With" dataDxfId="24"/>
    <tableColumn id="4" xr3:uid="{C739732C-69FF-4102-B6A2-101C10C34836}" name="Fixed Cost (MUSD)" dataDxfId="23"/>
    <tableColumn id="5" xr3:uid="{67A869D6-1E1C-47FA-9CB2-B9EBAB8A9115}" name="Production Rate" dataDxfId="22"/>
    <tableColumn id="8" xr3:uid="{45C3823F-84A4-4F62-A0A4-DA263536063F}" name="Cost Per Production Volume" dataDxfId="21"/>
    <tableColumn id="6" xr3:uid="{1A0F968A-3852-413A-94F7-58572EA4EED6}" name="VAT Portion" dataDxfId="20"/>
    <tableColumn id="2" xr3:uid="{3BE87D45-FDD7-4B44-8923-9B29FC792264}" name="LBT Portion" dataDxfId="19"/>
    <tableColumn id="7" xr3:uid="{4719FAF0-B894-4DE5-830E-BDF8B52BACBC}" name="Description" dataDxfId="18"/>
  </tableColumns>
  <tableStyleInfo name="TableStyleLight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7" dataDxfId="16" tableBorderDxfId="15">
  <autoFilter ref="A1:C50" xr:uid="{A8B16AAF-E66E-4CE6-9E4E-EF4357083D9F}"/>
  <tableColumns count="3">
    <tableColumn id="1" xr3:uid="{6D5873CF-438A-4FB6-916E-EE4D8EA16C1B}" name="Year" dataDxfId="14"/>
    <tableColumn id="2" xr3:uid="{43FF55CD-251A-41D3-8DF3-39F98EEBC7E1}" name="LPG Butane Sales (MT)" dataDxfId="13"/>
    <tableColumn id="3" xr3:uid="{2AAABAE2-6AC9-4B24-A446-5622714DF15D}" name="LPG Butane Price(USD/T)" dataDxfId="1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81AB56E-FA45-47EE-A38A-3A2B37D52A05}" name="tbl_prod_lpgbutane10" displayName="tbl_prod_lpgbutane10" ref="A1:C50" totalsRowShown="0" headerRowDxfId="11" dataDxfId="10" tableBorderDxfId="9">
  <autoFilter ref="A1:C50" xr:uid="{A8B16AAF-E66E-4CE6-9E4E-EF4357083D9F}"/>
  <tableColumns count="3">
    <tableColumn id="1" xr3:uid="{33B6E967-0524-4C16-8B3D-717EBBB746BB}" name="Year" dataDxfId="8"/>
    <tableColumn id="2" xr3:uid="{2FAA78AC-06D5-4C55-99E1-8458215223E5}" name="LPG Butane Sales (MT)" dataDxfId="7"/>
    <tableColumn id="3" xr3:uid="{BB398D31-8E1A-4C86-B1CF-4EB8CFE46D98}" name="LPG Butane Price(USD/T)" dataDxfId="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87BFD61-0953-4B76-9FA6-ADC6CD17E480}" name="tbl_prod_co211" displayName="tbl_prod_co211" ref="A1:C50" totalsRowShown="0" headerRowDxfId="5" dataDxfId="4" tableBorderDxfId="3">
  <autoFilter ref="A1:C50" xr:uid="{AFC9D790-2204-4F4A-AEE5-A13F7CE6AF28}"/>
  <tableColumns count="3">
    <tableColumn id="1" xr3:uid="{DE6C53FC-C337-4538-BAD0-735F9B96BBAC}" name="Year" dataDxfId="2"/>
    <tableColumn id="2" xr3:uid="{5D269268-FFE4-45EE-B837-27A523D17DC8}" name="CO2 Sales (Ton)" dataDxfId="1"/>
    <tableColumn id="3" xr3:uid="{60C23B95-4850-4DC6-992E-8C02F3AF7164}" name="Price (MMUSD/Unit)"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3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20"/>
  <sheetViews>
    <sheetView showGridLines="0" showRowColHeaders="0" zoomScale="140" zoomScaleNormal="140" workbookViewId="0">
      <selection activeCell="J5" sqref="J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95" t="s">
        <v>364</v>
      </c>
      <c r="F9" s="95"/>
      <c r="G9" s="95"/>
      <c r="H9" s="95"/>
    </row>
    <row r="10" spans="1:8" x14ac:dyDescent="0.25"/>
    <row r="11" spans="1:8" x14ac:dyDescent="0.25"/>
    <row r="12" spans="1:8" x14ac:dyDescent="0.25"/>
    <row r="13" spans="1:8" ht="13.9" customHeight="1" x14ac:dyDescent="0.25"/>
    <row r="14" spans="1:8" x14ac:dyDescent="0.25"/>
    <row r="15" spans="1:8" ht="15.75" x14ac:dyDescent="0.25">
      <c r="A15" s="39">
        <v>2023</v>
      </c>
      <c r="B15" s="38"/>
    </row>
    <row r="16" spans="1:8" x14ac:dyDescent="0.25"/>
    <row r="19" spans="1:1" hidden="1" x14ac:dyDescent="0.25">
      <c r="A19" t="s">
        <v>378</v>
      </c>
    </row>
    <row r="20" spans="1:1" hidden="1" x14ac:dyDescent="0.25">
      <c r="A20" t="s">
        <v>394</v>
      </c>
    </row>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177</v>
      </c>
    </row>
    <row r="3" spans="1:19" ht="4.1500000000000004" customHeight="1" x14ac:dyDescent="0.25"/>
    <row r="4" spans="1:19" ht="30" customHeight="1" x14ac:dyDescent="0.25">
      <c r="B4" s="96" t="s">
        <v>178</v>
      </c>
      <c r="C4" s="96"/>
      <c r="D4" s="96"/>
      <c r="E4" s="96"/>
      <c r="F4" s="96"/>
      <c r="G4" s="96"/>
      <c r="H4" s="96"/>
      <c r="I4" s="96"/>
      <c r="J4" s="96"/>
      <c r="K4" s="96"/>
      <c r="L4" s="96"/>
      <c r="M4" s="96"/>
      <c r="N4" s="96"/>
      <c r="O4" s="96"/>
      <c r="P4" s="96"/>
      <c r="Q4" s="96"/>
      <c r="R4" s="96"/>
      <c r="S4" s="96"/>
    </row>
    <row r="5" spans="1:19" x14ac:dyDescent="0.25"/>
    <row r="6" spans="1:19" x14ac:dyDescent="0.25">
      <c r="A6" s="6" t="s">
        <v>179</v>
      </c>
    </row>
    <row r="7" spans="1:19" ht="6" customHeight="1" x14ac:dyDescent="0.25">
      <c r="A7" s="6"/>
    </row>
    <row r="8" spans="1:19" x14ac:dyDescent="0.25">
      <c r="B8" s="79"/>
      <c r="C8" s="96" t="s">
        <v>355</v>
      </c>
      <c r="D8" s="96"/>
      <c r="E8" s="96"/>
      <c r="F8" s="96"/>
      <c r="G8" s="96"/>
      <c r="H8" s="96"/>
      <c r="I8" s="96"/>
      <c r="J8" s="96"/>
      <c r="K8" s="96"/>
      <c r="L8" s="96"/>
      <c r="M8" s="96"/>
      <c r="N8" s="96"/>
      <c r="O8" s="96"/>
      <c r="P8" s="96"/>
      <c r="Q8" s="96"/>
      <c r="R8" s="96"/>
      <c r="S8" s="96"/>
    </row>
    <row r="9" spans="1:19" ht="6" customHeight="1" x14ac:dyDescent="0.25"/>
    <row r="10" spans="1:19" ht="14.45" customHeight="1" x14ac:dyDescent="0.25">
      <c r="B10" s="78"/>
      <c r="C10" s="96" t="s">
        <v>180</v>
      </c>
      <c r="D10" s="96"/>
      <c r="E10" s="96"/>
      <c r="F10" s="96"/>
      <c r="G10" s="96"/>
      <c r="H10" s="96"/>
      <c r="I10" s="96"/>
      <c r="J10" s="96"/>
      <c r="K10" s="96"/>
      <c r="L10" s="96"/>
      <c r="M10" s="96"/>
      <c r="N10" s="96"/>
      <c r="O10" s="96"/>
      <c r="P10" s="96"/>
      <c r="Q10" s="96"/>
      <c r="R10" s="96"/>
      <c r="S10" s="9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181</v>
      </c>
    </row>
    <row r="16" spans="1:19" ht="6" customHeight="1" x14ac:dyDescent="0.25"/>
    <row r="17" spans="1:3" x14ac:dyDescent="0.25">
      <c r="B17" s="8">
        <f>+G12</f>
        <v>0</v>
      </c>
      <c r="C17" t="s">
        <v>182</v>
      </c>
    </row>
    <row r="18" spans="1:3" ht="12.6" customHeight="1" x14ac:dyDescent="0.25"/>
    <row r="19" spans="1:3" x14ac:dyDescent="0.25">
      <c r="A19" s="6" t="s">
        <v>13</v>
      </c>
    </row>
    <row r="20" spans="1:3" ht="1.9" customHeight="1" x14ac:dyDescent="0.25">
      <c r="A20" s="6"/>
    </row>
    <row r="21" spans="1:3" x14ac:dyDescent="0.25">
      <c r="A21" s="9" t="s">
        <v>183</v>
      </c>
    </row>
    <row r="22" spans="1:3" x14ac:dyDescent="0.25">
      <c r="A22" s="10"/>
      <c r="B22" t="s">
        <v>184</v>
      </c>
    </row>
    <row r="23" spans="1:3" ht="6.6" customHeight="1" x14ac:dyDescent="0.25">
      <c r="A23" s="10"/>
    </row>
    <row r="24" spans="1:3" x14ac:dyDescent="0.25">
      <c r="A24" s="9" t="s">
        <v>185</v>
      </c>
    </row>
    <row r="25" spans="1:3" x14ac:dyDescent="0.25">
      <c r="B25" t="s">
        <v>186</v>
      </c>
    </row>
    <row r="26" spans="1:3" ht="7.15" customHeight="1" x14ac:dyDescent="0.25"/>
    <row r="27" spans="1:3" x14ac:dyDescent="0.25">
      <c r="A27" s="9" t="s">
        <v>189</v>
      </c>
    </row>
    <row r="28" spans="1:3" x14ac:dyDescent="0.25">
      <c r="B28" t="s">
        <v>187</v>
      </c>
    </row>
    <row r="29" spans="1:3" ht="6.6" customHeight="1" x14ac:dyDescent="0.25"/>
    <row r="30" spans="1:3" x14ac:dyDescent="0.25">
      <c r="A30" s="9" t="s">
        <v>190</v>
      </c>
    </row>
    <row r="31" spans="1:3" x14ac:dyDescent="0.25">
      <c r="B31" t="s">
        <v>188</v>
      </c>
    </row>
    <row r="32" spans="1:3" ht="7.9" customHeight="1" x14ac:dyDescent="0.25"/>
    <row r="33" spans="1:2" x14ac:dyDescent="0.25">
      <c r="A33" s="9" t="s">
        <v>191</v>
      </c>
    </row>
    <row r="34" spans="1:2" x14ac:dyDescent="0.25">
      <c r="B34" t="s">
        <v>192</v>
      </c>
    </row>
    <row r="35" spans="1:2" ht="7.9" customHeight="1" x14ac:dyDescent="0.25"/>
    <row r="36" spans="1:2" x14ac:dyDescent="0.25">
      <c r="A36" s="9" t="s">
        <v>193</v>
      </c>
    </row>
    <row r="37" spans="1:2" x14ac:dyDescent="0.25">
      <c r="B37" t="s">
        <v>194</v>
      </c>
    </row>
    <row r="38" spans="1:2" ht="9" customHeight="1" x14ac:dyDescent="0.25"/>
    <row r="39" spans="1:2" x14ac:dyDescent="0.25">
      <c r="A39" s="9" t="s">
        <v>196</v>
      </c>
    </row>
    <row r="40" spans="1:2" x14ac:dyDescent="0.25">
      <c r="B40" t="s">
        <v>195</v>
      </c>
    </row>
    <row r="41" spans="1:2" ht="9" customHeight="1" x14ac:dyDescent="0.25"/>
    <row r="42" spans="1:2" x14ac:dyDescent="0.25">
      <c r="A42" s="9" t="s">
        <v>197</v>
      </c>
    </row>
    <row r="43" spans="1:2" x14ac:dyDescent="0.25">
      <c r="B43" t="s">
        <v>199</v>
      </c>
    </row>
    <row r="44" spans="1:2" ht="9" customHeight="1" x14ac:dyDescent="0.25"/>
    <row r="45" spans="1:2" x14ac:dyDescent="0.25">
      <c r="A45" s="9" t="s">
        <v>198</v>
      </c>
    </row>
    <row r="46" spans="1:2" x14ac:dyDescent="0.25">
      <c r="B46" t="s">
        <v>200</v>
      </c>
    </row>
    <row r="47" spans="1:2" ht="9.6" customHeight="1" x14ac:dyDescent="0.25"/>
    <row r="48" spans="1:2" x14ac:dyDescent="0.25">
      <c r="A48" s="9" t="s">
        <v>201</v>
      </c>
    </row>
    <row r="49" spans="1:2" x14ac:dyDescent="0.25">
      <c r="A49" s="10"/>
      <c r="B49" t="s">
        <v>202</v>
      </c>
    </row>
    <row r="50" spans="1:2" ht="10.15" customHeight="1" x14ac:dyDescent="0.25"/>
    <row r="51" spans="1:2" x14ac:dyDescent="0.25">
      <c r="A51" s="9" t="s">
        <v>205</v>
      </c>
    </row>
    <row r="52" spans="1:2" x14ac:dyDescent="0.25">
      <c r="A52" s="10"/>
      <c r="B52" t="s">
        <v>203</v>
      </c>
    </row>
    <row r="53" spans="1:2" ht="10.15" customHeight="1" x14ac:dyDescent="0.25"/>
    <row r="54" spans="1:2" x14ac:dyDescent="0.25">
      <c r="A54" s="9" t="s">
        <v>206</v>
      </c>
    </row>
    <row r="55" spans="1:2" x14ac:dyDescent="0.25">
      <c r="A55" s="10"/>
      <c r="B55" t="s">
        <v>204</v>
      </c>
    </row>
    <row r="56" spans="1:2" ht="10.15" customHeight="1" x14ac:dyDescent="0.25"/>
    <row r="57" spans="1:2" x14ac:dyDescent="0.25">
      <c r="A57" s="9" t="s">
        <v>207</v>
      </c>
    </row>
    <row r="58" spans="1:2" x14ac:dyDescent="0.25">
      <c r="A58" s="10"/>
      <c r="B58" t="s">
        <v>208</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2"/>
  <sheetViews>
    <sheetView showGridLine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34.28515625" customWidth="1"/>
    <col min="4" max="4" width="12.7109375" bestFit="1" customWidth="1"/>
    <col min="5" max="5" width="12.5703125" bestFit="1" customWidth="1"/>
    <col min="6" max="6" width="14.28515625" customWidth="1"/>
    <col min="7" max="16384" width="8.85546875" hidden="1"/>
  </cols>
  <sheetData>
    <row r="1" spans="2:5" x14ac:dyDescent="0.25"/>
    <row r="2" spans="2:5" x14ac:dyDescent="0.25">
      <c r="B2" s="98" t="s">
        <v>118</v>
      </c>
      <c r="C2" s="98" t="s">
        <v>209</v>
      </c>
      <c r="D2" s="98" t="s">
        <v>210</v>
      </c>
      <c r="E2" s="98" t="s">
        <v>211</v>
      </c>
    </row>
    <row r="3" spans="2:5" x14ac:dyDescent="0.25">
      <c r="B3" s="98"/>
      <c r="C3" s="98"/>
      <c r="D3" s="98"/>
      <c r="E3" s="98"/>
    </row>
    <row r="4" spans="2:5" x14ac:dyDescent="0.25">
      <c r="B4" s="98"/>
      <c r="C4" s="98"/>
      <c r="D4" s="98"/>
      <c r="E4" s="98"/>
    </row>
    <row r="5" spans="2:5" x14ac:dyDescent="0.25">
      <c r="B5" s="30">
        <v>1</v>
      </c>
      <c r="C5" s="31" t="s">
        <v>212</v>
      </c>
      <c r="D5" s="30" t="s">
        <v>213</v>
      </c>
      <c r="E5" s="88"/>
    </row>
    <row r="6" spans="2:5" x14ac:dyDescent="0.25">
      <c r="B6" s="30">
        <v>2</v>
      </c>
      <c r="C6" s="31" t="s">
        <v>214</v>
      </c>
      <c r="D6" s="30" t="s">
        <v>215</v>
      </c>
      <c r="E6" s="88"/>
    </row>
    <row r="7" spans="2:5" x14ac:dyDescent="0.25">
      <c r="B7" s="30">
        <v>3</v>
      </c>
      <c r="C7" s="31" t="s">
        <v>348</v>
      </c>
      <c r="D7" s="30" t="s">
        <v>351</v>
      </c>
      <c r="E7" s="88"/>
    </row>
    <row r="8" spans="2:5" x14ac:dyDescent="0.25">
      <c r="B8" s="30">
        <v>4</v>
      </c>
      <c r="C8" s="31" t="s">
        <v>349</v>
      </c>
      <c r="D8" s="30" t="s">
        <v>350</v>
      </c>
      <c r="E8" s="88"/>
    </row>
    <row r="9" spans="2:5" x14ac:dyDescent="0.25">
      <c r="B9" s="30">
        <v>5</v>
      </c>
      <c r="C9" s="31" t="s">
        <v>216</v>
      </c>
      <c r="D9" s="30" t="s">
        <v>217</v>
      </c>
      <c r="E9" s="88"/>
    </row>
    <row r="10" spans="2:5" x14ac:dyDescent="0.25">
      <c r="B10" s="97">
        <v>6</v>
      </c>
      <c r="C10" s="31" t="s">
        <v>218</v>
      </c>
      <c r="D10" s="30"/>
      <c r="E10" s="88"/>
    </row>
    <row r="11" spans="2:5" x14ac:dyDescent="0.25">
      <c r="B11" s="97"/>
      <c r="C11" s="32" t="s">
        <v>219</v>
      </c>
      <c r="D11" s="30" t="s">
        <v>217</v>
      </c>
      <c r="E11" s="88"/>
    </row>
    <row r="12" spans="2:5" x14ac:dyDescent="0.25">
      <c r="B12" s="97"/>
      <c r="C12" s="32" t="s">
        <v>220</v>
      </c>
      <c r="D12" s="30" t="s">
        <v>217</v>
      </c>
      <c r="E12" s="88"/>
    </row>
    <row r="13" spans="2:5" x14ac:dyDescent="0.25">
      <c r="B13" s="30">
        <v>7</v>
      </c>
      <c r="C13" s="31" t="s">
        <v>221</v>
      </c>
      <c r="D13" s="30" t="s">
        <v>217</v>
      </c>
      <c r="E13" s="88"/>
    </row>
    <row r="14" spans="2:5" x14ac:dyDescent="0.25">
      <c r="B14" s="97">
        <v>8</v>
      </c>
      <c r="C14" s="31" t="s">
        <v>222</v>
      </c>
      <c r="D14" s="30" t="s">
        <v>217</v>
      </c>
      <c r="E14" s="88"/>
    </row>
    <row r="15" spans="2:5" x14ac:dyDescent="0.25">
      <c r="B15" s="97"/>
      <c r="C15" s="32" t="s">
        <v>223</v>
      </c>
      <c r="D15" s="30" t="s">
        <v>217</v>
      </c>
      <c r="E15" s="88"/>
    </row>
    <row r="16" spans="2:5" x14ac:dyDescent="0.25">
      <c r="B16" s="97"/>
      <c r="C16" s="32" t="s">
        <v>224</v>
      </c>
      <c r="D16" s="30" t="s">
        <v>217</v>
      </c>
      <c r="E16" s="88"/>
    </row>
    <row r="17" spans="2:5" x14ac:dyDescent="0.25">
      <c r="B17" s="97">
        <v>9</v>
      </c>
      <c r="C17" s="31" t="s">
        <v>225</v>
      </c>
      <c r="D17" s="30" t="s">
        <v>217</v>
      </c>
      <c r="E17" s="88"/>
    </row>
    <row r="18" spans="2:5" x14ac:dyDescent="0.25">
      <c r="B18" s="97"/>
      <c r="C18" s="32" t="s">
        <v>226</v>
      </c>
      <c r="D18" s="30" t="s">
        <v>217</v>
      </c>
      <c r="E18" s="88"/>
    </row>
    <row r="19" spans="2:5" x14ac:dyDescent="0.25">
      <c r="B19" s="97"/>
      <c r="C19" s="32" t="s">
        <v>227</v>
      </c>
      <c r="D19" s="30" t="s">
        <v>217</v>
      </c>
      <c r="E19" s="88"/>
    </row>
    <row r="20" spans="2:5" x14ac:dyDescent="0.25">
      <c r="B20" s="97">
        <v>10</v>
      </c>
      <c r="C20" s="31" t="s">
        <v>352</v>
      </c>
      <c r="D20" s="30" t="s">
        <v>217</v>
      </c>
      <c r="E20" s="88"/>
    </row>
    <row r="21" spans="2:5" x14ac:dyDescent="0.25">
      <c r="B21" s="97"/>
      <c r="C21" s="31" t="s">
        <v>229</v>
      </c>
      <c r="D21" s="30" t="s">
        <v>230</v>
      </c>
      <c r="E21" s="89"/>
    </row>
    <row r="22" spans="2:5" x14ac:dyDescent="0.25">
      <c r="B22" s="97">
        <v>11</v>
      </c>
      <c r="C22" s="31" t="s">
        <v>353</v>
      </c>
      <c r="D22" s="30" t="s">
        <v>217</v>
      </c>
      <c r="E22" s="88"/>
    </row>
    <row r="23" spans="2:5" x14ac:dyDescent="0.25">
      <c r="B23" s="97"/>
      <c r="C23" s="31" t="s">
        <v>229</v>
      </c>
      <c r="D23" s="30" t="s">
        <v>230</v>
      </c>
      <c r="E23" s="89"/>
    </row>
    <row r="24" spans="2:5" x14ac:dyDescent="0.25">
      <c r="B24" s="99">
        <v>12</v>
      </c>
      <c r="C24" s="31" t="s">
        <v>231</v>
      </c>
      <c r="D24" s="30"/>
      <c r="E24" s="88"/>
    </row>
    <row r="25" spans="2:5" x14ac:dyDescent="0.25">
      <c r="B25" s="100"/>
      <c r="C25" s="32" t="s">
        <v>232</v>
      </c>
      <c r="D25" s="30" t="s">
        <v>217</v>
      </c>
      <c r="E25" s="88"/>
    </row>
    <row r="26" spans="2:5" x14ac:dyDescent="0.25">
      <c r="B26" s="100"/>
      <c r="C26" s="32" t="s">
        <v>233</v>
      </c>
      <c r="D26" s="30" t="s">
        <v>230</v>
      </c>
      <c r="E26" s="90"/>
    </row>
    <row r="27" spans="2:5" x14ac:dyDescent="0.25">
      <c r="B27" s="100"/>
      <c r="C27" s="32" t="s">
        <v>234</v>
      </c>
      <c r="D27" s="30" t="s">
        <v>217</v>
      </c>
      <c r="E27" s="88"/>
    </row>
    <row r="28" spans="2:5" x14ac:dyDescent="0.25">
      <c r="B28" s="100"/>
      <c r="C28" s="32" t="s">
        <v>233</v>
      </c>
      <c r="D28" s="30" t="s">
        <v>230</v>
      </c>
      <c r="E28" s="90"/>
    </row>
    <row r="29" spans="2:5" x14ac:dyDescent="0.25">
      <c r="B29" s="100"/>
      <c r="C29" s="33" t="s">
        <v>391</v>
      </c>
      <c r="D29" s="34" t="s">
        <v>217</v>
      </c>
      <c r="E29" s="88"/>
    </row>
    <row r="30" spans="2:5" x14ac:dyDescent="0.25">
      <c r="B30" s="100"/>
      <c r="C30" s="33" t="s">
        <v>392</v>
      </c>
      <c r="D30" s="34" t="s">
        <v>217</v>
      </c>
      <c r="E30" s="91"/>
    </row>
    <row r="31" spans="2:5" x14ac:dyDescent="0.25">
      <c r="B31" s="100"/>
      <c r="C31" s="33" t="s">
        <v>235</v>
      </c>
      <c r="D31" s="34" t="s">
        <v>236</v>
      </c>
      <c r="E31" s="88"/>
    </row>
    <row r="32" spans="2:5" x14ac:dyDescent="0.25">
      <c r="B32" s="100"/>
      <c r="C32" s="33" t="s">
        <v>393</v>
      </c>
      <c r="D32" s="35"/>
      <c r="E32" s="88"/>
    </row>
    <row r="33" spans="2:5" x14ac:dyDescent="0.25">
      <c r="B33" s="101"/>
      <c r="C33" s="33" t="s">
        <v>395</v>
      </c>
      <c r="D33" s="35"/>
      <c r="E33" s="88"/>
    </row>
    <row r="34" spans="2:5" x14ac:dyDescent="0.25">
      <c r="B34" s="97">
        <v>13</v>
      </c>
      <c r="C34" s="36" t="s">
        <v>237</v>
      </c>
      <c r="D34" s="34"/>
      <c r="E34" s="88"/>
    </row>
    <row r="35" spans="2:5" x14ac:dyDescent="0.25">
      <c r="B35" s="97"/>
      <c r="C35" s="33" t="s">
        <v>220</v>
      </c>
      <c r="D35" s="34" t="s">
        <v>217</v>
      </c>
      <c r="E35" s="88"/>
    </row>
    <row r="36" spans="2:5" x14ac:dyDescent="0.25">
      <c r="B36" s="97"/>
      <c r="C36" s="33" t="s">
        <v>354</v>
      </c>
      <c r="D36" s="34" t="s">
        <v>217</v>
      </c>
      <c r="E36" s="88"/>
    </row>
    <row r="37" spans="2:5" x14ac:dyDescent="0.25">
      <c r="B37" s="97"/>
      <c r="C37" s="33" t="s">
        <v>238</v>
      </c>
      <c r="D37" s="34" t="s">
        <v>217</v>
      </c>
      <c r="E37" s="88"/>
    </row>
    <row r="38" spans="2:5" x14ac:dyDescent="0.25">
      <c r="B38" s="97"/>
      <c r="C38" s="33" t="s">
        <v>239</v>
      </c>
      <c r="D38" s="34" t="s">
        <v>217</v>
      </c>
      <c r="E38" s="88"/>
    </row>
    <row r="39" spans="2:5" x14ac:dyDescent="0.25">
      <c r="B39" s="97"/>
      <c r="C39" s="33" t="s">
        <v>240</v>
      </c>
      <c r="D39" s="34" t="s">
        <v>217</v>
      </c>
      <c r="E39" s="88"/>
    </row>
    <row r="40" spans="2:5" x14ac:dyDescent="0.25">
      <c r="B40" s="97"/>
      <c r="C40" s="33" t="s">
        <v>233</v>
      </c>
      <c r="D40" s="34" t="s">
        <v>230</v>
      </c>
      <c r="E40" s="90"/>
    </row>
    <row r="41" spans="2:5" x14ac:dyDescent="0.25">
      <c r="B41" s="97"/>
      <c r="C41" s="33" t="s">
        <v>241</v>
      </c>
      <c r="D41" s="37" t="s">
        <v>217</v>
      </c>
      <c r="E41" s="88"/>
    </row>
    <row r="42" spans="2:5" x14ac:dyDescent="0.25"/>
  </sheetData>
  <mergeCells count="11">
    <mergeCell ref="B17:B19"/>
    <mergeCell ref="B20:B21"/>
    <mergeCell ref="B22:B23"/>
    <mergeCell ref="B34:B41"/>
    <mergeCell ref="B24:B33"/>
    <mergeCell ref="B14:B16"/>
    <mergeCell ref="B2:B4"/>
    <mergeCell ref="C2:C4"/>
    <mergeCell ref="D2:D4"/>
    <mergeCell ref="E2:E4"/>
    <mergeCell ref="B10:B1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G7" sqref="G7"/>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101</v>
      </c>
      <c r="B1" s="9"/>
    </row>
    <row r="2" spans="1:9" x14ac:dyDescent="0.25">
      <c r="B2" t="s">
        <v>19</v>
      </c>
      <c r="C2" s="102" t="s">
        <v>416</v>
      </c>
      <c r="D2" s="103"/>
      <c r="E2" s="104"/>
    </row>
    <row r="3" spans="1:9" x14ac:dyDescent="0.25">
      <c r="B3" t="s">
        <v>20</v>
      </c>
      <c r="C3" s="102">
        <v>2023</v>
      </c>
      <c r="D3" s="103"/>
      <c r="E3" s="104"/>
    </row>
    <row r="4" spans="1:9" x14ac:dyDescent="0.25">
      <c r="B4" t="s">
        <v>255</v>
      </c>
      <c r="C4" s="102">
        <v>0.1</v>
      </c>
      <c r="D4" s="103"/>
      <c r="E4" s="104"/>
    </row>
    <row r="5" spans="1:9" x14ac:dyDescent="0.25">
      <c r="B5" t="s">
        <v>21</v>
      </c>
      <c r="C5" s="102" t="s">
        <v>414</v>
      </c>
      <c r="D5" s="103"/>
      <c r="E5" s="104"/>
    </row>
    <row r="6" spans="1:9" x14ac:dyDescent="0.25">
      <c r="B6" t="s">
        <v>96</v>
      </c>
      <c r="C6" s="105">
        <v>44927</v>
      </c>
      <c r="D6" s="106"/>
      <c r="E6" s="107"/>
    </row>
    <row r="7" spans="1:9" x14ac:dyDescent="0.25">
      <c r="B7" t="s">
        <v>97</v>
      </c>
      <c r="C7" s="105">
        <v>47848</v>
      </c>
      <c r="D7" s="106"/>
      <c r="E7" s="107"/>
    </row>
    <row r="8" spans="1:9" x14ac:dyDescent="0.25">
      <c r="B8" t="s">
        <v>372</v>
      </c>
      <c r="C8" s="105">
        <v>47849</v>
      </c>
      <c r="D8" s="106"/>
      <c r="E8" s="107"/>
    </row>
    <row r="9" spans="1:9" x14ac:dyDescent="0.25">
      <c r="B9" t="s">
        <v>373</v>
      </c>
      <c r="C9" s="105">
        <v>49674</v>
      </c>
      <c r="D9" s="106"/>
      <c r="E9" s="107"/>
    </row>
    <row r="10" spans="1:9" x14ac:dyDescent="0.25">
      <c r="B10" t="s">
        <v>98</v>
      </c>
      <c r="C10" s="105"/>
      <c r="D10" s="106"/>
      <c r="E10" s="107"/>
    </row>
    <row r="11" spans="1:9" x14ac:dyDescent="0.25">
      <c r="B11" t="s">
        <v>99</v>
      </c>
      <c r="C11" s="105"/>
      <c r="D11" s="106"/>
      <c r="E11" s="107"/>
    </row>
    <row r="12" spans="1:9" x14ac:dyDescent="0.25">
      <c r="B12" s="40" t="s">
        <v>100</v>
      </c>
      <c r="C12" s="41"/>
      <c r="D12" s="43">
        <v>2</v>
      </c>
      <c r="E12" s="42"/>
    </row>
    <row r="13" spans="1:9" x14ac:dyDescent="0.25">
      <c r="B13" s="40"/>
      <c r="C13" s="41"/>
      <c r="D13" s="43">
        <v>2</v>
      </c>
      <c r="E13" s="42"/>
      <c r="G13" s="59" t="s">
        <v>250</v>
      </c>
      <c r="H13" s="58">
        <v>2</v>
      </c>
      <c r="I13" s="57"/>
    </row>
    <row r="14" spans="1:9" x14ac:dyDescent="0.25">
      <c r="C14" s="41"/>
      <c r="D14" s="43">
        <v>2</v>
      </c>
      <c r="E14" s="42"/>
    </row>
    <row r="15" spans="1:9" x14ac:dyDescent="0.25">
      <c r="C15" s="41"/>
      <c r="D15" s="43">
        <v>2</v>
      </c>
      <c r="E15" s="42"/>
    </row>
    <row r="16" spans="1:9" x14ac:dyDescent="0.25">
      <c r="C16" s="41"/>
      <c r="D16" s="43">
        <v>2</v>
      </c>
      <c r="E16" s="42"/>
    </row>
    <row r="17" spans="2:5" x14ac:dyDescent="0.25">
      <c r="C17" s="41"/>
      <c r="D17" s="43">
        <v>2</v>
      </c>
      <c r="E17" s="42"/>
    </row>
    <row r="18" spans="2:5" x14ac:dyDescent="0.25">
      <c r="C18" s="41"/>
      <c r="D18" s="43">
        <v>2</v>
      </c>
      <c r="E18" s="42"/>
    </row>
    <row r="19" spans="2:5" x14ac:dyDescent="0.25"/>
    <row r="20" spans="2:5" ht="14.45" customHeight="1" x14ac:dyDescent="0.25">
      <c r="B20" t="s">
        <v>264</v>
      </c>
      <c r="C20" s="108">
        <v>0</v>
      </c>
      <c r="D20" s="109"/>
      <c r="E20" s="110"/>
    </row>
    <row r="21" spans="2:5" x14ac:dyDescent="0.25">
      <c r="B21" t="s">
        <v>265</v>
      </c>
      <c r="C21" s="108">
        <v>0</v>
      </c>
      <c r="D21" s="109"/>
      <c r="E21" s="110"/>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C8: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335</v>
      </c>
      <c r="M1" s="9" t="s">
        <v>338</v>
      </c>
    </row>
    <row r="2" spans="1:16" x14ac:dyDescent="0.25">
      <c r="B2" t="s">
        <v>209</v>
      </c>
      <c r="D2" s="29" t="s">
        <v>336</v>
      </c>
      <c r="E2" s="72" t="s">
        <v>337</v>
      </c>
      <c r="F2" s="75">
        <v>0.15</v>
      </c>
      <c r="N2" t="str">
        <f>CONCATENATE(D2," ","Result")</f>
        <v>IRR Result</v>
      </c>
      <c r="P2" s="73"/>
    </row>
    <row r="3" spans="1:16" x14ac:dyDescent="0.25"/>
    <row r="4" spans="1:16" x14ac:dyDescent="0.25">
      <c r="A4" s="9" t="s">
        <v>323</v>
      </c>
      <c r="D4" s="70" t="s">
        <v>329</v>
      </c>
      <c r="E4" s="70" t="s">
        <v>330</v>
      </c>
      <c r="F4" s="71" t="s">
        <v>332</v>
      </c>
      <c r="G4" s="71" t="s">
        <v>331</v>
      </c>
      <c r="H4" s="71" t="s">
        <v>333</v>
      </c>
      <c r="J4" s="25">
        <v>0</v>
      </c>
      <c r="M4" s="9" t="s">
        <v>339</v>
      </c>
    </row>
    <row r="5" spans="1:16" x14ac:dyDescent="0.25">
      <c r="B5" t="s">
        <v>110</v>
      </c>
      <c r="D5" s="29"/>
      <c r="E5" s="69"/>
      <c r="F5" s="74">
        <f>'Cost Recovery Config'!C11</f>
        <v>0.34722219999999998</v>
      </c>
      <c r="G5" s="29"/>
      <c r="H5" s="29"/>
      <c r="N5" t="s">
        <v>110</v>
      </c>
      <c r="P5" s="73"/>
    </row>
    <row r="6" spans="1:16" x14ac:dyDescent="0.25">
      <c r="B6" t="s">
        <v>109</v>
      </c>
      <c r="D6" s="29"/>
      <c r="E6" s="69"/>
      <c r="F6" s="74">
        <f>'Cost Recovery Config'!C12</f>
        <v>0.52083299999999999</v>
      </c>
      <c r="G6" s="29"/>
      <c r="H6" s="29"/>
      <c r="N6" t="s">
        <v>109</v>
      </c>
      <c r="P6" s="73"/>
    </row>
    <row r="7" spans="1:16" x14ac:dyDescent="0.25">
      <c r="B7" t="s">
        <v>106</v>
      </c>
      <c r="D7" s="29"/>
      <c r="E7" s="69"/>
      <c r="F7" s="74">
        <f>'Cost Recovery Config'!C4</f>
        <v>0.24</v>
      </c>
      <c r="G7" s="29"/>
      <c r="H7" s="29"/>
      <c r="N7" t="s">
        <v>106</v>
      </c>
      <c r="P7" s="73"/>
    </row>
    <row r="8" spans="1:16" x14ac:dyDescent="0.25">
      <c r="B8" t="s">
        <v>111</v>
      </c>
      <c r="D8" s="29"/>
      <c r="E8" s="69"/>
      <c r="F8" s="74">
        <f>'Cost Recovery Config'!C16</f>
        <v>0</v>
      </c>
      <c r="G8" s="29"/>
      <c r="H8" s="29"/>
      <c r="N8" t="s">
        <v>111</v>
      </c>
      <c r="P8" s="73"/>
    </row>
    <row r="9" spans="1:16" x14ac:dyDescent="0.25">
      <c r="B9" t="s">
        <v>113</v>
      </c>
      <c r="D9" s="29"/>
      <c r="E9" s="69"/>
      <c r="F9" s="74">
        <f>'Cost Recovery Config'!C17</f>
        <v>0</v>
      </c>
      <c r="G9" s="29"/>
      <c r="H9" s="29"/>
      <c r="N9" t="s">
        <v>113</v>
      </c>
      <c r="P9" s="73"/>
    </row>
    <row r="10" spans="1:16" x14ac:dyDescent="0.25">
      <c r="B10" t="s">
        <v>324</v>
      </c>
      <c r="D10" s="29"/>
      <c r="E10" s="69"/>
      <c r="F10" s="74">
        <f>'Cost Recovery Config'!C31</f>
        <v>0.25</v>
      </c>
      <c r="G10" s="29"/>
      <c r="H10" s="29"/>
      <c r="N10" t="s">
        <v>324</v>
      </c>
      <c r="P10" s="73"/>
    </row>
    <row r="11" spans="1:16" x14ac:dyDescent="0.25">
      <c r="B11" t="s">
        <v>325</v>
      </c>
      <c r="D11" s="29"/>
      <c r="E11" s="69"/>
      <c r="F11" s="74">
        <f>'Gross Split Config'!C33</f>
        <v>1</v>
      </c>
      <c r="G11" s="29"/>
      <c r="H11" s="29"/>
      <c r="N11" t="s">
        <v>325</v>
      </c>
      <c r="P11" s="73"/>
    </row>
    <row r="12" spans="1:16" x14ac:dyDescent="0.25">
      <c r="B12" t="s">
        <v>264</v>
      </c>
      <c r="D12" s="29"/>
      <c r="E12" s="69"/>
      <c r="F12" s="74">
        <f>'General Config'!C20</f>
        <v>0</v>
      </c>
      <c r="G12" s="29"/>
      <c r="H12" s="29"/>
      <c r="N12" t="s">
        <v>264</v>
      </c>
      <c r="P12" s="73"/>
    </row>
    <row r="13" spans="1:16" x14ac:dyDescent="0.25">
      <c r="B13" t="s">
        <v>326</v>
      </c>
      <c r="D13" s="29"/>
      <c r="E13" s="69"/>
      <c r="F13" s="74">
        <f>'Fiscal Config'!C3</f>
        <v>0.42399999999999999</v>
      </c>
      <c r="G13" s="29"/>
      <c r="H13" s="29"/>
      <c r="N13" t="s">
        <v>326</v>
      </c>
      <c r="P13" s="73"/>
    </row>
    <row r="14" spans="1:16" x14ac:dyDescent="0.25"/>
    <row r="15" spans="1:16" hidden="1" x14ac:dyDescent="0.25">
      <c r="A15" s="9" t="s">
        <v>327</v>
      </c>
      <c r="D15" s="70" t="s">
        <v>329</v>
      </c>
      <c r="E15" s="70" t="s">
        <v>330</v>
      </c>
      <c r="F15" s="71" t="s">
        <v>332</v>
      </c>
      <c r="G15" s="70" t="s">
        <v>331</v>
      </c>
      <c r="H15" s="70" t="s">
        <v>333</v>
      </c>
      <c r="J15" s="69">
        <v>3</v>
      </c>
      <c r="M15" s="9" t="s">
        <v>340</v>
      </c>
    </row>
    <row r="16" spans="1:16" hidden="1" x14ac:dyDescent="0.25">
      <c r="B16" t="s">
        <v>328</v>
      </c>
      <c r="D16" s="29"/>
      <c r="E16" s="25">
        <v>1</v>
      </c>
      <c r="F16" s="74">
        <f>'Gross Split Config'!C13</f>
        <v>0.08</v>
      </c>
      <c r="G16" s="29"/>
      <c r="H16" s="29"/>
      <c r="N16" t="s">
        <v>328</v>
      </c>
      <c r="P16" s="73"/>
    </row>
    <row r="17" spans="2:16" hidden="1" x14ac:dyDescent="0.25">
      <c r="B17" t="s">
        <v>264</v>
      </c>
      <c r="D17" s="29"/>
      <c r="E17" s="25">
        <v>2</v>
      </c>
      <c r="F17" s="74">
        <f>'General Config'!C20</f>
        <v>0</v>
      </c>
      <c r="G17" s="29"/>
      <c r="H17" s="29"/>
      <c r="N17" t="s">
        <v>264</v>
      </c>
      <c r="P17" s="73"/>
    </row>
    <row r="18" spans="2:16" hidden="1" x14ac:dyDescent="0.25">
      <c r="B18" t="s">
        <v>326</v>
      </c>
      <c r="D18" s="29"/>
      <c r="E18" s="25">
        <v>3</v>
      </c>
      <c r="F18" s="74">
        <f>'Fiscal Config'!C3</f>
        <v>0.42399999999999999</v>
      </c>
      <c r="G18" s="29"/>
      <c r="H18" s="29"/>
      <c r="N18" t="s">
        <v>326</v>
      </c>
      <c r="P18" s="73"/>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1" t="s">
        <v>365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376</v>
      </c>
      <c r="J1" s="9" t="s">
        <v>359</v>
      </c>
    </row>
    <row r="2" spans="1:18" x14ac:dyDescent="0.25">
      <c r="B2" s="80" t="s">
        <v>49</v>
      </c>
      <c r="C2" s="80" t="s">
        <v>360</v>
      </c>
      <c r="E2" s="80" t="s">
        <v>331</v>
      </c>
      <c r="F2" s="80" t="s">
        <v>332</v>
      </c>
      <c r="G2" s="80" t="s">
        <v>333</v>
      </c>
      <c r="H2" s="80" t="s">
        <v>362</v>
      </c>
      <c r="I2" s="80"/>
      <c r="K2" s="9" t="s">
        <v>346</v>
      </c>
    </row>
    <row r="3" spans="1:18" x14ac:dyDescent="0.25">
      <c r="B3" t="s">
        <v>356</v>
      </c>
      <c r="C3" s="25" t="s">
        <v>361</v>
      </c>
      <c r="E3" s="75"/>
      <c r="F3" s="25">
        <f>Sensitivity!D7</f>
        <v>66.34615384615384</v>
      </c>
      <c r="G3" s="75"/>
      <c r="H3" s="75"/>
      <c r="K3" s="77"/>
      <c r="L3" s="77"/>
      <c r="M3" s="77"/>
      <c r="N3" s="77"/>
      <c r="O3" s="77"/>
      <c r="P3" s="77"/>
      <c r="Q3" s="77"/>
      <c r="R3" s="77"/>
    </row>
    <row r="4" spans="1:18" x14ac:dyDescent="0.25">
      <c r="B4" t="s">
        <v>357</v>
      </c>
      <c r="C4" s="25" t="s">
        <v>361</v>
      </c>
      <c r="E4" s="75"/>
      <c r="F4" s="25">
        <f>Sensitivity!D8</f>
        <v>71.15384615384616</v>
      </c>
      <c r="G4" s="75"/>
      <c r="H4" s="75"/>
      <c r="K4" s="77"/>
      <c r="L4" s="77"/>
      <c r="M4" s="77"/>
      <c r="N4" s="77"/>
      <c r="O4" s="77"/>
      <c r="P4" s="77"/>
      <c r="Q4" s="77"/>
      <c r="R4" s="77"/>
    </row>
    <row r="5" spans="1:18" x14ac:dyDescent="0.25">
      <c r="B5" t="s">
        <v>226</v>
      </c>
      <c r="C5" s="25" t="s">
        <v>361</v>
      </c>
      <c r="E5" s="75"/>
      <c r="F5" s="25">
        <f>Sensitivity!D9</f>
        <v>726</v>
      </c>
      <c r="G5" s="75"/>
      <c r="H5" s="75"/>
      <c r="K5" s="77"/>
      <c r="L5" s="77"/>
      <c r="M5" s="77"/>
      <c r="N5" s="77"/>
      <c r="O5" s="77"/>
      <c r="P5" s="77"/>
      <c r="Q5" s="77"/>
      <c r="R5" s="77"/>
    </row>
    <row r="6" spans="1:18" x14ac:dyDescent="0.25">
      <c r="B6" t="s">
        <v>252</v>
      </c>
      <c r="C6" s="25" t="s">
        <v>361</v>
      </c>
      <c r="E6" s="75"/>
      <c r="F6" s="25">
        <f>Sensitivity!D10</f>
        <v>851</v>
      </c>
      <c r="G6" s="75"/>
      <c r="H6" s="75"/>
      <c r="K6" s="77"/>
      <c r="L6" s="77"/>
      <c r="M6" s="77"/>
      <c r="N6" s="77"/>
      <c r="O6" s="77"/>
      <c r="P6" s="77"/>
      <c r="Q6" s="77"/>
      <c r="R6" s="77"/>
    </row>
    <row r="7" spans="1:18" x14ac:dyDescent="0.25">
      <c r="B7" t="s">
        <v>358</v>
      </c>
      <c r="C7" s="25" t="s">
        <v>361</v>
      </c>
      <c r="E7" s="75"/>
      <c r="F7" s="25">
        <f>Sensitivity!D11</f>
        <v>1787.5</v>
      </c>
      <c r="G7" s="75"/>
      <c r="H7" s="75"/>
      <c r="K7" s="77"/>
      <c r="L7" s="77"/>
      <c r="M7" s="77"/>
      <c r="N7" s="77"/>
      <c r="O7" s="77"/>
      <c r="P7" s="77"/>
      <c r="Q7" s="77"/>
      <c r="R7" s="77"/>
    </row>
    <row r="8" spans="1:18" x14ac:dyDescent="0.25">
      <c r="K8" s="77"/>
      <c r="L8" s="77"/>
      <c r="M8" s="77"/>
      <c r="N8" s="77"/>
      <c r="O8" s="77"/>
      <c r="P8" s="77"/>
      <c r="Q8" s="77"/>
      <c r="R8" s="77"/>
    </row>
    <row r="9" spans="1:18" x14ac:dyDescent="0.25">
      <c r="K9" s="77"/>
      <c r="L9" s="77"/>
      <c r="M9" s="77"/>
      <c r="N9" s="77"/>
      <c r="O9" s="77"/>
      <c r="P9" s="77"/>
      <c r="Q9" s="77"/>
      <c r="R9" s="77"/>
    </row>
    <row r="10" spans="1:18" x14ac:dyDescent="0.25">
      <c r="K10" s="77"/>
      <c r="L10" s="77"/>
      <c r="M10" s="77"/>
      <c r="N10" s="77"/>
      <c r="O10" s="77"/>
      <c r="P10" s="77"/>
      <c r="Q10" s="77"/>
      <c r="R10" s="77"/>
    </row>
    <row r="11" spans="1:18" x14ac:dyDescent="0.25">
      <c r="K11" s="77"/>
      <c r="L11" s="77"/>
      <c r="M11" s="77"/>
      <c r="N11" s="77"/>
      <c r="O11" s="77"/>
      <c r="P11" s="77"/>
      <c r="Q11" s="77"/>
      <c r="R11" s="77"/>
    </row>
    <row r="12" spans="1:18" x14ac:dyDescent="0.25">
      <c r="K12" s="77"/>
      <c r="L12" s="77"/>
      <c r="M12" s="77"/>
      <c r="N12" s="77"/>
      <c r="O12" s="77"/>
      <c r="P12" s="77"/>
      <c r="Q12" s="77"/>
      <c r="R12" s="77"/>
    </row>
    <row r="13" spans="1:18" x14ac:dyDescent="0.25">
      <c r="K13" s="77"/>
      <c r="L13" s="77"/>
      <c r="M13" s="77"/>
      <c r="N13" s="77"/>
      <c r="O13" s="77"/>
      <c r="P13" s="77"/>
      <c r="Q13" s="77"/>
      <c r="R13" s="77"/>
    </row>
    <row r="14" spans="1:18" x14ac:dyDescent="0.25">
      <c r="K14" s="77"/>
      <c r="L14" s="77"/>
      <c r="M14" s="77"/>
      <c r="N14" s="77"/>
      <c r="O14" s="77"/>
      <c r="P14" s="77"/>
      <c r="Q14" s="77"/>
      <c r="R14" s="77"/>
    </row>
    <row r="15" spans="1:18" x14ac:dyDescent="0.25"/>
    <row r="16" spans="1:18" x14ac:dyDescent="0.25">
      <c r="K16" s="9" t="s">
        <v>336</v>
      </c>
    </row>
    <row r="17" spans="11:18" x14ac:dyDescent="0.25">
      <c r="K17" s="77"/>
      <c r="L17" s="77"/>
      <c r="M17" s="77"/>
      <c r="N17" s="77"/>
      <c r="O17" s="77"/>
      <c r="P17" s="77"/>
      <c r="Q17" s="77"/>
      <c r="R17" s="77"/>
    </row>
    <row r="18" spans="11:18" x14ac:dyDescent="0.25">
      <c r="K18" s="77"/>
      <c r="L18" s="77"/>
      <c r="M18" s="77"/>
      <c r="N18" s="77"/>
      <c r="O18" s="77"/>
      <c r="P18" s="77"/>
      <c r="Q18" s="77"/>
      <c r="R18" s="77"/>
    </row>
    <row r="19" spans="11:18" x14ac:dyDescent="0.25">
      <c r="K19" s="77"/>
      <c r="L19" s="77"/>
      <c r="M19" s="77"/>
      <c r="N19" s="77"/>
      <c r="O19" s="77"/>
      <c r="P19" s="77"/>
      <c r="Q19" s="77"/>
      <c r="R19" s="77"/>
    </row>
    <row r="20" spans="11:18" x14ac:dyDescent="0.25">
      <c r="K20" s="77"/>
      <c r="L20" s="77"/>
      <c r="M20" s="77"/>
      <c r="N20" s="77"/>
      <c r="O20" s="77"/>
      <c r="P20" s="77"/>
      <c r="Q20" s="77"/>
      <c r="R20" s="77"/>
    </row>
    <row r="21" spans="11:18" x14ac:dyDescent="0.25">
      <c r="K21" s="77"/>
      <c r="L21" s="77"/>
      <c r="M21" s="77"/>
      <c r="N21" s="77"/>
      <c r="O21" s="77"/>
      <c r="P21" s="77"/>
      <c r="Q21" s="77"/>
      <c r="R21" s="77"/>
    </row>
    <row r="22" spans="11:18" x14ac:dyDescent="0.25">
      <c r="K22" s="77"/>
      <c r="L22" s="77"/>
      <c r="M22" s="77"/>
      <c r="N22" s="77"/>
      <c r="O22" s="77"/>
      <c r="P22" s="77"/>
      <c r="Q22" s="77"/>
      <c r="R22" s="77"/>
    </row>
    <row r="23" spans="11:18" x14ac:dyDescent="0.25">
      <c r="K23" s="77"/>
      <c r="L23" s="77"/>
      <c r="M23" s="77"/>
      <c r="N23" s="77"/>
      <c r="O23" s="77"/>
      <c r="P23" s="77"/>
      <c r="Q23" s="77"/>
      <c r="R23" s="77"/>
    </row>
    <row r="24" spans="11:18" x14ac:dyDescent="0.25">
      <c r="K24" s="77"/>
      <c r="L24" s="77"/>
      <c r="M24" s="77"/>
      <c r="N24" s="77"/>
      <c r="O24" s="77"/>
      <c r="P24" s="77"/>
      <c r="Q24" s="77"/>
      <c r="R24" s="77"/>
    </row>
    <row r="25" spans="11:18" x14ac:dyDescent="0.25">
      <c r="K25" s="77"/>
      <c r="L25" s="77"/>
      <c r="M25" s="77"/>
      <c r="N25" s="77"/>
      <c r="O25" s="77"/>
      <c r="P25" s="77"/>
      <c r="Q25" s="77"/>
      <c r="R25" s="77"/>
    </row>
    <row r="26" spans="11:18" x14ac:dyDescent="0.25">
      <c r="K26" s="77"/>
      <c r="L26" s="77"/>
      <c r="M26" s="77"/>
      <c r="N26" s="77"/>
      <c r="O26" s="77"/>
      <c r="P26" s="77"/>
      <c r="Q26" s="77"/>
      <c r="R26" s="77"/>
    </row>
    <row r="27" spans="11:18" x14ac:dyDescent="0.25">
      <c r="K27" s="77"/>
      <c r="L27" s="77"/>
      <c r="M27" s="77"/>
      <c r="N27" s="77"/>
      <c r="O27" s="77"/>
      <c r="P27" s="77"/>
      <c r="Q27" s="77"/>
      <c r="R27" s="77"/>
    </row>
    <row r="28" spans="11:18" x14ac:dyDescent="0.25">
      <c r="K28" s="77"/>
      <c r="L28" s="77"/>
      <c r="M28" s="77"/>
      <c r="N28" s="77"/>
      <c r="O28" s="77"/>
      <c r="P28" s="77"/>
      <c r="Q28" s="77"/>
      <c r="R28" s="77"/>
    </row>
    <row r="29" spans="11:18" x14ac:dyDescent="0.25"/>
    <row r="30" spans="11:18" x14ac:dyDescent="0.25">
      <c r="K30" s="9" t="s">
        <v>347</v>
      </c>
    </row>
    <row r="31" spans="11:18" x14ac:dyDescent="0.25">
      <c r="K31" s="77"/>
      <c r="L31" s="77"/>
      <c r="M31" s="77"/>
      <c r="N31" s="77"/>
      <c r="O31" s="77"/>
      <c r="P31" s="77"/>
      <c r="Q31" s="77"/>
      <c r="R31" s="77"/>
    </row>
    <row r="32" spans="11:18" x14ac:dyDescent="0.25">
      <c r="K32" s="77"/>
      <c r="L32" s="77"/>
      <c r="M32" s="77"/>
      <c r="N32" s="77"/>
      <c r="O32" s="77"/>
      <c r="P32" s="77"/>
      <c r="Q32" s="77"/>
      <c r="R32" s="77"/>
    </row>
    <row r="33" spans="11:18" x14ac:dyDescent="0.25">
      <c r="K33" s="77"/>
      <c r="L33" s="77"/>
      <c r="M33" s="77"/>
      <c r="N33" s="77"/>
      <c r="O33" s="77"/>
      <c r="P33" s="77"/>
      <c r="Q33" s="77"/>
      <c r="R33" s="77"/>
    </row>
    <row r="34" spans="11:18" x14ac:dyDescent="0.25">
      <c r="K34" s="77"/>
      <c r="L34" s="77"/>
      <c r="M34" s="77"/>
      <c r="N34" s="77"/>
      <c r="O34" s="77"/>
      <c r="P34" s="77"/>
      <c r="Q34" s="77"/>
      <c r="R34" s="77"/>
    </row>
    <row r="35" spans="11:18" x14ac:dyDescent="0.25">
      <c r="K35" s="77"/>
      <c r="L35" s="77"/>
      <c r="M35" s="77"/>
      <c r="N35" s="77"/>
      <c r="O35" s="77"/>
      <c r="P35" s="77"/>
      <c r="Q35" s="77"/>
      <c r="R35" s="77"/>
    </row>
    <row r="36" spans="11:18" x14ac:dyDescent="0.25">
      <c r="K36" s="77"/>
      <c r="L36" s="77"/>
      <c r="M36" s="77"/>
      <c r="N36" s="77"/>
      <c r="O36" s="77"/>
      <c r="P36" s="77"/>
      <c r="Q36" s="77"/>
      <c r="R36" s="77"/>
    </row>
    <row r="37" spans="11:18" x14ac:dyDescent="0.25">
      <c r="K37" s="77"/>
      <c r="L37" s="77"/>
      <c r="M37" s="77"/>
      <c r="N37" s="77"/>
      <c r="O37" s="77"/>
      <c r="P37" s="77"/>
      <c r="Q37" s="77"/>
      <c r="R37" s="77"/>
    </row>
    <row r="38" spans="11:18" x14ac:dyDescent="0.25">
      <c r="K38" s="77"/>
      <c r="L38" s="77"/>
      <c r="M38" s="77"/>
      <c r="N38" s="77"/>
      <c r="O38" s="77"/>
      <c r="P38" s="77"/>
      <c r="Q38" s="77"/>
      <c r="R38" s="77"/>
    </row>
    <row r="39" spans="11:18" x14ac:dyDescent="0.25">
      <c r="K39" s="77"/>
      <c r="L39" s="77"/>
      <c r="M39" s="77"/>
      <c r="N39" s="77"/>
      <c r="O39" s="77"/>
      <c r="P39" s="77"/>
      <c r="Q39" s="77"/>
      <c r="R39" s="77"/>
    </row>
    <row r="40" spans="11:18" x14ac:dyDescent="0.25">
      <c r="K40" s="77"/>
      <c r="L40" s="77"/>
      <c r="M40" s="77"/>
      <c r="N40" s="77"/>
      <c r="O40" s="77"/>
      <c r="P40" s="77"/>
      <c r="Q40" s="77"/>
      <c r="R40" s="77"/>
    </row>
    <row r="41" spans="11:18" x14ac:dyDescent="0.25">
      <c r="K41" s="77"/>
      <c r="L41" s="77"/>
      <c r="M41" s="77"/>
      <c r="N41" s="77"/>
      <c r="O41" s="77"/>
      <c r="P41" s="77"/>
      <c r="Q41" s="77"/>
      <c r="R41" s="77"/>
    </row>
    <row r="42" spans="11:18" x14ac:dyDescent="0.25">
      <c r="K42" s="77"/>
      <c r="L42" s="77"/>
      <c r="M42" s="77"/>
      <c r="N42" s="77"/>
      <c r="O42" s="77"/>
      <c r="P42" s="77"/>
      <c r="Q42" s="77"/>
      <c r="R42" s="77"/>
    </row>
    <row r="43" spans="11:18" x14ac:dyDescent="0.25"/>
    <row r="44" spans="11:18" x14ac:dyDescent="0.25">
      <c r="K44" s="9" t="s">
        <v>321</v>
      </c>
    </row>
    <row r="45" spans="11:18" x14ac:dyDescent="0.25">
      <c r="K45" s="77"/>
      <c r="L45" s="77"/>
      <c r="M45" s="77"/>
      <c r="N45" s="77"/>
      <c r="O45" s="77"/>
      <c r="P45" s="77"/>
      <c r="Q45" s="77"/>
      <c r="R45" s="77"/>
    </row>
    <row r="46" spans="11:18" x14ac:dyDescent="0.25">
      <c r="K46" s="77"/>
      <c r="L46" s="77"/>
      <c r="M46" s="77"/>
      <c r="N46" s="77"/>
      <c r="O46" s="77"/>
      <c r="P46" s="77"/>
      <c r="Q46" s="77"/>
      <c r="R46" s="77"/>
    </row>
    <row r="47" spans="11:18" x14ac:dyDescent="0.25">
      <c r="K47" s="77"/>
      <c r="L47" s="77"/>
      <c r="M47" s="77"/>
      <c r="N47" s="77"/>
      <c r="O47" s="77"/>
      <c r="P47" s="77"/>
      <c r="Q47" s="77"/>
      <c r="R47" s="77"/>
    </row>
    <row r="48" spans="11:18" x14ac:dyDescent="0.25">
      <c r="K48" s="77"/>
      <c r="L48" s="77"/>
      <c r="M48" s="77"/>
      <c r="N48" s="77"/>
      <c r="O48" s="77"/>
      <c r="P48" s="77"/>
      <c r="Q48" s="77"/>
      <c r="R48" s="77"/>
    </row>
    <row r="49" spans="11:18" x14ac:dyDescent="0.25">
      <c r="K49" s="77"/>
      <c r="L49" s="77"/>
      <c r="M49" s="77"/>
      <c r="N49" s="77"/>
      <c r="O49" s="77"/>
      <c r="P49" s="77"/>
      <c r="Q49" s="77"/>
      <c r="R49" s="77"/>
    </row>
    <row r="50" spans="11:18" x14ac:dyDescent="0.25">
      <c r="K50" s="77"/>
      <c r="L50" s="77"/>
      <c r="M50" s="77"/>
      <c r="N50" s="77"/>
      <c r="O50" s="77"/>
      <c r="P50" s="77"/>
      <c r="Q50" s="77"/>
      <c r="R50" s="77"/>
    </row>
    <row r="51" spans="11:18" x14ac:dyDescent="0.25">
      <c r="K51" s="77"/>
      <c r="L51" s="77"/>
      <c r="M51" s="77"/>
      <c r="N51" s="77"/>
      <c r="O51" s="77"/>
      <c r="P51" s="77"/>
      <c r="Q51" s="77"/>
      <c r="R51" s="77"/>
    </row>
    <row r="52" spans="11:18" x14ac:dyDescent="0.25">
      <c r="K52" s="77"/>
      <c r="L52" s="77"/>
      <c r="M52" s="77"/>
      <c r="N52" s="77"/>
      <c r="O52" s="77"/>
      <c r="P52" s="77"/>
      <c r="Q52" s="77"/>
      <c r="R52" s="77"/>
    </row>
    <row r="53" spans="11:18" x14ac:dyDescent="0.25">
      <c r="K53" s="77"/>
      <c r="L53" s="77"/>
      <c r="M53" s="77"/>
      <c r="N53" s="77"/>
      <c r="O53" s="77"/>
      <c r="P53" s="77"/>
      <c r="Q53" s="77"/>
      <c r="R53" s="77"/>
    </row>
    <row r="54" spans="11:18" x14ac:dyDescent="0.25">
      <c r="K54" s="77"/>
      <c r="L54" s="77"/>
      <c r="M54" s="77"/>
      <c r="N54" s="77"/>
      <c r="O54" s="77"/>
      <c r="P54" s="77"/>
      <c r="Q54" s="77"/>
      <c r="R54" s="77"/>
    </row>
    <row r="55" spans="11:18" x14ac:dyDescent="0.25">
      <c r="K55" s="77"/>
      <c r="L55" s="77"/>
      <c r="M55" s="77"/>
      <c r="N55" s="77"/>
      <c r="O55" s="77"/>
      <c r="P55" s="77"/>
      <c r="Q55" s="77"/>
      <c r="R55" s="77"/>
    </row>
    <row r="56" spans="11:18" x14ac:dyDescent="0.25">
      <c r="K56" s="77"/>
      <c r="L56" s="77"/>
      <c r="M56" s="77"/>
      <c r="N56" s="77"/>
      <c r="O56" s="77"/>
      <c r="P56" s="77"/>
      <c r="Q56" s="77"/>
      <c r="R56" s="77"/>
    </row>
    <row r="57" spans="11:18" x14ac:dyDescent="0.25"/>
    <row r="58" spans="11:18" x14ac:dyDescent="0.25">
      <c r="K58" s="9" t="s">
        <v>300</v>
      </c>
    </row>
    <row r="59" spans="11:18" x14ac:dyDescent="0.25">
      <c r="K59" s="77"/>
      <c r="L59" s="77"/>
      <c r="M59" s="77"/>
      <c r="N59" s="77"/>
      <c r="O59" s="77"/>
      <c r="P59" s="77"/>
      <c r="Q59" s="77"/>
      <c r="R59" s="77"/>
    </row>
    <row r="60" spans="11:18" x14ac:dyDescent="0.25">
      <c r="K60" s="77"/>
      <c r="L60" s="77"/>
      <c r="M60" s="77"/>
      <c r="N60" s="77"/>
      <c r="O60" s="77"/>
      <c r="P60" s="77"/>
      <c r="Q60" s="77"/>
      <c r="R60" s="77"/>
    </row>
    <row r="61" spans="11:18" x14ac:dyDescent="0.25">
      <c r="K61" s="77"/>
      <c r="L61" s="77"/>
      <c r="M61" s="77"/>
      <c r="N61" s="77"/>
      <c r="O61" s="77"/>
      <c r="P61" s="77"/>
      <c r="Q61" s="77"/>
      <c r="R61" s="77"/>
    </row>
    <row r="62" spans="11:18" x14ac:dyDescent="0.25">
      <c r="K62" s="77"/>
      <c r="L62" s="77"/>
      <c r="M62" s="77"/>
      <c r="N62" s="77"/>
      <c r="O62" s="77"/>
      <c r="P62" s="77"/>
      <c r="Q62" s="77"/>
      <c r="R62" s="77"/>
    </row>
    <row r="63" spans="11:18" x14ac:dyDescent="0.25">
      <c r="K63" s="77"/>
      <c r="L63" s="77"/>
      <c r="M63" s="77"/>
      <c r="N63" s="77"/>
      <c r="O63" s="77"/>
      <c r="P63" s="77"/>
      <c r="Q63" s="77"/>
      <c r="R63" s="77"/>
    </row>
    <row r="64" spans="11:18" x14ac:dyDescent="0.25">
      <c r="K64" s="77"/>
      <c r="L64" s="77"/>
      <c r="M64" s="77"/>
      <c r="N64" s="77"/>
      <c r="O64" s="77"/>
      <c r="P64" s="77"/>
      <c r="Q64" s="77"/>
      <c r="R64" s="77"/>
    </row>
    <row r="65" spans="11:18" x14ac:dyDescent="0.25">
      <c r="K65" s="77"/>
      <c r="L65" s="77"/>
      <c r="M65" s="77"/>
      <c r="N65" s="77"/>
      <c r="O65" s="77"/>
      <c r="P65" s="77"/>
      <c r="Q65" s="77"/>
      <c r="R65" s="77"/>
    </row>
    <row r="66" spans="11:18" x14ac:dyDescent="0.25">
      <c r="K66" s="77"/>
      <c r="L66" s="77"/>
      <c r="M66" s="77"/>
      <c r="N66" s="77"/>
      <c r="O66" s="77"/>
      <c r="P66" s="77"/>
      <c r="Q66" s="77"/>
      <c r="R66" s="77"/>
    </row>
    <row r="67" spans="11:18" x14ac:dyDescent="0.25">
      <c r="K67" s="77"/>
      <c r="L67" s="77"/>
      <c r="M67" s="77"/>
      <c r="N67" s="77"/>
      <c r="O67" s="77"/>
      <c r="P67" s="77"/>
      <c r="Q67" s="77"/>
      <c r="R67" s="77"/>
    </row>
    <row r="68" spans="11:18" x14ac:dyDescent="0.25">
      <c r="K68" s="77"/>
      <c r="L68" s="77"/>
      <c r="M68" s="77"/>
      <c r="N68" s="77"/>
      <c r="O68" s="77"/>
      <c r="P68" s="77"/>
      <c r="Q68" s="77"/>
      <c r="R68" s="77"/>
    </row>
    <row r="69" spans="11:18" x14ac:dyDescent="0.25">
      <c r="K69" s="77"/>
      <c r="L69" s="77"/>
      <c r="M69" s="77"/>
      <c r="N69" s="77"/>
      <c r="O69" s="77"/>
      <c r="P69" s="77"/>
      <c r="Q69" s="77"/>
      <c r="R69" s="77"/>
    </row>
    <row r="70" spans="11:18" x14ac:dyDescent="0.25">
      <c r="K70" s="77"/>
      <c r="L70" s="77"/>
      <c r="M70" s="77"/>
      <c r="N70" s="77"/>
      <c r="O70" s="77"/>
      <c r="P70" s="77"/>
      <c r="Q70" s="77"/>
      <c r="R70" s="77"/>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topLeftCell="A1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303</v>
      </c>
    </row>
    <row r="4" spans="2:28" x14ac:dyDescent="0.25">
      <c r="B4" s="66" t="s">
        <v>0</v>
      </c>
      <c r="C4" s="66" t="s">
        <v>275</v>
      </c>
      <c r="D4" s="66" t="s">
        <v>276</v>
      </c>
      <c r="E4" s="66" t="s">
        <v>277</v>
      </c>
      <c r="F4" s="66" t="s">
        <v>307</v>
      </c>
      <c r="G4" s="66" t="s">
        <v>308</v>
      </c>
      <c r="H4" s="66" t="s">
        <v>309</v>
      </c>
      <c r="I4" s="66" t="s">
        <v>310</v>
      </c>
      <c r="J4" s="66" t="s">
        <v>294</v>
      </c>
      <c r="K4" s="66" t="s">
        <v>295</v>
      </c>
      <c r="L4" s="66" t="s">
        <v>279</v>
      </c>
      <c r="M4" s="66" t="s">
        <v>311</v>
      </c>
      <c r="N4" s="66" t="s">
        <v>312</v>
      </c>
      <c r="O4" s="66" t="s">
        <v>313</v>
      </c>
      <c r="P4" s="66" t="s">
        <v>314</v>
      </c>
      <c r="Q4" s="66" t="s">
        <v>228</v>
      </c>
      <c r="R4" s="66" t="s">
        <v>316</v>
      </c>
      <c r="S4" s="66" t="s">
        <v>315</v>
      </c>
      <c r="T4" s="66" t="s">
        <v>317</v>
      </c>
      <c r="U4" s="66" t="s">
        <v>318</v>
      </c>
      <c r="V4" s="66" t="s">
        <v>296</v>
      </c>
      <c r="W4" s="66" t="s">
        <v>297</v>
      </c>
      <c r="X4" s="66" t="s">
        <v>299</v>
      </c>
      <c r="Y4" s="66" t="s">
        <v>239</v>
      </c>
      <c r="Z4" s="66" t="s">
        <v>319</v>
      </c>
      <c r="AA4" s="66" t="s">
        <v>320</v>
      </c>
      <c r="AB4" s="66" t="s">
        <v>321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304</v>
      </c>
    </row>
    <row r="58" spans="2:28" x14ac:dyDescent="0.25">
      <c r="B58" s="67" t="s">
        <v>0</v>
      </c>
      <c r="C58" s="67" t="s">
        <v>275</v>
      </c>
      <c r="D58" s="67" t="s">
        <v>276</v>
      </c>
      <c r="E58" s="67" t="s">
        <v>277</v>
      </c>
      <c r="F58" s="67" t="s">
        <v>307</v>
      </c>
      <c r="G58" s="67" t="s">
        <v>308</v>
      </c>
      <c r="H58" s="67" t="s">
        <v>309</v>
      </c>
      <c r="I58" s="67" t="s">
        <v>310</v>
      </c>
      <c r="J58" s="67" t="s">
        <v>294</v>
      </c>
      <c r="K58" s="67" t="s">
        <v>295</v>
      </c>
      <c r="L58" s="67" t="s">
        <v>279</v>
      </c>
      <c r="M58" s="67" t="s">
        <v>311</v>
      </c>
      <c r="N58" s="67" t="s">
        <v>312</v>
      </c>
      <c r="O58" s="67" t="s">
        <v>313</v>
      </c>
      <c r="P58" s="67" t="s">
        <v>314</v>
      </c>
      <c r="Q58" s="67" t="s">
        <v>228</v>
      </c>
      <c r="R58" s="67" t="s">
        <v>305</v>
      </c>
      <c r="S58" s="67" t="s">
        <v>315</v>
      </c>
      <c r="T58" s="67" t="s">
        <v>317</v>
      </c>
      <c r="U58" s="67" t="s">
        <v>318</v>
      </c>
      <c r="V58" s="67" t="s">
        <v>296</v>
      </c>
      <c r="W58" s="67" t="s">
        <v>297</v>
      </c>
      <c r="X58" s="67" t="s">
        <v>299</v>
      </c>
      <c r="Y58" s="67" t="s">
        <v>239</v>
      </c>
      <c r="Z58" s="67" t="s">
        <v>319</v>
      </c>
      <c r="AA58" s="67" t="s">
        <v>320</v>
      </c>
      <c r="AB58" s="67" t="s">
        <v>321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306</v>
      </c>
    </row>
    <row r="112" spans="2:28" x14ac:dyDescent="0.25">
      <c r="B112" s="63" t="s">
        <v>0</v>
      </c>
      <c r="C112" s="63" t="s">
        <v>275</v>
      </c>
      <c r="D112" s="63" t="s">
        <v>276</v>
      </c>
      <c r="E112" s="63" t="s">
        <v>277</v>
      </c>
      <c r="F112" s="63" t="s">
        <v>307</v>
      </c>
      <c r="G112" s="63" t="s">
        <v>308</v>
      </c>
      <c r="H112" s="63" t="s">
        <v>309</v>
      </c>
      <c r="I112" s="63" t="s">
        <v>310</v>
      </c>
      <c r="J112" s="63" t="s">
        <v>294</v>
      </c>
      <c r="K112" s="63" t="s">
        <v>295</v>
      </c>
      <c r="L112" s="63" t="s">
        <v>279</v>
      </c>
      <c r="M112" s="63" t="s">
        <v>311</v>
      </c>
      <c r="N112" s="63" t="s">
        <v>312</v>
      </c>
      <c r="O112" s="63" t="s">
        <v>313</v>
      </c>
      <c r="P112" s="63" t="s">
        <v>314</v>
      </c>
      <c r="Q112" s="63" t="s">
        <v>228</v>
      </c>
      <c r="R112" s="63" t="s">
        <v>305</v>
      </c>
      <c r="S112" s="63" t="s">
        <v>315</v>
      </c>
      <c r="T112" s="63" t="s">
        <v>317</v>
      </c>
      <c r="U112" s="63" t="s">
        <v>318</v>
      </c>
      <c r="V112" s="63" t="s">
        <v>296</v>
      </c>
      <c r="W112" s="63" t="s">
        <v>297</v>
      </c>
      <c r="X112" s="63" t="s">
        <v>299</v>
      </c>
      <c r="Y112" s="63" t="s">
        <v>239</v>
      </c>
      <c r="Z112" s="63" t="s">
        <v>319</v>
      </c>
      <c r="AA112" s="63" t="s">
        <v>320</v>
      </c>
      <c r="AB112" s="63" t="s">
        <v>321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F6C43-7CEF-4750-8B37-F002743B874C}">
  <sheetPr codeName="Sheet27">
    <tabColor rgb="FFB3FF03"/>
  </sheetPr>
  <dimension ref="B3:AB162"/>
  <sheetViews>
    <sheetView showGridLines="0" showRowColHeaders="0" workbookViewId="0">
      <selection activeCell="D14" sqref="D14"/>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303</v>
      </c>
    </row>
    <row r="4" spans="2:28" x14ac:dyDescent="0.25">
      <c r="B4" s="66" t="s">
        <v>0</v>
      </c>
      <c r="C4" s="66" t="s">
        <v>275</v>
      </c>
      <c r="D4" s="66" t="s">
        <v>276</v>
      </c>
      <c r="E4" s="66" t="s">
        <v>277</v>
      </c>
      <c r="F4" s="66" t="s">
        <v>307</v>
      </c>
      <c r="G4" s="66" t="s">
        <v>308</v>
      </c>
      <c r="H4" s="66" t="s">
        <v>309</v>
      </c>
      <c r="I4" s="66" t="s">
        <v>310</v>
      </c>
      <c r="J4" s="66" t="s">
        <v>294</v>
      </c>
      <c r="K4" s="66" t="s">
        <v>295</v>
      </c>
      <c r="L4" s="66" t="s">
        <v>279</v>
      </c>
      <c r="M4" s="66" t="s">
        <v>311</v>
      </c>
      <c r="N4" s="66" t="s">
        <v>312</v>
      </c>
      <c r="O4" s="66" t="s">
        <v>313</v>
      </c>
      <c r="P4" s="66" t="s">
        <v>314</v>
      </c>
      <c r="Q4" s="66" t="s">
        <v>228</v>
      </c>
      <c r="R4" s="66" t="s">
        <v>316</v>
      </c>
      <c r="S4" s="66" t="s">
        <v>315</v>
      </c>
      <c r="T4" s="66" t="s">
        <v>317</v>
      </c>
      <c r="U4" s="66" t="s">
        <v>318</v>
      </c>
      <c r="V4" s="66" t="s">
        <v>296</v>
      </c>
      <c r="W4" s="66" t="s">
        <v>297</v>
      </c>
      <c r="X4" s="66" t="s">
        <v>299</v>
      </c>
      <c r="Y4" s="66" t="s">
        <v>239</v>
      </c>
      <c r="Z4" s="66" t="s">
        <v>319</v>
      </c>
      <c r="AA4" s="66" t="s">
        <v>320</v>
      </c>
      <c r="AB4" s="66" t="s">
        <v>321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304</v>
      </c>
    </row>
    <row r="58" spans="2:28" x14ac:dyDescent="0.25">
      <c r="B58" s="67" t="s">
        <v>0</v>
      </c>
      <c r="C58" s="67" t="s">
        <v>275</v>
      </c>
      <c r="D58" s="67" t="s">
        <v>276</v>
      </c>
      <c r="E58" s="67" t="s">
        <v>277</v>
      </c>
      <c r="F58" s="67" t="s">
        <v>307</v>
      </c>
      <c r="G58" s="67" t="s">
        <v>308</v>
      </c>
      <c r="H58" s="67" t="s">
        <v>309</v>
      </c>
      <c r="I58" s="67" t="s">
        <v>310</v>
      </c>
      <c r="J58" s="67" t="s">
        <v>294</v>
      </c>
      <c r="K58" s="67" t="s">
        <v>295</v>
      </c>
      <c r="L58" s="67" t="s">
        <v>279</v>
      </c>
      <c r="M58" s="67" t="s">
        <v>311</v>
      </c>
      <c r="N58" s="67" t="s">
        <v>312</v>
      </c>
      <c r="O58" s="67" t="s">
        <v>313</v>
      </c>
      <c r="P58" s="67" t="s">
        <v>314</v>
      </c>
      <c r="Q58" s="67" t="s">
        <v>228</v>
      </c>
      <c r="R58" s="67" t="s">
        <v>305</v>
      </c>
      <c r="S58" s="67" t="s">
        <v>315</v>
      </c>
      <c r="T58" s="67" t="s">
        <v>317</v>
      </c>
      <c r="U58" s="67" t="s">
        <v>318</v>
      </c>
      <c r="V58" s="67" t="s">
        <v>296</v>
      </c>
      <c r="W58" s="67" t="s">
        <v>297</v>
      </c>
      <c r="X58" s="67" t="s">
        <v>299</v>
      </c>
      <c r="Y58" s="67" t="s">
        <v>239</v>
      </c>
      <c r="Z58" s="67" t="s">
        <v>319</v>
      </c>
      <c r="AA58" s="67" t="s">
        <v>320</v>
      </c>
      <c r="AB58" s="67" t="s">
        <v>321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306</v>
      </c>
    </row>
    <row r="112" spans="2:28" x14ac:dyDescent="0.25">
      <c r="B112" s="63" t="s">
        <v>0</v>
      </c>
      <c r="C112" s="63" t="s">
        <v>275</v>
      </c>
      <c r="D112" s="63" t="s">
        <v>276</v>
      </c>
      <c r="E112" s="63" t="s">
        <v>277</v>
      </c>
      <c r="F112" s="63" t="s">
        <v>307</v>
      </c>
      <c r="G112" s="63" t="s">
        <v>308</v>
      </c>
      <c r="H112" s="63" t="s">
        <v>309</v>
      </c>
      <c r="I112" s="63" t="s">
        <v>310</v>
      </c>
      <c r="J112" s="63" t="s">
        <v>294</v>
      </c>
      <c r="K112" s="63" t="s">
        <v>295</v>
      </c>
      <c r="L112" s="63" t="s">
        <v>279</v>
      </c>
      <c r="M112" s="63" t="s">
        <v>311</v>
      </c>
      <c r="N112" s="63" t="s">
        <v>312</v>
      </c>
      <c r="O112" s="63" t="s">
        <v>313</v>
      </c>
      <c r="P112" s="63" t="s">
        <v>314</v>
      </c>
      <c r="Q112" s="63" t="s">
        <v>228</v>
      </c>
      <c r="R112" s="63" t="s">
        <v>305</v>
      </c>
      <c r="S112" s="63" t="s">
        <v>315</v>
      </c>
      <c r="T112" s="63" t="s">
        <v>317</v>
      </c>
      <c r="U112" s="63" t="s">
        <v>318</v>
      </c>
      <c r="V112" s="63" t="s">
        <v>296</v>
      </c>
      <c r="W112" s="63" t="s">
        <v>297</v>
      </c>
      <c r="X112" s="63" t="s">
        <v>299</v>
      </c>
      <c r="Y112" s="63" t="s">
        <v>239</v>
      </c>
      <c r="Z112" s="63" t="s">
        <v>319</v>
      </c>
      <c r="AA112" s="63" t="s">
        <v>320</v>
      </c>
      <c r="AB112" s="63" t="s">
        <v>321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A1:AM164"/>
  <sheetViews>
    <sheetView showGridLines="0" topLeftCell="A88" workbookViewId="0">
      <selection activeCell="E8" sqref="E8"/>
    </sheetView>
  </sheetViews>
  <sheetFormatPr defaultColWidth="0" defaultRowHeight="15" zeroHeight="1" x14ac:dyDescent="0.25"/>
  <cols>
    <col min="1" max="1" width="3" bestFit="1" customWidth="1"/>
    <col min="2" max="2" width="12.7109375" bestFit="1" customWidth="1"/>
    <col min="3" max="8" width="12" bestFit="1" customWidth="1"/>
    <col min="9" max="9" width="11.42578125" customWidth="1"/>
    <col min="10" max="10" width="12.42578125" bestFit="1" customWidth="1"/>
    <col min="11" max="14" width="12" bestFit="1" customWidth="1"/>
    <col min="15" max="15" width="17.28515625" bestFit="1" customWidth="1"/>
    <col min="16" max="16" width="17" bestFit="1" customWidth="1"/>
    <col min="17" max="17" width="20.28515625" bestFit="1" customWidth="1"/>
    <col min="18" max="18" width="13.5703125" bestFit="1" customWidth="1"/>
    <col min="19" max="19" width="38.42578125" bestFit="1" customWidth="1"/>
    <col min="20" max="20" width="18.5703125" bestFit="1" customWidth="1"/>
    <col min="21" max="21" width="18.85546875" bestFit="1" customWidth="1"/>
    <col min="22" max="22" width="28" bestFit="1" customWidth="1"/>
    <col min="23" max="23" width="21.140625" bestFit="1" customWidth="1"/>
    <col min="24" max="24" width="16.85546875" bestFit="1" customWidth="1"/>
    <col min="25" max="25" width="15.85546875" bestFit="1" customWidth="1"/>
    <col min="26" max="26" width="18" bestFit="1" customWidth="1"/>
    <col min="27" max="27" width="13.140625" bestFit="1" customWidth="1"/>
    <col min="28" max="29" width="12" bestFit="1" customWidth="1"/>
    <col min="30" max="30" width="15" bestFit="1" customWidth="1"/>
    <col min="31" max="31" width="12.28515625" bestFit="1" customWidth="1"/>
    <col min="32" max="32" width="18.28515625" bestFit="1" customWidth="1"/>
    <col min="33" max="33" width="12.7109375" bestFit="1" customWidth="1"/>
    <col min="34" max="34" width="15.28515625" bestFit="1" customWidth="1"/>
    <col min="35" max="35" width="8.85546875" bestFit="1" customWidth="1"/>
    <col min="36" max="36" width="16.85546875" bestFit="1" customWidth="1"/>
    <col min="37" max="37" width="9.85546875" bestFit="1" customWidth="1"/>
    <col min="38" max="38" width="15" bestFit="1" customWidth="1"/>
    <col min="39" max="39" width="9.140625" customWidth="1"/>
    <col min="40" max="16384" width="9.140625" hidden="1"/>
  </cols>
  <sheetData>
    <row r="1" spans="2:34" x14ac:dyDescent="0.25"/>
    <row r="2" spans="2:34" x14ac:dyDescent="0.25"/>
    <row r="3" spans="2:34" x14ac:dyDescent="0.25">
      <c r="B3" s="9" t="s">
        <v>303</v>
      </c>
    </row>
    <row r="4" spans="2:34" x14ac:dyDescent="0.25">
      <c r="B4" s="66" t="s">
        <v>0</v>
      </c>
      <c r="C4" s="66" t="s">
        <v>275</v>
      </c>
      <c r="D4" s="66" t="s">
        <v>276</v>
      </c>
      <c r="E4" s="66" t="s">
        <v>277</v>
      </c>
      <c r="F4" s="66" t="s">
        <v>278</v>
      </c>
      <c r="G4" s="66" t="s">
        <v>224</v>
      </c>
      <c r="H4" s="66" t="s">
        <v>226</v>
      </c>
      <c r="I4" s="66" t="s">
        <v>227</v>
      </c>
      <c r="J4" s="66" t="s">
        <v>279</v>
      </c>
      <c r="K4" s="66" t="s">
        <v>280</v>
      </c>
      <c r="L4" s="66" t="s">
        <v>281</v>
      </c>
      <c r="M4" s="66" t="s">
        <v>282</v>
      </c>
      <c r="N4" s="66" t="s">
        <v>283</v>
      </c>
      <c r="O4" s="66" t="s">
        <v>284</v>
      </c>
      <c r="P4" s="66" t="s">
        <v>285</v>
      </c>
      <c r="Q4" s="66" t="s">
        <v>286</v>
      </c>
      <c r="R4" s="66" t="s">
        <v>287</v>
      </c>
      <c r="S4" s="66" t="s">
        <v>291</v>
      </c>
      <c r="T4" s="66" t="s">
        <v>289</v>
      </c>
      <c r="U4" s="66" t="s">
        <v>288</v>
      </c>
      <c r="V4" s="66" t="s">
        <v>290</v>
      </c>
      <c r="W4" s="66" t="s">
        <v>292</v>
      </c>
      <c r="X4" s="66" t="s">
        <v>293</v>
      </c>
      <c r="Y4" s="66" t="s">
        <v>294</v>
      </c>
      <c r="Z4" s="66" t="s">
        <v>295</v>
      </c>
      <c r="AA4" s="66" t="s">
        <v>296</v>
      </c>
      <c r="AB4" s="66" t="s">
        <v>297</v>
      </c>
      <c r="AC4" s="66" t="s">
        <v>298</v>
      </c>
      <c r="AD4" s="66" t="s">
        <v>299</v>
      </c>
      <c r="AE4" s="66" t="s">
        <v>381</v>
      </c>
      <c r="AF4" s="66" t="s">
        <v>300</v>
      </c>
      <c r="AG4" s="66" t="s">
        <v>301</v>
      </c>
      <c r="AH4" s="66" t="s">
        <v>302</v>
      </c>
    </row>
    <row r="5" spans="2:34"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row>
    <row r="6" spans="2:34"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row>
    <row r="7" spans="2:34"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row>
    <row r="8" spans="2:34"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row>
    <row r="9" spans="2:34"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row>
    <row r="10" spans="2:34"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row>
    <row r="11" spans="2:34"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row>
    <row r="12" spans="2:34"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row>
    <row r="13" spans="2:34"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row>
    <row r="14" spans="2:34"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row>
    <row r="15" spans="2:34"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row>
    <row r="17" spans="2:34"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row>
    <row r="18" spans="2:34"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row>
    <row r="19" spans="2:34"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row>
    <row r="25" spans="2:34"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row>
    <row r="26" spans="2:34"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row>
    <row r="27" spans="2:34"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4"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row>
    <row r="29" spans="2:34"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row>
    <row r="30" spans="2:34"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row>
    <row r="31" spans="2:34"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row>
    <row r="32" spans="2:34"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row>
    <row r="33" spans="2:34"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row>
    <row r="34" spans="2:34"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row>
    <row r="35" spans="2:34"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row>
    <row r="36" spans="2:34"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row>
    <row r="37" spans="2:34"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row>
    <row r="38" spans="2:34"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row>
    <row r="39" spans="2:34"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row>
    <row r="40" spans="2:34"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row>
    <row r="41" spans="2:34"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row>
    <row r="42" spans="2:34"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row>
    <row r="43" spans="2:34"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row>
    <row r="44" spans="2:34"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row>
    <row r="45" spans="2:34"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row>
    <row r="46" spans="2:34"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row>
    <row r="47" spans="2:34"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row>
    <row r="48" spans="2:34"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row>
    <row r="49" spans="2:34"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row>
    <row r="50" spans="2:34"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row>
    <row r="51" spans="2:34"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row>
    <row r="52" spans="2:34"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row>
    <row r="53" spans="2:34"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row>
    <row r="54" spans="2:34"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row>
    <row r="55" spans="2:34" x14ac:dyDescent="0.25">
      <c r="B55" s="86" t="s">
        <v>382</v>
      </c>
      <c r="C55" s="87">
        <f>SUM(C5:C54)</f>
        <v>0</v>
      </c>
      <c r="D55" s="87">
        <f t="shared" ref="D55:AH55" si="0">SUM(D5:D54)</f>
        <v>0</v>
      </c>
      <c r="E55" s="87">
        <f t="shared" si="0"/>
        <v>0</v>
      </c>
      <c r="F55" s="87">
        <f t="shared" si="0"/>
        <v>0</v>
      </c>
      <c r="G55" s="87">
        <f t="shared" si="0"/>
        <v>0</v>
      </c>
      <c r="H55" s="87">
        <f t="shared" si="0"/>
        <v>0</v>
      </c>
      <c r="I55" s="87">
        <f t="shared" si="0"/>
        <v>0</v>
      </c>
      <c r="J55" s="87">
        <f t="shared" si="0"/>
        <v>0</v>
      </c>
      <c r="K55" s="87">
        <f t="shared" si="0"/>
        <v>0</v>
      </c>
      <c r="L55" s="87">
        <f t="shared" si="0"/>
        <v>0</v>
      </c>
      <c r="M55" s="87">
        <f t="shared" si="0"/>
        <v>0</v>
      </c>
      <c r="N55" s="87">
        <f t="shared" si="0"/>
        <v>0</v>
      </c>
      <c r="O55" s="87">
        <f t="shared" si="0"/>
        <v>0</v>
      </c>
      <c r="P55" s="87">
        <f t="shared" si="0"/>
        <v>0</v>
      </c>
      <c r="Q55" s="87">
        <f t="shared" si="0"/>
        <v>0</v>
      </c>
      <c r="R55" s="87">
        <f t="shared" si="0"/>
        <v>0</v>
      </c>
      <c r="S55" s="87">
        <f t="shared" si="0"/>
        <v>0</v>
      </c>
      <c r="T55" s="87">
        <f t="shared" si="0"/>
        <v>0</v>
      </c>
      <c r="U55" s="87">
        <f t="shared" si="0"/>
        <v>0</v>
      </c>
      <c r="V55" s="87">
        <f t="shared" si="0"/>
        <v>0</v>
      </c>
      <c r="W55" s="87">
        <f t="shared" si="0"/>
        <v>0</v>
      </c>
      <c r="X55" s="87">
        <f t="shared" si="0"/>
        <v>0</v>
      </c>
      <c r="Y55" s="87">
        <f t="shared" si="0"/>
        <v>0</v>
      </c>
      <c r="Z55" s="87">
        <f t="shared" si="0"/>
        <v>0</v>
      </c>
      <c r="AA55" s="87">
        <f t="shared" si="0"/>
        <v>0</v>
      </c>
      <c r="AB55" s="87">
        <f t="shared" si="0"/>
        <v>0</v>
      </c>
      <c r="AC55" s="87">
        <f t="shared" si="0"/>
        <v>0</v>
      </c>
      <c r="AD55" s="87">
        <f t="shared" si="0"/>
        <v>0</v>
      </c>
      <c r="AE55" s="87">
        <f t="shared" si="0"/>
        <v>0</v>
      </c>
      <c r="AF55" s="87">
        <f t="shared" si="0"/>
        <v>0</v>
      </c>
      <c r="AG55" s="87">
        <f t="shared" si="0"/>
        <v>0</v>
      </c>
      <c r="AH55" s="87">
        <f t="shared" si="0"/>
        <v>0</v>
      </c>
    </row>
    <row r="56" spans="2:34" x14ac:dyDescent="0.25"/>
    <row r="57" spans="2:34" x14ac:dyDescent="0.25">
      <c r="B57" s="9" t="s">
        <v>304</v>
      </c>
    </row>
    <row r="58" spans="2:34" x14ac:dyDescent="0.25">
      <c r="B58" s="67" t="s">
        <v>0</v>
      </c>
      <c r="C58" s="67" t="s">
        <v>275</v>
      </c>
      <c r="D58" s="67" t="s">
        <v>276</v>
      </c>
      <c r="E58" s="67" t="s">
        <v>277</v>
      </c>
      <c r="F58" s="67" t="s">
        <v>278</v>
      </c>
      <c r="G58" s="67" t="s">
        <v>224</v>
      </c>
      <c r="H58" s="67" t="s">
        <v>226</v>
      </c>
      <c r="I58" s="67" t="s">
        <v>227</v>
      </c>
      <c r="J58" s="67" t="s">
        <v>279</v>
      </c>
      <c r="K58" s="67" t="s">
        <v>280</v>
      </c>
      <c r="L58" s="67" t="s">
        <v>281</v>
      </c>
      <c r="M58" s="67" t="s">
        <v>282</v>
      </c>
      <c r="N58" s="67" t="s">
        <v>283</v>
      </c>
      <c r="O58" s="67" t="s">
        <v>284</v>
      </c>
      <c r="P58" s="67" t="s">
        <v>285</v>
      </c>
      <c r="Q58" s="67" t="s">
        <v>286</v>
      </c>
      <c r="R58" s="67" t="s">
        <v>287</v>
      </c>
      <c r="S58" s="67" t="s">
        <v>291</v>
      </c>
      <c r="T58" s="67" t="s">
        <v>305</v>
      </c>
      <c r="U58" s="67" t="s">
        <v>288</v>
      </c>
      <c r="V58" s="67" t="s">
        <v>290</v>
      </c>
      <c r="W58" s="67" t="s">
        <v>292</v>
      </c>
      <c r="X58" s="67" t="s">
        <v>293</v>
      </c>
      <c r="Y58" s="67" t="s">
        <v>294</v>
      </c>
      <c r="Z58" s="67" t="s">
        <v>295</v>
      </c>
      <c r="AA58" s="67" t="s">
        <v>296</v>
      </c>
      <c r="AB58" s="67" t="s">
        <v>297</v>
      </c>
      <c r="AC58" s="67" t="s">
        <v>298</v>
      </c>
      <c r="AD58" s="67" t="s">
        <v>299</v>
      </c>
      <c r="AE58" s="67" t="s">
        <v>381</v>
      </c>
      <c r="AF58" s="67" t="s">
        <v>300</v>
      </c>
      <c r="AG58" s="67" t="s">
        <v>301</v>
      </c>
      <c r="AH58" s="67" t="s">
        <v>302</v>
      </c>
    </row>
    <row r="59" spans="2:34"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row>
    <row r="60" spans="2:34"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row>
    <row r="61" spans="2:34"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row>
    <row r="62" spans="2:34"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row>
    <row r="63" spans="2:34"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row>
    <row r="64" spans="2:34"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row>
    <row r="65" spans="2:34"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row>
    <row r="66" spans="2:34"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row>
    <row r="67" spans="2:34"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row>
    <row r="68" spans="2:34"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row>
    <row r="69" spans="2:34"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row>
    <row r="70" spans="2:34"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row>
    <row r="71" spans="2:34"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row>
    <row r="72" spans="2:34"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row>
    <row r="73" spans="2:34"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row>
    <row r="74" spans="2:34"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row>
    <row r="75" spans="2:34"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row>
    <row r="76" spans="2:34"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row>
    <row r="77" spans="2:34"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row>
    <row r="78" spans="2:34"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row>
    <row r="79" spans="2:34"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row>
    <row r="80" spans="2:34"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row>
    <row r="81" spans="2:34"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row>
    <row r="82" spans="2:34"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row>
    <row r="83" spans="2:34"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row>
    <row r="84" spans="2:34"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row>
    <row r="85" spans="2:34"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row>
    <row r="86" spans="2:34"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row>
    <row r="87" spans="2:34"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row>
    <row r="88" spans="2:34"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row>
    <row r="89" spans="2:34"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row>
    <row r="90" spans="2:34"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row>
    <row r="91" spans="2:34"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row>
    <row r="92" spans="2:34"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row>
    <row r="93" spans="2:34"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row>
    <row r="94" spans="2:34"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row>
    <row r="95" spans="2:34"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row>
    <row r="96" spans="2:34"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row>
    <row r="97" spans="2:3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row>
    <row r="98" spans="2:3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row>
    <row r="99" spans="2:3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row>
    <row r="100" spans="2:3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row>
    <row r="101" spans="2:3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row>
    <row r="102" spans="2:3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row>
    <row r="103" spans="2:3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row>
    <row r="104" spans="2:3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row>
    <row r="105" spans="2:3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row>
    <row r="106" spans="2:3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row>
    <row r="107" spans="2:3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row>
    <row r="108" spans="2:3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row>
    <row r="109" spans="2:38" x14ac:dyDescent="0.25">
      <c r="B109" s="86" t="s">
        <v>382</v>
      </c>
      <c r="C109" s="87">
        <f>SUM(C59:C108)</f>
        <v>0</v>
      </c>
      <c r="D109" s="87">
        <f t="shared" ref="D109:AH109" si="1">SUM(D59:D108)</f>
        <v>0</v>
      </c>
      <c r="E109" s="87">
        <f t="shared" si="1"/>
        <v>0</v>
      </c>
      <c r="F109" s="87">
        <f t="shared" si="1"/>
        <v>0</v>
      </c>
      <c r="G109" s="87">
        <f t="shared" si="1"/>
        <v>0</v>
      </c>
      <c r="H109" s="87">
        <f t="shared" si="1"/>
        <v>0</v>
      </c>
      <c r="I109" s="87">
        <f t="shared" si="1"/>
        <v>0</v>
      </c>
      <c r="J109" s="87">
        <f t="shared" si="1"/>
        <v>0</v>
      </c>
      <c r="K109" s="87">
        <f t="shared" si="1"/>
        <v>0</v>
      </c>
      <c r="L109" s="87">
        <f t="shared" si="1"/>
        <v>0</v>
      </c>
      <c r="M109" s="87">
        <f t="shared" si="1"/>
        <v>0</v>
      </c>
      <c r="N109" s="87">
        <f t="shared" si="1"/>
        <v>0</v>
      </c>
      <c r="O109" s="87">
        <f t="shared" si="1"/>
        <v>0</v>
      </c>
      <c r="P109" s="87">
        <f t="shared" si="1"/>
        <v>0</v>
      </c>
      <c r="Q109" s="87">
        <f t="shared" si="1"/>
        <v>0</v>
      </c>
      <c r="R109" s="87">
        <f t="shared" si="1"/>
        <v>0</v>
      </c>
      <c r="S109" s="87">
        <f t="shared" si="1"/>
        <v>0</v>
      </c>
      <c r="T109" s="87">
        <f t="shared" si="1"/>
        <v>0</v>
      </c>
      <c r="U109" s="87">
        <f t="shared" si="1"/>
        <v>0</v>
      </c>
      <c r="V109" s="87">
        <f t="shared" si="1"/>
        <v>0</v>
      </c>
      <c r="W109" s="87">
        <f t="shared" si="1"/>
        <v>0</v>
      </c>
      <c r="X109" s="87">
        <f t="shared" si="1"/>
        <v>0</v>
      </c>
      <c r="Y109" s="87">
        <f t="shared" si="1"/>
        <v>0</v>
      </c>
      <c r="Z109" s="87">
        <f t="shared" si="1"/>
        <v>0</v>
      </c>
      <c r="AA109" s="87">
        <f t="shared" si="1"/>
        <v>0</v>
      </c>
      <c r="AB109" s="87">
        <f t="shared" si="1"/>
        <v>0</v>
      </c>
      <c r="AC109" s="87">
        <f t="shared" si="1"/>
        <v>0</v>
      </c>
      <c r="AD109" s="87">
        <f t="shared" si="1"/>
        <v>0</v>
      </c>
      <c r="AE109" s="87">
        <f t="shared" si="1"/>
        <v>0</v>
      </c>
      <c r="AF109" s="87">
        <f t="shared" si="1"/>
        <v>0</v>
      </c>
      <c r="AG109" s="87">
        <f t="shared" si="1"/>
        <v>0</v>
      </c>
      <c r="AH109" s="87">
        <f t="shared" si="1"/>
        <v>0</v>
      </c>
    </row>
    <row r="110" spans="2:38" x14ac:dyDescent="0.25"/>
    <row r="111" spans="2:38" x14ac:dyDescent="0.25">
      <c r="B111" s="9" t="s">
        <v>306</v>
      </c>
    </row>
    <row r="112" spans="2:38" x14ac:dyDescent="0.25">
      <c r="B112" s="63" t="s">
        <v>0</v>
      </c>
      <c r="C112" s="63" t="s">
        <v>383</v>
      </c>
      <c r="D112" s="63" t="s">
        <v>384</v>
      </c>
      <c r="E112" s="63" t="s">
        <v>277</v>
      </c>
      <c r="F112" s="63" t="s">
        <v>278</v>
      </c>
      <c r="G112" s="63" t="s">
        <v>224</v>
      </c>
      <c r="H112" s="63" t="s">
        <v>226</v>
      </c>
      <c r="I112" s="63" t="s">
        <v>227</v>
      </c>
      <c r="J112" s="63" t="s">
        <v>279</v>
      </c>
      <c r="K112" s="63" t="s">
        <v>280</v>
      </c>
      <c r="L112" s="63" t="s">
        <v>281</v>
      </c>
      <c r="M112" s="63" t="s">
        <v>282</v>
      </c>
      <c r="N112" s="63" t="s">
        <v>283</v>
      </c>
      <c r="O112" s="63" t="s">
        <v>284</v>
      </c>
      <c r="P112" s="63" t="s">
        <v>285</v>
      </c>
      <c r="Q112" s="63" t="s">
        <v>286</v>
      </c>
      <c r="R112" s="63" t="s">
        <v>287</v>
      </c>
      <c r="S112" s="63" t="s">
        <v>291</v>
      </c>
      <c r="T112" s="63" t="s">
        <v>305</v>
      </c>
      <c r="U112" s="63" t="s">
        <v>288</v>
      </c>
      <c r="V112" s="63" t="s">
        <v>290</v>
      </c>
      <c r="W112" s="63" t="s">
        <v>292</v>
      </c>
      <c r="X112" s="63" t="s">
        <v>293</v>
      </c>
      <c r="Y112" s="63" t="s">
        <v>294</v>
      </c>
      <c r="Z112" s="63" t="s">
        <v>295</v>
      </c>
      <c r="AA112" s="63" t="s">
        <v>296</v>
      </c>
      <c r="AB112" s="63" t="s">
        <v>297</v>
      </c>
      <c r="AC112" s="63" t="s">
        <v>298</v>
      </c>
      <c r="AD112" s="63" t="s">
        <v>299</v>
      </c>
      <c r="AE112" s="63" t="s">
        <v>385</v>
      </c>
      <c r="AF112" s="63" t="s">
        <v>386</v>
      </c>
      <c r="AG112" s="63" t="s">
        <v>381</v>
      </c>
      <c r="AH112" s="63" t="s">
        <v>387</v>
      </c>
      <c r="AI112" s="84" t="s">
        <v>388</v>
      </c>
      <c r="AJ112" s="84" t="s">
        <v>321</v>
      </c>
      <c r="AK112" s="84" t="s">
        <v>389</v>
      </c>
      <c r="AL112" s="83" t="s">
        <v>390</v>
      </c>
    </row>
    <row r="113" spans="2:38"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row>
    <row r="114" spans="2:38"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row>
    <row r="115" spans="2:38"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85"/>
      <c r="AJ115" s="85"/>
      <c r="AK115" s="85"/>
      <c r="AL115" s="20"/>
    </row>
    <row r="116" spans="2:38"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row>
    <row r="117" spans="2:38"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row>
    <row r="118" spans="2:38"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row>
    <row r="119" spans="2:38"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row>
    <row r="120" spans="2:38"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row>
    <row r="121" spans="2:38"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row>
    <row r="122" spans="2:38"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row>
    <row r="123" spans="2:38"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row>
    <row r="124" spans="2:38"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row>
    <row r="125" spans="2:38"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row>
    <row r="126" spans="2:38"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row>
    <row r="127" spans="2:38"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row>
    <row r="128" spans="2:38"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row>
    <row r="129" spans="2:38"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row>
    <row r="130" spans="2:38"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row>
    <row r="131" spans="2:38"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row>
    <row r="132" spans="2:38"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row>
    <row r="133" spans="2:38"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row>
    <row r="134" spans="2:38"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row>
    <row r="135" spans="2:38"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row>
    <row r="136" spans="2:38"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row>
    <row r="137" spans="2:38"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row>
    <row r="138" spans="2:38"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row>
    <row r="139" spans="2:38"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row>
    <row r="140" spans="2:38"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row>
    <row r="141" spans="2:38"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row>
    <row r="142" spans="2:38"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row>
    <row r="143" spans="2:38"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row>
    <row r="144" spans="2:38"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row>
    <row r="145" spans="2:38"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row>
    <row r="146" spans="2:38"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row>
    <row r="147" spans="2:38"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row>
    <row r="148" spans="2:38"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row>
    <row r="149" spans="2:38"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row>
    <row r="150" spans="2:38"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row>
    <row r="151" spans="2:38"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row>
    <row r="152" spans="2:38"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row>
    <row r="153" spans="2:38"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row>
    <row r="154" spans="2:38"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row>
    <row r="155" spans="2:38"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row>
    <row r="156" spans="2:38"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row>
    <row r="157" spans="2:38"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row>
    <row r="158" spans="2:38"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row>
    <row r="159" spans="2:38"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row>
    <row r="160" spans="2:38"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row>
    <row r="161" spans="2:38"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row>
    <row r="162" spans="2:38"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row>
    <row r="163" spans="2:38" x14ac:dyDescent="0.25">
      <c r="B163" s="86" t="s">
        <v>382</v>
      </c>
      <c r="C163" s="87">
        <f>SUM(C113:C162)</f>
        <v>0</v>
      </c>
      <c r="D163" s="87">
        <f t="shared" ref="D163:AK163" si="2">SUM(D113:D162)</f>
        <v>0</v>
      </c>
      <c r="E163" s="87">
        <f t="shared" si="2"/>
        <v>0</v>
      </c>
      <c r="F163" s="87">
        <f t="shared" si="2"/>
        <v>0</v>
      </c>
      <c r="G163" s="87">
        <f t="shared" si="2"/>
        <v>0</v>
      </c>
      <c r="H163" s="87">
        <f t="shared" si="2"/>
        <v>0</v>
      </c>
      <c r="I163" s="87">
        <f t="shared" si="2"/>
        <v>0</v>
      </c>
      <c r="J163" s="87">
        <f t="shared" si="2"/>
        <v>0</v>
      </c>
      <c r="K163" s="87">
        <f t="shared" si="2"/>
        <v>0</v>
      </c>
      <c r="L163" s="87">
        <f t="shared" si="2"/>
        <v>0</v>
      </c>
      <c r="M163" s="87">
        <f t="shared" si="2"/>
        <v>0</v>
      </c>
      <c r="N163" s="87">
        <f t="shared" si="2"/>
        <v>0</v>
      </c>
      <c r="O163" s="87">
        <f t="shared" si="2"/>
        <v>0</v>
      </c>
      <c r="P163" s="87">
        <f t="shared" si="2"/>
        <v>0</v>
      </c>
      <c r="Q163" s="87">
        <f t="shared" si="2"/>
        <v>0</v>
      </c>
      <c r="R163" s="87">
        <f t="shared" si="2"/>
        <v>0</v>
      </c>
      <c r="S163" s="87">
        <f t="shared" si="2"/>
        <v>0</v>
      </c>
      <c r="T163" s="87">
        <f t="shared" si="2"/>
        <v>0</v>
      </c>
      <c r="U163" s="87">
        <f t="shared" si="2"/>
        <v>0</v>
      </c>
      <c r="V163" s="87">
        <f t="shared" si="2"/>
        <v>0</v>
      </c>
      <c r="W163" s="87">
        <f t="shared" si="2"/>
        <v>0</v>
      </c>
      <c r="X163" s="87">
        <f t="shared" si="2"/>
        <v>0</v>
      </c>
      <c r="Y163" s="87">
        <f t="shared" si="2"/>
        <v>0</v>
      </c>
      <c r="Z163" s="87">
        <f t="shared" si="2"/>
        <v>0</v>
      </c>
      <c r="AA163" s="87">
        <f t="shared" si="2"/>
        <v>0</v>
      </c>
      <c r="AB163" s="87">
        <f t="shared" si="2"/>
        <v>0</v>
      </c>
      <c r="AC163" s="87">
        <f t="shared" si="2"/>
        <v>0</v>
      </c>
      <c r="AD163" s="87">
        <f t="shared" si="2"/>
        <v>0</v>
      </c>
      <c r="AE163" s="87">
        <f t="shared" si="2"/>
        <v>0</v>
      </c>
      <c r="AF163" s="87">
        <f t="shared" si="2"/>
        <v>0</v>
      </c>
      <c r="AG163" s="87">
        <f t="shared" si="2"/>
        <v>0</v>
      </c>
      <c r="AH163" s="87">
        <f t="shared" si="2"/>
        <v>0</v>
      </c>
      <c r="AI163" s="87">
        <f t="shared" si="2"/>
        <v>0</v>
      </c>
      <c r="AJ163" s="87">
        <f t="shared" si="2"/>
        <v>0</v>
      </c>
      <c r="AK163" s="87">
        <f t="shared" si="2"/>
        <v>0</v>
      </c>
      <c r="AL163" s="20"/>
    </row>
    <row r="164" spans="2:38"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77EBE-D224-4A89-9295-3A78AA062985}">
  <sheetPr codeName="Sheet28">
    <tabColor rgb="FFB3FF03"/>
  </sheetPr>
  <dimension ref="A1:AM164"/>
  <sheetViews>
    <sheetView showGridLines="0" topLeftCell="AA138" workbookViewId="0">
      <selection activeCell="AC154" sqref="AC154"/>
    </sheetView>
  </sheetViews>
  <sheetFormatPr defaultColWidth="0" defaultRowHeight="15" zeroHeight="1" x14ac:dyDescent="0.25"/>
  <cols>
    <col min="1" max="1" width="3" bestFit="1" customWidth="1"/>
    <col min="2" max="2" width="12.7109375" bestFit="1" customWidth="1"/>
    <col min="3" max="8" width="12" bestFit="1" customWidth="1"/>
    <col min="9" max="9" width="11.42578125" customWidth="1"/>
    <col min="10" max="10" width="12.42578125" bestFit="1" customWidth="1"/>
    <col min="11" max="14" width="12" bestFit="1" customWidth="1"/>
    <col min="15" max="15" width="17.28515625" bestFit="1" customWidth="1"/>
    <col min="16" max="16" width="17" bestFit="1" customWidth="1"/>
    <col min="17" max="17" width="20.28515625" bestFit="1" customWidth="1"/>
    <col min="18" max="18" width="13.5703125" bestFit="1" customWidth="1"/>
    <col min="19" max="19" width="38.42578125" bestFit="1" customWidth="1"/>
    <col min="20" max="20" width="18.5703125" bestFit="1" customWidth="1"/>
    <col min="21" max="21" width="18.85546875" bestFit="1" customWidth="1"/>
    <col min="22" max="22" width="28" bestFit="1" customWidth="1"/>
    <col min="23" max="23" width="21.140625" bestFit="1" customWidth="1"/>
    <col min="24" max="24" width="16.85546875" bestFit="1" customWidth="1"/>
    <col min="25" max="25" width="15.85546875" bestFit="1" customWidth="1"/>
    <col min="26" max="26" width="18" bestFit="1" customWidth="1"/>
    <col min="27" max="27" width="13.140625" bestFit="1" customWidth="1"/>
    <col min="28" max="29" width="12" bestFit="1" customWidth="1"/>
    <col min="30" max="30" width="15" bestFit="1" customWidth="1"/>
    <col min="31" max="31" width="12.28515625" bestFit="1" customWidth="1"/>
    <col min="32" max="32" width="18.28515625" bestFit="1" customWidth="1"/>
    <col min="33" max="33" width="12.7109375" bestFit="1" customWidth="1"/>
    <col min="34" max="34" width="15.28515625" bestFit="1" customWidth="1"/>
    <col min="35" max="35" width="8.85546875" bestFit="1" customWidth="1"/>
    <col min="36" max="36" width="16.85546875" bestFit="1" customWidth="1"/>
    <col min="37" max="37" width="9.85546875" bestFit="1" customWidth="1"/>
    <col min="38" max="38" width="15" bestFit="1" customWidth="1"/>
    <col min="39" max="39" width="9.140625" customWidth="1"/>
    <col min="40" max="16384" width="9.140625" hidden="1"/>
  </cols>
  <sheetData>
    <row r="1" spans="2:34" x14ac:dyDescent="0.25"/>
    <row r="2" spans="2:34" x14ac:dyDescent="0.25"/>
    <row r="3" spans="2:34" x14ac:dyDescent="0.25">
      <c r="B3" s="9" t="s">
        <v>303</v>
      </c>
    </row>
    <row r="4" spans="2:34" x14ac:dyDescent="0.25">
      <c r="B4" s="66" t="s">
        <v>0</v>
      </c>
      <c r="C4" s="66" t="s">
        <v>275</v>
      </c>
      <c r="D4" s="66" t="s">
        <v>276</v>
      </c>
      <c r="E4" s="66" t="s">
        <v>277</v>
      </c>
      <c r="F4" s="66" t="s">
        <v>278</v>
      </c>
      <c r="G4" s="66" t="s">
        <v>224</v>
      </c>
      <c r="H4" s="66" t="s">
        <v>226</v>
      </c>
      <c r="I4" s="66" t="s">
        <v>227</v>
      </c>
      <c r="J4" s="66" t="s">
        <v>279</v>
      </c>
      <c r="K4" s="66" t="s">
        <v>280</v>
      </c>
      <c r="L4" s="66" t="s">
        <v>281</v>
      </c>
      <c r="M4" s="66" t="s">
        <v>282</v>
      </c>
      <c r="N4" s="66" t="s">
        <v>283</v>
      </c>
      <c r="O4" s="66" t="s">
        <v>284</v>
      </c>
      <c r="P4" s="66" t="s">
        <v>285</v>
      </c>
      <c r="Q4" s="66" t="s">
        <v>286</v>
      </c>
      <c r="R4" s="66" t="s">
        <v>287</v>
      </c>
      <c r="S4" s="66" t="s">
        <v>291</v>
      </c>
      <c r="T4" s="66" t="s">
        <v>289</v>
      </c>
      <c r="U4" s="66" t="s">
        <v>288</v>
      </c>
      <c r="V4" s="66" t="s">
        <v>290</v>
      </c>
      <c r="W4" s="66" t="s">
        <v>292</v>
      </c>
      <c r="X4" s="66" t="s">
        <v>293</v>
      </c>
      <c r="Y4" s="66" t="s">
        <v>294</v>
      </c>
      <c r="Z4" s="66" t="s">
        <v>295</v>
      </c>
      <c r="AA4" s="66" t="s">
        <v>296</v>
      </c>
      <c r="AB4" s="66" t="s">
        <v>297</v>
      </c>
      <c r="AC4" s="66" t="s">
        <v>298</v>
      </c>
      <c r="AD4" s="66" t="s">
        <v>299</v>
      </c>
      <c r="AE4" s="66" t="s">
        <v>381</v>
      </c>
      <c r="AF4" s="66" t="s">
        <v>300</v>
      </c>
      <c r="AG4" s="66" t="s">
        <v>301</v>
      </c>
      <c r="AH4" s="66" t="s">
        <v>302</v>
      </c>
    </row>
    <row r="5" spans="2:34"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row>
    <row r="6" spans="2:34"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row>
    <row r="7" spans="2:34"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row>
    <row r="8" spans="2:34"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row>
    <row r="9" spans="2:34"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row>
    <row r="10" spans="2:34"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row>
    <row r="11" spans="2:34"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row>
    <row r="12" spans="2:34"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row>
    <row r="13" spans="2:34"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row>
    <row r="14" spans="2:34"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row>
    <row r="15" spans="2:34"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row>
    <row r="17" spans="2:34"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row>
    <row r="18" spans="2:34"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row>
    <row r="19" spans="2:34"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row>
    <row r="25" spans="2:34"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row>
    <row r="26" spans="2:34"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row>
    <row r="27" spans="2:34"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4"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row>
    <row r="29" spans="2:34"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row>
    <row r="30" spans="2:34"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row>
    <row r="31" spans="2:34"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row>
    <row r="32" spans="2:34"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row>
    <row r="33" spans="2:34"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row>
    <row r="34" spans="2:34"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row>
    <row r="35" spans="2:34"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row>
    <row r="36" spans="2:34"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row>
    <row r="37" spans="2:34"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row>
    <row r="38" spans="2:34"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row>
    <row r="39" spans="2:34"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row>
    <row r="40" spans="2:34"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row>
    <row r="41" spans="2:34"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row>
    <row r="42" spans="2:34"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row>
    <row r="43" spans="2:34"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row>
    <row r="44" spans="2:34"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row>
    <row r="45" spans="2:34"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row>
    <row r="46" spans="2:34"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row>
    <row r="47" spans="2:34"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row>
    <row r="48" spans="2:34"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row>
    <row r="49" spans="2:34"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row>
    <row r="50" spans="2:34"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row>
    <row r="51" spans="2:34"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row>
    <row r="52" spans="2:34"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row>
    <row r="53" spans="2:34"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row>
    <row r="54" spans="2:34"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row>
    <row r="55" spans="2:34" x14ac:dyDescent="0.25">
      <c r="B55" s="86" t="s">
        <v>382</v>
      </c>
      <c r="C55" s="87">
        <f>SUM(C5:C54)</f>
        <v>0</v>
      </c>
      <c r="D55" s="87">
        <f t="shared" ref="D55:AH55" si="0">SUM(D5:D54)</f>
        <v>0</v>
      </c>
      <c r="E55" s="87">
        <f t="shared" si="0"/>
        <v>0</v>
      </c>
      <c r="F55" s="87">
        <f t="shared" si="0"/>
        <v>0</v>
      </c>
      <c r="G55" s="87">
        <f t="shared" si="0"/>
        <v>0</v>
      </c>
      <c r="H55" s="87">
        <f t="shared" si="0"/>
        <v>0</v>
      </c>
      <c r="I55" s="87">
        <f t="shared" si="0"/>
        <v>0</v>
      </c>
      <c r="J55" s="87">
        <f t="shared" si="0"/>
        <v>0</v>
      </c>
      <c r="K55" s="87">
        <f t="shared" si="0"/>
        <v>0</v>
      </c>
      <c r="L55" s="87">
        <f t="shared" si="0"/>
        <v>0</v>
      </c>
      <c r="M55" s="87">
        <f t="shared" si="0"/>
        <v>0</v>
      </c>
      <c r="N55" s="87">
        <f t="shared" si="0"/>
        <v>0</v>
      </c>
      <c r="O55" s="87">
        <f t="shared" si="0"/>
        <v>0</v>
      </c>
      <c r="P55" s="87">
        <f t="shared" si="0"/>
        <v>0</v>
      </c>
      <c r="Q55" s="87">
        <f t="shared" si="0"/>
        <v>0</v>
      </c>
      <c r="R55" s="87">
        <f t="shared" si="0"/>
        <v>0</v>
      </c>
      <c r="S55" s="87">
        <f t="shared" si="0"/>
        <v>0</v>
      </c>
      <c r="T55" s="87">
        <f t="shared" si="0"/>
        <v>0</v>
      </c>
      <c r="U55" s="87">
        <f t="shared" si="0"/>
        <v>0</v>
      </c>
      <c r="V55" s="87">
        <f t="shared" si="0"/>
        <v>0</v>
      </c>
      <c r="W55" s="87">
        <f t="shared" si="0"/>
        <v>0</v>
      </c>
      <c r="X55" s="87">
        <f t="shared" si="0"/>
        <v>0</v>
      </c>
      <c r="Y55" s="87">
        <f t="shared" si="0"/>
        <v>0</v>
      </c>
      <c r="Z55" s="87">
        <f t="shared" si="0"/>
        <v>0</v>
      </c>
      <c r="AA55" s="87">
        <f t="shared" si="0"/>
        <v>0</v>
      </c>
      <c r="AB55" s="87">
        <f t="shared" si="0"/>
        <v>0</v>
      </c>
      <c r="AC55" s="87">
        <f t="shared" si="0"/>
        <v>0</v>
      </c>
      <c r="AD55" s="87">
        <f t="shared" si="0"/>
        <v>0</v>
      </c>
      <c r="AE55" s="87">
        <f t="shared" si="0"/>
        <v>0</v>
      </c>
      <c r="AF55" s="87">
        <f t="shared" si="0"/>
        <v>0</v>
      </c>
      <c r="AG55" s="87">
        <f t="shared" si="0"/>
        <v>0</v>
      </c>
      <c r="AH55" s="87">
        <f t="shared" si="0"/>
        <v>0</v>
      </c>
    </row>
    <row r="56" spans="2:34" x14ac:dyDescent="0.25"/>
    <row r="57" spans="2:34" x14ac:dyDescent="0.25">
      <c r="B57" s="9" t="s">
        <v>304</v>
      </c>
    </row>
    <row r="58" spans="2:34" x14ac:dyDescent="0.25">
      <c r="B58" s="67" t="s">
        <v>0</v>
      </c>
      <c r="C58" s="67" t="s">
        <v>275</v>
      </c>
      <c r="D58" s="67" t="s">
        <v>276</v>
      </c>
      <c r="E58" s="67" t="s">
        <v>277</v>
      </c>
      <c r="F58" s="67" t="s">
        <v>278</v>
      </c>
      <c r="G58" s="67" t="s">
        <v>224</v>
      </c>
      <c r="H58" s="67" t="s">
        <v>226</v>
      </c>
      <c r="I58" s="67" t="s">
        <v>227</v>
      </c>
      <c r="J58" s="67" t="s">
        <v>279</v>
      </c>
      <c r="K58" s="67" t="s">
        <v>280</v>
      </c>
      <c r="L58" s="67" t="s">
        <v>281</v>
      </c>
      <c r="M58" s="67" t="s">
        <v>282</v>
      </c>
      <c r="N58" s="67" t="s">
        <v>283</v>
      </c>
      <c r="O58" s="67" t="s">
        <v>284</v>
      </c>
      <c r="P58" s="67" t="s">
        <v>285</v>
      </c>
      <c r="Q58" s="67" t="s">
        <v>286</v>
      </c>
      <c r="R58" s="67" t="s">
        <v>287</v>
      </c>
      <c r="S58" s="67" t="s">
        <v>291</v>
      </c>
      <c r="T58" s="67" t="s">
        <v>305</v>
      </c>
      <c r="U58" s="67" t="s">
        <v>288</v>
      </c>
      <c r="V58" s="67" t="s">
        <v>290</v>
      </c>
      <c r="W58" s="67" t="s">
        <v>292</v>
      </c>
      <c r="X58" s="67" t="s">
        <v>293</v>
      </c>
      <c r="Y58" s="67" t="s">
        <v>294</v>
      </c>
      <c r="Z58" s="67" t="s">
        <v>295</v>
      </c>
      <c r="AA58" s="67" t="s">
        <v>296</v>
      </c>
      <c r="AB58" s="67" t="s">
        <v>297</v>
      </c>
      <c r="AC58" s="67" t="s">
        <v>298</v>
      </c>
      <c r="AD58" s="67" t="s">
        <v>299</v>
      </c>
      <c r="AE58" s="67" t="s">
        <v>381</v>
      </c>
      <c r="AF58" s="67" t="s">
        <v>300</v>
      </c>
      <c r="AG58" s="67" t="s">
        <v>301</v>
      </c>
      <c r="AH58" s="67" t="s">
        <v>302</v>
      </c>
    </row>
    <row r="59" spans="2:34"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row>
    <row r="60" spans="2:34"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row>
    <row r="61" spans="2:34"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row>
    <row r="62" spans="2:34"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row>
    <row r="63" spans="2:34"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row>
    <row r="64" spans="2:34"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row>
    <row r="65" spans="2:34"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row>
    <row r="66" spans="2:34"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row>
    <row r="67" spans="2:34"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row>
    <row r="68" spans="2:34"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row>
    <row r="69" spans="2:34"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row>
    <row r="70" spans="2:34"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row>
    <row r="71" spans="2:34"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row>
    <row r="72" spans="2:34"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row>
    <row r="73" spans="2:34"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row>
    <row r="74" spans="2:34"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row>
    <row r="75" spans="2:34"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row>
    <row r="76" spans="2:34"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row>
    <row r="77" spans="2:34"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row>
    <row r="78" spans="2:34"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row>
    <row r="79" spans="2:34"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row>
    <row r="80" spans="2:34"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row>
    <row r="81" spans="2:34"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row>
    <row r="82" spans="2:34"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row>
    <row r="83" spans="2:34"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row>
    <row r="84" spans="2:34"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row>
    <row r="85" spans="2:34"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row>
    <row r="86" spans="2:34"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row>
    <row r="87" spans="2:34"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row>
    <row r="88" spans="2:34"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row>
    <row r="89" spans="2:34"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row>
    <row r="90" spans="2:34"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row>
    <row r="91" spans="2:34"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row>
    <row r="92" spans="2:34"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row>
    <row r="93" spans="2:34"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row>
    <row r="94" spans="2:34"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row>
    <row r="95" spans="2:34"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row>
    <row r="96" spans="2:34"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row>
    <row r="97" spans="2:3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row>
    <row r="98" spans="2:3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row>
    <row r="99" spans="2:3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row>
    <row r="100" spans="2:3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row>
    <row r="101" spans="2:3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row>
    <row r="102" spans="2:3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row>
    <row r="103" spans="2:3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row>
    <row r="104" spans="2:3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row>
    <row r="105" spans="2:3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row>
    <row r="106" spans="2:3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row>
    <row r="107" spans="2:3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row>
    <row r="108" spans="2:3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row>
    <row r="109" spans="2:38" x14ac:dyDescent="0.25">
      <c r="B109" s="86" t="s">
        <v>382</v>
      </c>
      <c r="C109" s="87">
        <f>SUM(C59:C108)</f>
        <v>0</v>
      </c>
      <c r="D109" s="87">
        <f t="shared" ref="D109:AH109" si="1">SUM(D59:D108)</f>
        <v>0</v>
      </c>
      <c r="E109" s="87">
        <f t="shared" si="1"/>
        <v>0</v>
      </c>
      <c r="F109" s="87">
        <f t="shared" si="1"/>
        <v>0</v>
      </c>
      <c r="G109" s="87">
        <f t="shared" si="1"/>
        <v>0</v>
      </c>
      <c r="H109" s="87">
        <f t="shared" si="1"/>
        <v>0</v>
      </c>
      <c r="I109" s="87">
        <f t="shared" si="1"/>
        <v>0</v>
      </c>
      <c r="J109" s="87">
        <f t="shared" si="1"/>
        <v>0</v>
      </c>
      <c r="K109" s="87">
        <f t="shared" si="1"/>
        <v>0</v>
      </c>
      <c r="L109" s="87">
        <f t="shared" si="1"/>
        <v>0</v>
      </c>
      <c r="M109" s="87">
        <f t="shared" si="1"/>
        <v>0</v>
      </c>
      <c r="N109" s="87">
        <f t="shared" si="1"/>
        <v>0</v>
      </c>
      <c r="O109" s="87">
        <f t="shared" si="1"/>
        <v>0</v>
      </c>
      <c r="P109" s="87">
        <f t="shared" si="1"/>
        <v>0</v>
      </c>
      <c r="Q109" s="87">
        <f t="shared" si="1"/>
        <v>0</v>
      </c>
      <c r="R109" s="87">
        <f t="shared" si="1"/>
        <v>0</v>
      </c>
      <c r="S109" s="87">
        <f t="shared" si="1"/>
        <v>0</v>
      </c>
      <c r="T109" s="87">
        <f t="shared" si="1"/>
        <v>0</v>
      </c>
      <c r="U109" s="87">
        <f t="shared" si="1"/>
        <v>0</v>
      </c>
      <c r="V109" s="87">
        <f t="shared" si="1"/>
        <v>0</v>
      </c>
      <c r="W109" s="87">
        <f t="shared" si="1"/>
        <v>0</v>
      </c>
      <c r="X109" s="87">
        <f t="shared" si="1"/>
        <v>0</v>
      </c>
      <c r="Y109" s="87">
        <f t="shared" si="1"/>
        <v>0</v>
      </c>
      <c r="Z109" s="87">
        <f t="shared" si="1"/>
        <v>0</v>
      </c>
      <c r="AA109" s="87">
        <f t="shared" si="1"/>
        <v>0</v>
      </c>
      <c r="AB109" s="87">
        <f t="shared" si="1"/>
        <v>0</v>
      </c>
      <c r="AC109" s="87">
        <f t="shared" si="1"/>
        <v>0</v>
      </c>
      <c r="AD109" s="87">
        <f t="shared" si="1"/>
        <v>0</v>
      </c>
      <c r="AE109" s="87">
        <f t="shared" si="1"/>
        <v>0</v>
      </c>
      <c r="AF109" s="87">
        <f t="shared" si="1"/>
        <v>0</v>
      </c>
      <c r="AG109" s="87">
        <f t="shared" si="1"/>
        <v>0</v>
      </c>
      <c r="AH109" s="87">
        <f t="shared" si="1"/>
        <v>0</v>
      </c>
    </row>
    <row r="110" spans="2:38" x14ac:dyDescent="0.25"/>
    <row r="111" spans="2:38" x14ac:dyDescent="0.25">
      <c r="B111" s="9" t="s">
        <v>306</v>
      </c>
    </row>
    <row r="112" spans="2:38" x14ac:dyDescent="0.25">
      <c r="B112" s="63" t="s">
        <v>0</v>
      </c>
      <c r="C112" s="63" t="s">
        <v>383</v>
      </c>
      <c r="D112" s="63" t="s">
        <v>384</v>
      </c>
      <c r="E112" s="63" t="s">
        <v>277</v>
      </c>
      <c r="F112" s="63" t="s">
        <v>278</v>
      </c>
      <c r="G112" s="63" t="s">
        <v>224</v>
      </c>
      <c r="H112" s="63" t="s">
        <v>226</v>
      </c>
      <c r="I112" s="63" t="s">
        <v>227</v>
      </c>
      <c r="J112" s="63" t="s">
        <v>279</v>
      </c>
      <c r="K112" s="63" t="s">
        <v>280</v>
      </c>
      <c r="L112" s="63" t="s">
        <v>281</v>
      </c>
      <c r="M112" s="63" t="s">
        <v>282</v>
      </c>
      <c r="N112" s="63" t="s">
        <v>283</v>
      </c>
      <c r="O112" s="63" t="s">
        <v>284</v>
      </c>
      <c r="P112" s="63" t="s">
        <v>285</v>
      </c>
      <c r="Q112" s="63" t="s">
        <v>286</v>
      </c>
      <c r="R112" s="63" t="s">
        <v>287</v>
      </c>
      <c r="S112" s="63" t="s">
        <v>291</v>
      </c>
      <c r="T112" s="63" t="s">
        <v>305</v>
      </c>
      <c r="U112" s="63" t="s">
        <v>288</v>
      </c>
      <c r="V112" s="63" t="s">
        <v>290</v>
      </c>
      <c r="W112" s="63" t="s">
        <v>292</v>
      </c>
      <c r="X112" s="63" t="s">
        <v>293</v>
      </c>
      <c r="Y112" s="63" t="s">
        <v>294</v>
      </c>
      <c r="Z112" s="63" t="s">
        <v>295</v>
      </c>
      <c r="AA112" s="63" t="s">
        <v>296</v>
      </c>
      <c r="AB112" s="63" t="s">
        <v>297</v>
      </c>
      <c r="AC112" s="63" t="s">
        <v>298</v>
      </c>
      <c r="AD112" s="63" t="s">
        <v>299</v>
      </c>
      <c r="AE112" s="63" t="s">
        <v>385</v>
      </c>
      <c r="AF112" s="63" t="s">
        <v>386</v>
      </c>
      <c r="AG112" s="63" t="s">
        <v>381</v>
      </c>
      <c r="AH112" s="63" t="s">
        <v>387</v>
      </c>
      <c r="AI112" s="84" t="s">
        <v>388</v>
      </c>
      <c r="AJ112" s="84" t="s">
        <v>321</v>
      </c>
      <c r="AK112" s="84" t="s">
        <v>389</v>
      </c>
      <c r="AL112" s="83" t="s">
        <v>390</v>
      </c>
    </row>
    <row r="113" spans="2:38"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row>
    <row r="114" spans="2:38"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row>
    <row r="115" spans="2:38"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85"/>
      <c r="AJ115" s="85"/>
      <c r="AK115" s="85"/>
      <c r="AL115" s="20"/>
    </row>
    <row r="116" spans="2:38"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row>
    <row r="117" spans="2:38"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row>
    <row r="118" spans="2:38"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row>
    <row r="119" spans="2:38"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row>
    <row r="120" spans="2:38"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row>
    <row r="121" spans="2:38"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row>
    <row r="122" spans="2:38"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row>
    <row r="123" spans="2:38"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row>
    <row r="124" spans="2:38"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row>
    <row r="125" spans="2:38"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row>
    <row r="126" spans="2:38"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row>
    <row r="127" spans="2:38"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row>
    <row r="128" spans="2:38"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row>
    <row r="129" spans="2:38"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row>
    <row r="130" spans="2:38"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row>
    <row r="131" spans="2:38"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row>
    <row r="132" spans="2:38"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row>
    <row r="133" spans="2:38"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row>
    <row r="134" spans="2:38"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row>
    <row r="135" spans="2:38"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row>
    <row r="136" spans="2:38"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row>
    <row r="137" spans="2:38"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row>
    <row r="138" spans="2:38"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row>
    <row r="139" spans="2:38"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row>
    <row r="140" spans="2:38"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row>
    <row r="141" spans="2:38"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row>
    <row r="142" spans="2:38"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row>
    <row r="143" spans="2:38"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row>
    <row r="144" spans="2:38"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row>
    <row r="145" spans="2:38"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row>
    <row r="146" spans="2:38"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row>
    <row r="147" spans="2:38"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row>
    <row r="148" spans="2:38"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row>
    <row r="149" spans="2:38"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row>
    <row r="150" spans="2:38"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row>
    <row r="151" spans="2:38"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row>
    <row r="152" spans="2:38"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row>
    <row r="153" spans="2:38"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row>
    <row r="154" spans="2:38"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row>
    <row r="155" spans="2:38"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row>
    <row r="156" spans="2:38"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row>
    <row r="157" spans="2:38"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row>
    <row r="158" spans="2:38"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row>
    <row r="159" spans="2:38"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row>
    <row r="160" spans="2:38"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row>
    <row r="161" spans="2:38"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row>
    <row r="162" spans="2:38"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row>
    <row r="163" spans="2:38" x14ac:dyDescent="0.25">
      <c r="B163" s="86" t="s">
        <v>382</v>
      </c>
      <c r="C163" s="87">
        <f>SUM(C113:C162)</f>
        <v>0</v>
      </c>
      <c r="D163" s="87">
        <f t="shared" ref="D163:AK163" si="2">SUM(D113:D162)</f>
        <v>0</v>
      </c>
      <c r="E163" s="87">
        <f t="shared" si="2"/>
        <v>0</v>
      </c>
      <c r="F163" s="87">
        <f t="shared" si="2"/>
        <v>0</v>
      </c>
      <c r="G163" s="87">
        <f t="shared" si="2"/>
        <v>0</v>
      </c>
      <c r="H163" s="87">
        <f t="shared" si="2"/>
        <v>0</v>
      </c>
      <c r="I163" s="87">
        <f t="shared" si="2"/>
        <v>0</v>
      </c>
      <c r="J163" s="87">
        <f t="shared" si="2"/>
        <v>0</v>
      </c>
      <c r="K163" s="87">
        <f t="shared" si="2"/>
        <v>0</v>
      </c>
      <c r="L163" s="87">
        <f t="shared" si="2"/>
        <v>0</v>
      </c>
      <c r="M163" s="87">
        <f t="shared" si="2"/>
        <v>0</v>
      </c>
      <c r="N163" s="87">
        <f t="shared" si="2"/>
        <v>0</v>
      </c>
      <c r="O163" s="87">
        <f t="shared" si="2"/>
        <v>0</v>
      </c>
      <c r="P163" s="87">
        <f t="shared" si="2"/>
        <v>0</v>
      </c>
      <c r="Q163" s="87">
        <f t="shared" si="2"/>
        <v>0</v>
      </c>
      <c r="R163" s="87">
        <f t="shared" si="2"/>
        <v>0</v>
      </c>
      <c r="S163" s="87">
        <f t="shared" si="2"/>
        <v>0</v>
      </c>
      <c r="T163" s="87">
        <f t="shared" si="2"/>
        <v>0</v>
      </c>
      <c r="U163" s="87">
        <f t="shared" si="2"/>
        <v>0</v>
      </c>
      <c r="V163" s="87">
        <f t="shared" si="2"/>
        <v>0</v>
      </c>
      <c r="W163" s="87">
        <f t="shared" si="2"/>
        <v>0</v>
      </c>
      <c r="X163" s="87">
        <f t="shared" si="2"/>
        <v>0</v>
      </c>
      <c r="Y163" s="87">
        <f t="shared" si="2"/>
        <v>0</v>
      </c>
      <c r="Z163" s="87">
        <f t="shared" si="2"/>
        <v>0</v>
      </c>
      <c r="AA163" s="87">
        <f t="shared" si="2"/>
        <v>0</v>
      </c>
      <c r="AB163" s="87">
        <f t="shared" si="2"/>
        <v>0</v>
      </c>
      <c r="AC163" s="87">
        <f t="shared" si="2"/>
        <v>0</v>
      </c>
      <c r="AD163" s="87">
        <f t="shared" si="2"/>
        <v>0</v>
      </c>
      <c r="AE163" s="87">
        <f t="shared" si="2"/>
        <v>0</v>
      </c>
      <c r="AF163" s="87">
        <f t="shared" si="2"/>
        <v>0</v>
      </c>
      <c r="AG163" s="87">
        <f t="shared" si="2"/>
        <v>0</v>
      </c>
      <c r="AH163" s="87">
        <f t="shared" si="2"/>
        <v>0</v>
      </c>
      <c r="AI163" s="87">
        <f t="shared" si="2"/>
        <v>0</v>
      </c>
      <c r="AJ163" s="87">
        <f t="shared" si="2"/>
        <v>0</v>
      </c>
      <c r="AK163" s="87">
        <f t="shared" si="2"/>
        <v>0</v>
      </c>
      <c r="AL163" s="20"/>
    </row>
    <row r="164" spans="2:38"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110"/>
  <sheetViews>
    <sheetView showGridLines="0" zoomScale="115" zoomScaleNormal="115" workbookViewId="0">
      <selection activeCell="D84" sqref="D84"/>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256</v>
      </c>
    </row>
    <row r="2" spans="1:3" x14ac:dyDescent="0.25">
      <c r="B2" t="s">
        <v>259</v>
      </c>
      <c r="C2" s="22" t="s">
        <v>415</v>
      </c>
    </row>
    <row r="3" spans="1:3" hidden="1" x14ac:dyDescent="0.25">
      <c r="B3" t="s">
        <v>257</v>
      </c>
      <c r="C3" s="22">
        <v>0.42399999999999999</v>
      </c>
    </row>
    <row r="4" spans="1:3" x14ac:dyDescent="0.25"/>
    <row r="5" spans="1:3" x14ac:dyDescent="0.25">
      <c r="B5" s="61" t="s">
        <v>0</v>
      </c>
      <c r="C5" s="61" t="s">
        <v>257</v>
      </c>
    </row>
    <row r="6" spans="1:3" x14ac:dyDescent="0.25">
      <c r="B6" s="22">
        <f>YEAR('General Config'!C6)</f>
        <v>2023</v>
      </c>
      <c r="C6" s="62">
        <v>0.4</v>
      </c>
    </row>
    <row r="7" spans="1:3" x14ac:dyDescent="0.25">
      <c r="B7" s="22">
        <v>2024</v>
      </c>
      <c r="C7" s="62">
        <v>0.4</v>
      </c>
    </row>
    <row r="8" spans="1:3" x14ac:dyDescent="0.25">
      <c r="B8" s="22">
        <v>2025</v>
      </c>
      <c r="C8" s="62">
        <v>0.42</v>
      </c>
    </row>
    <row r="9" spans="1:3" x14ac:dyDescent="0.25">
      <c r="B9" s="22">
        <v>2027</v>
      </c>
      <c r="C9" s="62">
        <v>0.42</v>
      </c>
    </row>
    <row r="10" spans="1:3" x14ac:dyDescent="0.25">
      <c r="B10" s="22">
        <v>2030</v>
      </c>
      <c r="C10" s="22">
        <v>0.43</v>
      </c>
    </row>
    <row r="11" spans="1:3" x14ac:dyDescent="0.25">
      <c r="B11" s="22">
        <v>2032</v>
      </c>
      <c r="C11" s="22">
        <v>0.45</v>
      </c>
    </row>
    <row r="12" spans="1:3" x14ac:dyDescent="0.25"/>
    <row r="13" spans="1:3" x14ac:dyDescent="0.25">
      <c r="B13" t="s">
        <v>258</v>
      </c>
      <c r="C13" s="22" t="s">
        <v>379</v>
      </c>
    </row>
    <row r="14" spans="1:3" x14ac:dyDescent="0.25"/>
    <row r="15" spans="1:3" x14ac:dyDescent="0.25">
      <c r="A15" s="9" t="s">
        <v>273</v>
      </c>
    </row>
    <row r="16" spans="1:3" x14ac:dyDescent="0.25">
      <c r="B16" t="s">
        <v>274</v>
      </c>
      <c r="C16" s="22" t="s">
        <v>380</v>
      </c>
    </row>
    <row r="17" spans="1:3" x14ac:dyDescent="0.25"/>
    <row r="18" spans="1:3" x14ac:dyDescent="0.25">
      <c r="A18" s="9" t="s">
        <v>260</v>
      </c>
    </row>
    <row r="19" spans="1:3" x14ac:dyDescent="0.25">
      <c r="B19" t="s">
        <v>261</v>
      </c>
      <c r="C19" s="22" t="s">
        <v>371</v>
      </c>
    </row>
    <row r="20" spans="1:3" x14ac:dyDescent="0.25">
      <c r="B20" t="s">
        <v>369</v>
      </c>
      <c r="C20" s="22" t="s">
        <v>370</v>
      </c>
    </row>
    <row r="21" spans="1:3" x14ac:dyDescent="0.25"/>
    <row r="22" spans="1:3" x14ac:dyDescent="0.25">
      <c r="A22" s="9" t="s">
        <v>377</v>
      </c>
    </row>
    <row r="23" spans="1:3" x14ac:dyDescent="0.25">
      <c r="B23" t="s">
        <v>270</v>
      </c>
      <c r="C23" s="22">
        <v>0.02</v>
      </c>
    </row>
    <row r="24" spans="1:3" x14ac:dyDescent="0.25"/>
    <row r="25" spans="1:3" x14ac:dyDescent="0.25">
      <c r="A25" s="9" t="s">
        <v>271</v>
      </c>
    </row>
    <row r="26" spans="1:3" x14ac:dyDescent="0.25">
      <c r="B26" t="s">
        <v>272</v>
      </c>
      <c r="C26" s="22" t="s">
        <v>363</v>
      </c>
    </row>
    <row r="27" spans="1:3" x14ac:dyDescent="0.25">
      <c r="B27" t="s">
        <v>412</v>
      </c>
      <c r="C27" s="22">
        <v>2</v>
      </c>
    </row>
    <row r="28" spans="1:3" x14ac:dyDescent="0.25"/>
    <row r="29" spans="1:3" x14ac:dyDescent="0.25">
      <c r="A29" s="9" t="s">
        <v>366</v>
      </c>
    </row>
    <row r="30" spans="1:3" x14ac:dyDescent="0.25">
      <c r="B30" t="s">
        <v>368</v>
      </c>
      <c r="C30" s="22" t="s">
        <v>415</v>
      </c>
    </row>
    <row r="31" spans="1:3" hidden="1" x14ac:dyDescent="0.25">
      <c r="B31" t="s">
        <v>367</v>
      </c>
      <c r="C31" s="22">
        <v>0.1</v>
      </c>
    </row>
    <row r="32" spans="1:3" x14ac:dyDescent="0.25"/>
    <row r="33" spans="2:3" x14ac:dyDescent="0.25">
      <c r="B33" s="61" t="s">
        <v>0</v>
      </c>
      <c r="C33" s="61" t="s">
        <v>367</v>
      </c>
    </row>
    <row r="34" spans="2:3" x14ac:dyDescent="0.25">
      <c r="B34" s="22">
        <v>2023</v>
      </c>
      <c r="C34" s="61">
        <v>0.01</v>
      </c>
    </row>
    <row r="35" spans="2:3" x14ac:dyDescent="0.25">
      <c r="B35" s="22">
        <v>2024</v>
      </c>
      <c r="C35" s="61">
        <v>0.02</v>
      </c>
    </row>
    <row r="36" spans="2:3" x14ac:dyDescent="0.25">
      <c r="B36" s="22">
        <v>2025</v>
      </c>
      <c r="C36" s="61">
        <v>0.03</v>
      </c>
    </row>
    <row r="37" spans="2:3" x14ac:dyDescent="0.25">
      <c r="B37" s="22">
        <v>2026</v>
      </c>
      <c r="C37" s="61">
        <v>0.04</v>
      </c>
    </row>
    <row r="38" spans="2:3" x14ac:dyDescent="0.25">
      <c r="B38" s="22">
        <v>2027</v>
      </c>
      <c r="C38" s="61">
        <v>0.05</v>
      </c>
    </row>
    <row r="39" spans="2:3" x14ac:dyDescent="0.25">
      <c r="B39" s="22">
        <v>2028</v>
      </c>
      <c r="C39" s="61">
        <v>0.06</v>
      </c>
    </row>
    <row r="40" spans="2:3" x14ac:dyDescent="0.25">
      <c r="B40" s="22">
        <v>2029</v>
      </c>
      <c r="C40" s="61">
        <v>7.0000000000000007E-2</v>
      </c>
    </row>
    <row r="41" spans="2:3" x14ac:dyDescent="0.25">
      <c r="B41" s="22">
        <v>2030</v>
      </c>
      <c r="C41" s="61">
        <v>0.08</v>
      </c>
    </row>
    <row r="42" spans="2:3" x14ac:dyDescent="0.25">
      <c r="B42" s="22">
        <v>2031</v>
      </c>
      <c r="C42" s="61">
        <v>0.09</v>
      </c>
    </row>
    <row r="43" spans="2:3" x14ac:dyDescent="0.25">
      <c r="B43" s="22">
        <v>2032</v>
      </c>
      <c r="C43" s="61">
        <v>0.1</v>
      </c>
    </row>
    <row r="44" spans="2:3" x14ac:dyDescent="0.25">
      <c r="B44" s="22">
        <v>2033</v>
      </c>
      <c r="C44" s="61">
        <v>0.11</v>
      </c>
    </row>
    <row r="45" spans="2:3" x14ac:dyDescent="0.25">
      <c r="B45" s="22">
        <v>2034</v>
      </c>
      <c r="C45" s="61">
        <v>0.12</v>
      </c>
    </row>
    <row r="46" spans="2:3" x14ac:dyDescent="0.25">
      <c r="B46" s="22">
        <v>2035</v>
      </c>
      <c r="C46" s="61">
        <v>0.13</v>
      </c>
    </row>
    <row r="47" spans="2:3" x14ac:dyDescent="0.25">
      <c r="B47" s="22">
        <v>2036</v>
      </c>
      <c r="C47" s="61">
        <v>0.14000000000000001</v>
      </c>
    </row>
    <row r="48" spans="2:3" x14ac:dyDescent="0.25">
      <c r="B48" s="22">
        <v>2037</v>
      </c>
      <c r="C48" s="61">
        <v>0.15</v>
      </c>
    </row>
    <row r="49" spans="1:3" x14ac:dyDescent="0.25">
      <c r="B49" s="22">
        <v>2038</v>
      </c>
      <c r="C49" s="61">
        <v>0.16</v>
      </c>
    </row>
    <row r="50" spans="1:3" x14ac:dyDescent="0.25">
      <c r="B50" s="22">
        <v>2039</v>
      </c>
      <c r="C50" s="61">
        <v>0.17</v>
      </c>
    </row>
    <row r="51" spans="1:3" x14ac:dyDescent="0.25">
      <c r="B51" s="22">
        <v>2040</v>
      </c>
      <c r="C51" s="61">
        <v>0.18</v>
      </c>
    </row>
    <row r="52" spans="1:3" x14ac:dyDescent="0.25">
      <c r="B52" s="22">
        <v>2041</v>
      </c>
      <c r="C52" s="61">
        <v>0.19</v>
      </c>
    </row>
    <row r="53" spans="1:3" x14ac:dyDescent="0.25">
      <c r="B53" s="22">
        <v>2042</v>
      </c>
      <c r="C53" s="61">
        <v>0.2</v>
      </c>
    </row>
    <row r="54" spans="1:3" x14ac:dyDescent="0.25"/>
    <row r="55" spans="1:3" x14ac:dyDescent="0.25">
      <c r="A55" s="9" t="s">
        <v>374</v>
      </c>
    </row>
    <row r="56" spans="1:3" x14ac:dyDescent="0.25">
      <c r="B56" t="s">
        <v>375</v>
      </c>
      <c r="C56" s="62">
        <v>0</v>
      </c>
    </row>
    <row r="57" spans="1:3" x14ac:dyDescent="0.25">
      <c r="B57" t="s">
        <v>413</v>
      </c>
      <c r="C57" s="62">
        <v>0</v>
      </c>
    </row>
    <row r="58" spans="1:3" x14ac:dyDescent="0.25"/>
    <row r="59" spans="1:3" x14ac:dyDescent="0.25">
      <c r="A59" s="9" t="s">
        <v>396</v>
      </c>
    </row>
    <row r="60" spans="1:3" x14ac:dyDescent="0.25">
      <c r="B60" t="s">
        <v>399</v>
      </c>
      <c r="C60" s="22" t="s">
        <v>415</v>
      </c>
    </row>
    <row r="61" spans="1:3" hidden="1" x14ac:dyDescent="0.25">
      <c r="B61" t="s">
        <v>397</v>
      </c>
      <c r="C61" s="22">
        <v>0.12</v>
      </c>
    </row>
    <row r="62" spans="1:3" x14ac:dyDescent="0.25"/>
    <row r="63" spans="1:3" x14ac:dyDescent="0.25">
      <c r="B63" s="61" t="s">
        <v>0</v>
      </c>
      <c r="C63" s="61" t="s">
        <v>397</v>
      </c>
    </row>
    <row r="64" spans="1:3" x14ac:dyDescent="0.25">
      <c r="B64" s="22">
        <v>2023</v>
      </c>
      <c r="C64" s="62">
        <v>0.01</v>
      </c>
    </row>
    <row r="65" spans="2:3" x14ac:dyDescent="0.25">
      <c r="B65" s="22">
        <v>2024</v>
      </c>
      <c r="C65" s="62">
        <v>0.01</v>
      </c>
    </row>
    <row r="66" spans="2:3" x14ac:dyDescent="0.25">
      <c r="B66" s="22">
        <v>2025</v>
      </c>
      <c r="C66" s="62">
        <v>0.01</v>
      </c>
    </row>
    <row r="67" spans="2:3" x14ac:dyDescent="0.25">
      <c r="B67" s="22">
        <v>2026</v>
      </c>
      <c r="C67" s="62">
        <v>0.01</v>
      </c>
    </row>
    <row r="68" spans="2:3" x14ac:dyDescent="0.25">
      <c r="B68" s="22">
        <v>2027</v>
      </c>
      <c r="C68" s="62">
        <v>0.01</v>
      </c>
    </row>
    <row r="69" spans="2:3" x14ac:dyDescent="0.25">
      <c r="B69" s="22">
        <v>2028</v>
      </c>
      <c r="C69" s="62">
        <v>0.01</v>
      </c>
    </row>
    <row r="70" spans="2:3" x14ac:dyDescent="0.25">
      <c r="B70" s="22">
        <v>2029</v>
      </c>
      <c r="C70" s="62">
        <v>0.01</v>
      </c>
    </row>
    <row r="71" spans="2:3" x14ac:dyDescent="0.25">
      <c r="B71" s="22">
        <v>2030</v>
      </c>
      <c r="C71" s="62">
        <v>0.01</v>
      </c>
    </row>
    <row r="72" spans="2:3" x14ac:dyDescent="0.25">
      <c r="B72" s="22">
        <v>2031</v>
      </c>
      <c r="C72" s="62">
        <v>0.01</v>
      </c>
    </row>
    <row r="73" spans="2:3" x14ac:dyDescent="0.25">
      <c r="B73" s="22">
        <v>2032</v>
      </c>
      <c r="C73" s="62">
        <v>0.01</v>
      </c>
    </row>
    <row r="74" spans="2:3" x14ac:dyDescent="0.25">
      <c r="B74" s="22">
        <v>2033</v>
      </c>
      <c r="C74" s="62">
        <v>0.01</v>
      </c>
    </row>
    <row r="75" spans="2:3" x14ac:dyDescent="0.25">
      <c r="B75" s="22">
        <v>2034</v>
      </c>
      <c r="C75" s="62">
        <v>0.01</v>
      </c>
    </row>
    <row r="76" spans="2:3" x14ac:dyDescent="0.25">
      <c r="B76" s="22">
        <v>2035</v>
      </c>
      <c r="C76" s="62">
        <v>0.01</v>
      </c>
    </row>
    <row r="77" spans="2:3" x14ac:dyDescent="0.25">
      <c r="B77" s="22">
        <v>2036</v>
      </c>
      <c r="C77" s="62">
        <v>0.01</v>
      </c>
    </row>
    <row r="78" spans="2:3" x14ac:dyDescent="0.25">
      <c r="B78" s="22">
        <v>2037</v>
      </c>
      <c r="C78" s="62">
        <v>0.01</v>
      </c>
    </row>
    <row r="79" spans="2:3" x14ac:dyDescent="0.25">
      <c r="B79" s="22">
        <v>2038</v>
      </c>
      <c r="C79" s="62">
        <v>0.01</v>
      </c>
    </row>
    <row r="80" spans="2:3" x14ac:dyDescent="0.25">
      <c r="B80" s="22">
        <v>2039</v>
      </c>
      <c r="C80" s="62">
        <v>0.01</v>
      </c>
    </row>
    <row r="81" spans="1:3" x14ac:dyDescent="0.25">
      <c r="B81" s="22">
        <v>2040</v>
      </c>
      <c r="C81" s="62">
        <v>0.01</v>
      </c>
    </row>
    <row r="82" spans="1:3" x14ac:dyDescent="0.25">
      <c r="B82" s="22">
        <v>2041</v>
      </c>
      <c r="C82" s="62">
        <v>0.01</v>
      </c>
    </row>
    <row r="83" spans="1:3" x14ac:dyDescent="0.25">
      <c r="B83" s="22">
        <v>2042</v>
      </c>
      <c r="C83" s="62">
        <v>0.01</v>
      </c>
    </row>
    <row r="84" spans="1:3" x14ac:dyDescent="0.25"/>
    <row r="85" spans="1:3" x14ac:dyDescent="0.25">
      <c r="A85" s="9" t="s">
        <v>398</v>
      </c>
    </row>
    <row r="86" spans="1:3" x14ac:dyDescent="0.25">
      <c r="B86" t="s">
        <v>400</v>
      </c>
      <c r="C86" s="22" t="s">
        <v>415</v>
      </c>
    </row>
    <row r="87" spans="1:3" hidden="1" x14ac:dyDescent="0.25">
      <c r="B87" t="s">
        <v>401</v>
      </c>
      <c r="C87" s="22">
        <v>0.02</v>
      </c>
    </row>
    <row r="88" spans="1:3" x14ac:dyDescent="0.25"/>
    <row r="89" spans="1:3" x14ac:dyDescent="0.25">
      <c r="B89" s="61">
        <v>2023</v>
      </c>
      <c r="C89" s="61">
        <v>0.01</v>
      </c>
    </row>
    <row r="90" spans="1:3" x14ac:dyDescent="0.25">
      <c r="B90" s="22">
        <v>2024</v>
      </c>
      <c r="C90" s="62">
        <v>0.02</v>
      </c>
    </row>
    <row r="91" spans="1:3" x14ac:dyDescent="0.25">
      <c r="B91" s="22">
        <v>2025</v>
      </c>
      <c r="C91" s="61">
        <v>0.03</v>
      </c>
    </row>
    <row r="92" spans="1:3" x14ac:dyDescent="0.25">
      <c r="B92" s="61">
        <v>2026</v>
      </c>
      <c r="C92" s="62">
        <v>0.04</v>
      </c>
    </row>
    <row r="93" spans="1:3" x14ac:dyDescent="0.25">
      <c r="B93" s="22">
        <v>2027</v>
      </c>
      <c r="C93" s="61">
        <v>0.05</v>
      </c>
    </row>
    <row r="94" spans="1:3" x14ac:dyDescent="0.25">
      <c r="B94" s="22">
        <v>2028</v>
      </c>
      <c r="C94" s="62">
        <v>0.06</v>
      </c>
    </row>
    <row r="95" spans="1:3" x14ac:dyDescent="0.25">
      <c r="B95" s="61">
        <v>2029</v>
      </c>
      <c r="C95" s="61">
        <v>7.0000000000000007E-2</v>
      </c>
    </row>
    <row r="96" spans="1:3" x14ac:dyDescent="0.25">
      <c r="B96" s="22">
        <v>2030</v>
      </c>
      <c r="C96" s="62">
        <v>0.08</v>
      </c>
    </row>
    <row r="97" spans="2:3" x14ac:dyDescent="0.25">
      <c r="B97" s="22">
        <v>2031</v>
      </c>
      <c r="C97" s="61">
        <v>0.09</v>
      </c>
    </row>
    <row r="98" spans="2:3" x14ac:dyDescent="0.25">
      <c r="B98" s="61">
        <v>2032</v>
      </c>
      <c r="C98" s="62">
        <v>0.1</v>
      </c>
    </row>
    <row r="99" spans="2:3" x14ac:dyDescent="0.25">
      <c r="B99" s="22">
        <v>2033</v>
      </c>
      <c r="C99" s="61">
        <v>0.11</v>
      </c>
    </row>
    <row r="100" spans="2:3" x14ac:dyDescent="0.25">
      <c r="B100" s="22">
        <v>2034</v>
      </c>
      <c r="C100" s="62">
        <v>0.12</v>
      </c>
    </row>
    <row r="101" spans="2:3" x14ac:dyDescent="0.25">
      <c r="B101" s="61">
        <v>2035</v>
      </c>
      <c r="C101" s="61">
        <v>0.13</v>
      </c>
    </row>
    <row r="102" spans="2:3" x14ac:dyDescent="0.25">
      <c r="B102" s="22">
        <v>2036</v>
      </c>
      <c r="C102" s="62">
        <v>0.14000000000000001</v>
      </c>
    </row>
    <row r="103" spans="2:3" x14ac:dyDescent="0.25">
      <c r="B103" s="22">
        <v>2037</v>
      </c>
      <c r="C103" s="61">
        <v>0.15</v>
      </c>
    </row>
    <row r="104" spans="2:3" x14ac:dyDescent="0.25">
      <c r="B104" s="61">
        <v>2038</v>
      </c>
      <c r="C104" s="62">
        <v>0.16</v>
      </c>
    </row>
    <row r="105" spans="2:3" x14ac:dyDescent="0.25">
      <c r="B105" s="22">
        <v>2039</v>
      </c>
      <c r="C105" s="61">
        <v>0.17</v>
      </c>
    </row>
    <row r="106" spans="2:3" x14ac:dyDescent="0.25">
      <c r="B106" s="22">
        <v>2040</v>
      </c>
      <c r="C106" s="62">
        <v>0.18</v>
      </c>
    </row>
    <row r="107" spans="2:3" x14ac:dyDescent="0.25">
      <c r="B107" s="61">
        <v>2041</v>
      </c>
      <c r="C107" s="61">
        <v>0.19</v>
      </c>
    </row>
    <row r="108" spans="2:3" x14ac:dyDescent="0.25">
      <c r="B108" s="22">
        <v>2042</v>
      </c>
      <c r="C108" s="62">
        <v>0.2</v>
      </c>
    </row>
    <row r="109" spans="2:3" x14ac:dyDescent="0.25">
      <c r="B109" s="22">
        <v>2043</v>
      </c>
      <c r="C109" s="61">
        <v>0.21</v>
      </c>
    </row>
    <row r="110" spans="2:3" x14ac:dyDescent="0.25"/>
  </sheetData>
  <dataValidations count="11">
    <dataValidation type="list" allowBlank="1" showInputMessage="1" showErrorMessage="1" sqref="C13" xr:uid="{0F4D8B95-6C84-4E1F-A19D-F4811513895E}">
      <formula1>"Due Mode,Direct Mode"</formula1>
    </dataValidation>
    <dataValidation type="decimal" allowBlank="1" showInputMessage="1" showErrorMessage="1" sqref="C3 C61 C87"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30:C31 C86 C60 C56:C58" xr:uid="{1DE8691F-764D-4B8B-BA0A-CE7EE0C4C6C6}"/>
    <dataValidation type="whole" allowBlank="1" showInputMessage="1" showErrorMessage="1" errorTitle="Data Type" error="Should be year" sqref="B6:B11 B34:B54 B64:B83 B90:B91 B93:B94 B96:B97 B99:B100 B102:B103 B105:B106 B108:B109" xr:uid="{73E8C4BB-3E1F-4188-B79D-7E460395708B}">
      <formula1>1945</formula1>
      <formula2>3000</formula2>
    </dataValidation>
    <dataValidation type="decimal" allowBlank="1" showInputMessage="1" showErrorMessage="1" errorTitle="Data Type" error="Should be between 0 and 1" sqref="C6:C11 C64:C83 C54 C90 C92 C94 C96 C98 C100 C102 C104 C106 C108" xr:uid="{CF646499-E3B4-4A30-B4A3-F4BC798BD89F}">
      <formula1>0</formula1>
      <formula2>1</formula2>
    </dataValidation>
    <dataValidation type="list" allowBlank="1" showInputMessage="1" showErrorMessage="1" sqref="C20" xr:uid="{C9A4F0EB-2D97-4EF1-A6B8-6963D71AB965}">
      <formula1>"End Year,Mid Year"</formula1>
    </dataValidation>
    <dataValidation type="decimal" allowBlank="1" showInputMessage="1" showErrorMessage="1" errorTitle="Data type" error="Should be in float" sqref="C27:C28" xr:uid="{C4D18D1E-36B2-49C0-BEA2-EC353B17A53D}">
      <formula1>0</formula1>
      <formula2>2</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3107" r:id="rId4"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5" name="Spinner 5">
              <controlPr defaultSize="0" autoPict="0" macro="[0]!ThisWorkbook.SetInflationConfig">
                <anchor moveWithCells="1" sizeWithCells="1">
                  <from>
                    <xdr:col>2</xdr:col>
                    <xdr:colOff>1514475</xdr:colOff>
                    <xdr:row>29</xdr:row>
                    <xdr:rowOff>9525</xdr:rowOff>
                  </from>
                  <to>
                    <xdr:col>2</xdr:col>
                    <xdr:colOff>1685925</xdr:colOff>
                    <xdr:row>29</xdr:row>
                    <xdr:rowOff>171450</xdr:rowOff>
                  </to>
                </anchor>
              </controlPr>
            </control>
          </mc:Choice>
        </mc:AlternateContent>
        <mc:AlternateContent xmlns:mc="http://schemas.openxmlformats.org/markup-compatibility/2006">
          <mc:Choice Requires="x14">
            <control shapeId="303111" r:id="rId6" name="Spinner 7">
              <controlPr defaultSize="0" autoPict="0" macro="[0]!ThisWorkbook.SetVatConfig">
                <anchor moveWithCells="1" sizeWithCells="1">
                  <from>
                    <xdr:col>2</xdr:col>
                    <xdr:colOff>1514475</xdr:colOff>
                    <xdr:row>59</xdr:row>
                    <xdr:rowOff>9525</xdr:rowOff>
                  </from>
                  <to>
                    <xdr:col>2</xdr:col>
                    <xdr:colOff>1685925</xdr:colOff>
                    <xdr:row>59</xdr:row>
                    <xdr:rowOff>171450</xdr:rowOff>
                  </to>
                </anchor>
              </controlPr>
            </control>
          </mc:Choice>
        </mc:AlternateContent>
        <mc:AlternateContent xmlns:mc="http://schemas.openxmlformats.org/markup-compatibility/2006">
          <mc:Choice Requires="x14">
            <control shapeId="303112" r:id="rId7" name="Spinner 8">
              <controlPr defaultSize="0" autoPict="0" macro="[0]!ThisWorkbook.SetLBTConfig">
                <anchor moveWithCells="1" sizeWithCells="1">
                  <from>
                    <xdr:col>2</xdr:col>
                    <xdr:colOff>1514475</xdr:colOff>
                    <xdr:row>85</xdr:row>
                    <xdr:rowOff>9525</xdr:rowOff>
                  </from>
                  <to>
                    <xdr:col>2</xdr:col>
                    <xdr:colOff>1685925</xdr:colOff>
                    <xdr:row>85</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D20" sqref="D2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4" t="s">
        <v>0</v>
      </c>
      <c r="B1" s="64" t="s">
        <v>1</v>
      </c>
      <c r="C1" s="64" t="s">
        <v>2</v>
      </c>
      <c r="D1" s="64" t="s">
        <v>3</v>
      </c>
      <c r="E1" s="64" t="s">
        <v>4</v>
      </c>
    </row>
    <row r="2" spans="1:5" x14ac:dyDescent="0.25">
      <c r="A2">
        <v>2023</v>
      </c>
      <c r="B2">
        <v>100</v>
      </c>
      <c r="C2">
        <v>100</v>
      </c>
      <c r="D2" s="25">
        <v>100</v>
      </c>
      <c r="E2" s="25">
        <v>100</v>
      </c>
    </row>
    <row r="3" spans="1:5" x14ac:dyDescent="0.25">
      <c r="A3">
        <v>2024</v>
      </c>
      <c r="B3">
        <v>100</v>
      </c>
      <c r="C3">
        <v>100</v>
      </c>
      <c r="D3" s="25">
        <v>100</v>
      </c>
      <c r="E3" s="25">
        <v>100</v>
      </c>
    </row>
    <row r="4" spans="1:5" x14ac:dyDescent="0.25">
      <c r="A4">
        <v>2025</v>
      </c>
      <c r="B4">
        <v>100</v>
      </c>
      <c r="C4">
        <v>100</v>
      </c>
      <c r="D4" s="25">
        <v>100</v>
      </c>
      <c r="E4" s="25">
        <v>100</v>
      </c>
    </row>
    <row r="5" spans="1:5" x14ac:dyDescent="0.25">
      <c r="A5">
        <v>2026</v>
      </c>
      <c r="B5">
        <v>100</v>
      </c>
      <c r="C5">
        <v>100</v>
      </c>
      <c r="D5" s="25">
        <v>100</v>
      </c>
      <c r="E5" s="25">
        <v>100</v>
      </c>
    </row>
    <row r="6" spans="1:5" x14ac:dyDescent="0.25">
      <c r="A6">
        <v>2027</v>
      </c>
      <c r="B6">
        <v>100</v>
      </c>
      <c r="C6">
        <v>100</v>
      </c>
      <c r="D6" s="25">
        <v>100</v>
      </c>
      <c r="E6" s="25">
        <v>100</v>
      </c>
    </row>
    <row r="7" spans="1:5" x14ac:dyDescent="0.25">
      <c r="A7">
        <v>2028</v>
      </c>
      <c r="B7">
        <v>100</v>
      </c>
      <c r="C7">
        <v>100</v>
      </c>
      <c r="D7" s="25">
        <v>100</v>
      </c>
      <c r="E7" s="25">
        <v>100</v>
      </c>
    </row>
    <row r="8" spans="1:5" x14ac:dyDescent="0.25">
      <c r="A8">
        <v>2029</v>
      </c>
      <c r="B8">
        <v>100</v>
      </c>
      <c r="C8">
        <v>100</v>
      </c>
      <c r="D8" s="25">
        <v>100</v>
      </c>
      <c r="E8" s="25">
        <v>100</v>
      </c>
    </row>
    <row r="9" spans="1:5" x14ac:dyDescent="0.25">
      <c r="A9">
        <v>2030</v>
      </c>
      <c r="B9">
        <v>100</v>
      </c>
      <c r="C9">
        <v>100</v>
      </c>
      <c r="D9" s="25">
        <v>100</v>
      </c>
      <c r="E9" s="25">
        <v>100</v>
      </c>
    </row>
    <row r="10" spans="1:5" x14ac:dyDescent="0.25">
      <c r="A10">
        <v>2031</v>
      </c>
      <c r="B10">
        <v>12.5</v>
      </c>
      <c r="C10">
        <v>12.5</v>
      </c>
      <c r="D10" s="25">
        <v>12.5</v>
      </c>
      <c r="E10" s="25">
        <v>12.5</v>
      </c>
    </row>
    <row r="11" spans="1:5" x14ac:dyDescent="0.25">
      <c r="A11">
        <v>2032</v>
      </c>
      <c r="B11">
        <v>12.5</v>
      </c>
      <c r="C11">
        <v>12.5</v>
      </c>
      <c r="D11" s="25">
        <v>12.5</v>
      </c>
      <c r="E11" s="25">
        <v>12.5</v>
      </c>
    </row>
    <row r="12" spans="1:5" x14ac:dyDescent="0.25">
      <c r="A12">
        <v>2033</v>
      </c>
      <c r="B12">
        <v>12.5</v>
      </c>
      <c r="C12">
        <v>12.5</v>
      </c>
      <c r="D12" s="25">
        <v>12.5</v>
      </c>
      <c r="E12" s="25">
        <v>12.5</v>
      </c>
    </row>
    <row r="13" spans="1:5" x14ac:dyDescent="0.25">
      <c r="A13">
        <v>2034</v>
      </c>
      <c r="B13">
        <v>12.5</v>
      </c>
      <c r="C13">
        <v>12.5</v>
      </c>
      <c r="D13" s="25">
        <v>12.5</v>
      </c>
      <c r="E13" s="25">
        <v>12.5</v>
      </c>
    </row>
    <row r="14" spans="1:5" x14ac:dyDescent="0.25">
      <c r="A14">
        <v>2035</v>
      </c>
      <c r="B14">
        <v>12.5</v>
      </c>
      <c r="C14">
        <v>12.5</v>
      </c>
      <c r="D14" s="25">
        <v>12.5</v>
      </c>
      <c r="E14" s="25">
        <v>12.5</v>
      </c>
    </row>
    <row r="15" spans="1:5" x14ac:dyDescent="0.25">
      <c r="D15" s="25"/>
      <c r="E15" s="25"/>
    </row>
    <row r="16" spans="1:5" x14ac:dyDescent="0.25">
      <c r="D16" s="25"/>
      <c r="E16" s="25"/>
    </row>
    <row r="17" spans="4:5" x14ac:dyDescent="0.25">
      <c r="D17" s="25"/>
      <c r="E17" s="25"/>
    </row>
    <row r="18" spans="4:5" x14ac:dyDescent="0.25">
      <c r="D18" s="25"/>
      <c r="E18" s="25"/>
    </row>
    <row r="19" spans="4:5" x14ac:dyDescent="0.25">
      <c r="D19" s="25"/>
      <c r="E19" s="25"/>
    </row>
    <row r="20" spans="4:5" x14ac:dyDescent="0.25">
      <c r="D20" s="25"/>
      <c r="E20" s="25"/>
    </row>
    <row r="21" spans="4:5" x14ac:dyDescent="0.25">
      <c r="D21" s="25"/>
      <c r="E21" s="25"/>
    </row>
    <row r="22" spans="4:5" x14ac:dyDescent="0.25">
      <c r="D22" s="25"/>
      <c r="E22" s="25"/>
    </row>
    <row r="23" spans="4:5" x14ac:dyDescent="0.25">
      <c r="D23" s="25"/>
      <c r="E23" s="25"/>
    </row>
    <row r="24" spans="4:5" x14ac:dyDescent="0.25">
      <c r="D24" s="25"/>
      <c r="E24" s="25"/>
    </row>
    <row r="25" spans="4:5" x14ac:dyDescent="0.25">
      <c r="D25" s="25"/>
      <c r="E25" s="25"/>
    </row>
    <row r="26" spans="4:5" x14ac:dyDescent="0.25">
      <c r="D26" s="25"/>
      <c r="E26" s="25"/>
    </row>
    <row r="27" spans="4:5" x14ac:dyDescent="0.25">
      <c r="D27" s="25"/>
      <c r="E27" s="25"/>
    </row>
    <row r="28" spans="4:5" x14ac:dyDescent="0.25">
      <c r="D28" s="25"/>
      <c r="E28" s="25"/>
    </row>
    <row r="29" spans="4:5" x14ac:dyDescent="0.25">
      <c r="D29" s="25"/>
      <c r="E29" s="25"/>
    </row>
    <row r="30" spans="4:5" x14ac:dyDescent="0.25">
      <c r="D30" s="25"/>
      <c r="E30" s="25"/>
    </row>
    <row r="31" spans="4:5" x14ac:dyDescent="0.25">
      <c r="D31" s="25"/>
      <c r="E31" s="25"/>
    </row>
    <row r="32" spans="4:5" x14ac:dyDescent="0.25">
      <c r="D32" s="25"/>
      <c r="E32" s="25"/>
    </row>
    <row r="33" spans="1:5" x14ac:dyDescent="0.25">
      <c r="D33" s="25"/>
      <c r="E33" s="25"/>
    </row>
    <row r="34" spans="1:5" x14ac:dyDescent="0.25">
      <c r="D34" s="25"/>
      <c r="E34" s="25"/>
    </row>
    <row r="35" spans="1:5" x14ac:dyDescent="0.25">
      <c r="D35" s="25"/>
      <c r="E35" s="25"/>
    </row>
    <row r="36" spans="1:5" x14ac:dyDescent="0.25">
      <c r="D36" s="25"/>
      <c r="E36" s="25"/>
    </row>
    <row r="37" spans="1:5" x14ac:dyDescent="0.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phoneticPr fontId="16" type="noConversion"/>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73AF5-B038-49DD-9D20-DE20DADCCFC3}">
  <sheetPr codeName="Sheet29">
    <tabColor rgb="FFA3B8BA"/>
  </sheetPr>
  <dimension ref="A1:E50"/>
  <sheetViews>
    <sheetView workbookViewId="0">
      <pane xSplit="1" topLeftCell="B1" activePane="topRight" state="frozen"/>
      <selection activeCell="D21" sqref="D21"/>
      <selection pane="topRight" activeCell="B16" sqref="B16"/>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4" t="s">
        <v>0</v>
      </c>
      <c r="B1" s="64" t="s">
        <v>1</v>
      </c>
      <c r="C1" s="64" t="s">
        <v>2</v>
      </c>
      <c r="D1" s="64" t="s">
        <v>3</v>
      </c>
      <c r="E1" s="64" t="s">
        <v>4</v>
      </c>
    </row>
    <row r="2" spans="1:5" x14ac:dyDescent="0.25">
      <c r="A2">
        <v>2023</v>
      </c>
      <c r="B2">
        <v>100</v>
      </c>
      <c r="C2">
        <v>100</v>
      </c>
      <c r="D2" s="25">
        <v>100</v>
      </c>
      <c r="E2" s="25">
        <v>100</v>
      </c>
    </row>
    <row r="3" spans="1:5" x14ac:dyDescent="0.25">
      <c r="A3">
        <v>2024</v>
      </c>
      <c r="B3">
        <v>100</v>
      </c>
      <c r="C3">
        <v>100</v>
      </c>
      <c r="D3" s="25">
        <v>100</v>
      </c>
      <c r="E3" s="25">
        <v>100</v>
      </c>
    </row>
    <row r="4" spans="1:5" x14ac:dyDescent="0.25">
      <c r="A4">
        <v>2025</v>
      </c>
      <c r="B4">
        <v>100</v>
      </c>
      <c r="C4">
        <v>100</v>
      </c>
      <c r="D4" s="25">
        <v>100</v>
      </c>
      <c r="E4" s="25">
        <v>100</v>
      </c>
    </row>
    <row r="5" spans="1:5" x14ac:dyDescent="0.25">
      <c r="A5">
        <v>2026</v>
      </c>
      <c r="B5">
        <v>100</v>
      </c>
      <c r="C5">
        <v>100</v>
      </c>
      <c r="D5" s="25">
        <v>100</v>
      </c>
      <c r="E5" s="25">
        <v>100</v>
      </c>
    </row>
    <row r="6" spans="1:5" x14ac:dyDescent="0.25">
      <c r="A6">
        <v>2027</v>
      </c>
      <c r="B6">
        <v>100</v>
      </c>
      <c r="C6">
        <v>100</v>
      </c>
      <c r="D6" s="25">
        <v>100</v>
      </c>
      <c r="E6" s="25">
        <v>100</v>
      </c>
    </row>
    <row r="7" spans="1:5" x14ac:dyDescent="0.25">
      <c r="A7">
        <v>2028</v>
      </c>
      <c r="B7">
        <v>100</v>
      </c>
      <c r="C7">
        <v>100</v>
      </c>
      <c r="D7" s="25">
        <v>100</v>
      </c>
      <c r="E7" s="25">
        <v>100</v>
      </c>
    </row>
    <row r="8" spans="1:5" x14ac:dyDescent="0.25">
      <c r="A8">
        <v>2029</v>
      </c>
      <c r="B8">
        <v>100</v>
      </c>
      <c r="C8">
        <v>100</v>
      </c>
      <c r="D8" s="25">
        <v>100</v>
      </c>
      <c r="E8" s="25">
        <v>100</v>
      </c>
    </row>
    <row r="9" spans="1:5" x14ac:dyDescent="0.25">
      <c r="A9">
        <v>2030</v>
      </c>
      <c r="B9">
        <v>100</v>
      </c>
      <c r="C9">
        <v>100</v>
      </c>
      <c r="D9" s="25">
        <v>100</v>
      </c>
      <c r="E9" s="25">
        <v>100</v>
      </c>
    </row>
    <row r="10" spans="1:5" x14ac:dyDescent="0.25">
      <c r="A10">
        <v>2031</v>
      </c>
      <c r="B10">
        <v>12.5</v>
      </c>
      <c r="C10">
        <v>12.5</v>
      </c>
      <c r="D10" s="25">
        <v>12.5</v>
      </c>
      <c r="E10" s="25">
        <v>12.5</v>
      </c>
    </row>
    <row r="11" spans="1:5" x14ac:dyDescent="0.25">
      <c r="A11">
        <v>2032</v>
      </c>
      <c r="B11">
        <v>12.5</v>
      </c>
      <c r="C11">
        <v>12.5</v>
      </c>
      <c r="D11" s="25">
        <v>12.5</v>
      </c>
      <c r="E11" s="25">
        <v>12.5</v>
      </c>
    </row>
    <row r="12" spans="1:5" x14ac:dyDescent="0.25">
      <c r="A12">
        <v>2033</v>
      </c>
      <c r="B12">
        <v>12.5</v>
      </c>
      <c r="C12">
        <v>12.5</v>
      </c>
      <c r="D12" s="25">
        <v>12.5</v>
      </c>
      <c r="E12" s="25">
        <v>12.5</v>
      </c>
    </row>
    <row r="13" spans="1:5" x14ac:dyDescent="0.25">
      <c r="A13">
        <v>2034</v>
      </c>
      <c r="B13">
        <v>12.5</v>
      </c>
      <c r="C13">
        <v>12.5</v>
      </c>
      <c r="D13" s="25">
        <v>12.5</v>
      </c>
      <c r="E13" s="25">
        <v>12.5</v>
      </c>
    </row>
    <row r="14" spans="1:5" x14ac:dyDescent="0.25">
      <c r="A14">
        <v>2035</v>
      </c>
      <c r="B14">
        <v>12.5</v>
      </c>
      <c r="C14">
        <v>12.5</v>
      </c>
      <c r="D14" s="25">
        <v>12.5</v>
      </c>
      <c r="E14" s="25">
        <v>12.5</v>
      </c>
    </row>
    <row r="15" spans="1:5" x14ac:dyDescent="0.25">
      <c r="D15" s="25"/>
      <c r="E15" s="25"/>
    </row>
    <row r="16" spans="1:5" x14ac:dyDescent="0.25">
      <c r="D16" s="25"/>
      <c r="E16" s="25"/>
    </row>
    <row r="17" spans="4:5" x14ac:dyDescent="0.25">
      <c r="D17" s="25"/>
      <c r="E17" s="25"/>
    </row>
    <row r="18" spans="4:5" x14ac:dyDescent="0.25">
      <c r="D18" s="25"/>
      <c r="E18" s="25"/>
    </row>
    <row r="19" spans="4:5" x14ac:dyDescent="0.25">
      <c r="D19" s="25"/>
      <c r="E19" s="25"/>
    </row>
    <row r="20" spans="4:5" x14ac:dyDescent="0.25">
      <c r="D20" s="25"/>
      <c r="E20" s="25"/>
    </row>
    <row r="21" spans="4:5" x14ac:dyDescent="0.25">
      <c r="D21" s="25"/>
      <c r="E21" s="25"/>
    </row>
    <row r="22" spans="4:5" x14ac:dyDescent="0.25">
      <c r="D22" s="25"/>
      <c r="E22" s="25"/>
    </row>
    <row r="23" spans="4:5" x14ac:dyDescent="0.25">
      <c r="D23" s="25"/>
      <c r="E23" s="25"/>
    </row>
    <row r="24" spans="4:5" x14ac:dyDescent="0.25">
      <c r="D24" s="25"/>
      <c r="E24" s="25"/>
    </row>
    <row r="25" spans="4:5" x14ac:dyDescent="0.25">
      <c r="D25" s="25"/>
      <c r="E25" s="25"/>
    </row>
    <row r="26" spans="4:5" x14ac:dyDescent="0.25">
      <c r="D26" s="25"/>
      <c r="E26" s="25"/>
    </row>
    <row r="27" spans="4:5" x14ac:dyDescent="0.25">
      <c r="D27" s="25"/>
      <c r="E27" s="25"/>
    </row>
    <row r="28" spans="4:5" x14ac:dyDescent="0.25">
      <c r="D28" s="25"/>
      <c r="E28" s="25"/>
    </row>
    <row r="29" spans="4:5" x14ac:dyDescent="0.25">
      <c r="D29" s="25"/>
      <c r="E29" s="25"/>
    </row>
    <row r="30" spans="4:5" x14ac:dyDescent="0.25">
      <c r="D30" s="25"/>
      <c r="E30" s="25"/>
    </row>
    <row r="31" spans="4:5" x14ac:dyDescent="0.25">
      <c r="D31" s="25"/>
      <c r="E31" s="25"/>
    </row>
    <row r="32" spans="4:5" x14ac:dyDescent="0.25">
      <c r="D32" s="25"/>
      <c r="E32" s="25"/>
    </row>
    <row r="33" spans="1:5" x14ac:dyDescent="0.25">
      <c r="D33" s="25"/>
      <c r="E33" s="25"/>
    </row>
    <row r="34" spans="1:5" x14ac:dyDescent="0.25">
      <c r="D34" s="25"/>
      <c r="E34" s="25"/>
    </row>
    <row r="35" spans="1:5" x14ac:dyDescent="0.25">
      <c r="D35" s="25"/>
      <c r="E35" s="25"/>
    </row>
    <row r="36" spans="1:5" x14ac:dyDescent="0.25">
      <c r="D36" s="25"/>
      <c r="E36" s="25"/>
    </row>
    <row r="37" spans="1:5" x14ac:dyDescent="0.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51D4E0D8-C155-4320-97F6-F2F38CD97F97}">
      <formula1>0</formula1>
    </dataValidation>
    <dataValidation type="decimal" operator="greaterThanOrEqual" allowBlank="1" showInputMessage="1" showErrorMessage="1" errorTitle="Data Type Error" error="Should be greater than or equal to 0" sqref="B2:B50 D2:E50" xr:uid="{C6557EC5-D624-46B3-99D0-9399AE97D77D}">
      <formula1>0</formula1>
    </dataValidation>
    <dataValidation type="whole" operator="greaterThan" allowBlank="1" showInputMessage="1" showErrorMessage="1" errorTitle="Data Type Error" error="Should be Number not Text." sqref="A2:A1048576" xr:uid="{B4B50FA9-1330-4424-932B-B899249DDE09}">
      <formula1>0</formula1>
    </dataValidation>
    <dataValidation type="decimal" operator="greaterThan" allowBlank="1" showInputMessage="1" showErrorMessage="1" errorTitle="Data Type Error" error="Should be Number not Text." sqref="B51:E1048576" xr:uid="{DA7B6EDB-DE82-48AD-B4DB-465A46BFA6FA}">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C9" sqref="C9"/>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322</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9679A-195C-4A4D-8028-BA82B9E78DDF}">
  <sheetPr codeName="Sheet35">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322</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E76FE041-C76F-4080-B396-14014F36C04B}">
      <formula1>0</formula1>
    </dataValidation>
    <dataValidation operator="greaterThan" allowBlank="1" showInputMessage="1" showErrorMessage="1" errorTitle="Data Type Error" error="Should be Number not Text." sqref="D1:XFD1" xr:uid="{093AB5A8-7F59-49D4-9CCA-48E53937C69B}"/>
    <dataValidation type="whole" operator="greaterThan" allowBlank="1" showInputMessage="1" showErrorMessage="1" errorTitle="Data Type Error" error="Should be Number not Text" sqref="A2:A1048576" xr:uid="{48E2DCDA-5723-43B5-92E6-18FFC46D09B6}">
      <formula1>0</formula1>
    </dataValidation>
    <dataValidation type="decimal" operator="greaterThan" allowBlank="1" showInputMessage="1" showErrorMessage="1" errorTitle="Data Type Error" error="Should be Number not Text" sqref="B51:C1048576" xr:uid="{EE24BB6A-3E8E-4DD4-9D4E-BF270385AEB2}">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0" sqref="C20"/>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5" t="s">
        <v>0</v>
      </c>
      <c r="B1" s="65" t="s">
        <v>5</v>
      </c>
      <c r="C1" s="65" t="s">
        <v>7</v>
      </c>
      <c r="D1" s="65" t="s">
        <v>6</v>
      </c>
      <c r="E1" s="65" t="s">
        <v>119</v>
      </c>
      <c r="F1" s="65" t="s">
        <v>120</v>
      </c>
      <c r="G1" s="65" t="s">
        <v>121</v>
      </c>
      <c r="H1" s="65" t="s">
        <v>122</v>
      </c>
      <c r="I1" s="1" t="s">
        <v>123</v>
      </c>
      <c r="J1" s="1" t="s">
        <v>124</v>
      </c>
      <c r="K1" s="1" t="s">
        <v>125</v>
      </c>
      <c r="L1" s="1" t="s">
        <v>126</v>
      </c>
      <c r="M1" s="1" t="s">
        <v>127</v>
      </c>
      <c r="N1" s="1" t="s">
        <v>128</v>
      </c>
      <c r="O1" s="1" t="s">
        <v>129</v>
      </c>
      <c r="P1" s="1" t="s">
        <v>130</v>
      </c>
      <c r="Q1" s="1" t="s">
        <v>131</v>
      </c>
      <c r="R1" s="1" t="s">
        <v>132</v>
      </c>
      <c r="S1" s="1" t="s">
        <v>133</v>
      </c>
      <c r="T1" s="1" t="s">
        <v>134</v>
      </c>
      <c r="U1" s="1" t="s">
        <v>135</v>
      </c>
      <c r="V1" s="1" t="s">
        <v>136</v>
      </c>
      <c r="W1" s="1" t="s">
        <v>137</v>
      </c>
      <c r="X1" s="27" t="s">
        <v>138</v>
      </c>
      <c r="Y1" s="27" t="s">
        <v>139</v>
      </c>
      <c r="Z1" s="27" t="s">
        <v>140</v>
      </c>
      <c r="AA1" s="27" t="s">
        <v>141</v>
      </c>
      <c r="AB1" s="27" t="s">
        <v>142</v>
      </c>
      <c r="AC1" s="27" t="s">
        <v>143</v>
      </c>
      <c r="AD1" s="27" t="s">
        <v>144</v>
      </c>
      <c r="AE1" s="27" t="s">
        <v>145</v>
      </c>
      <c r="AF1" s="27" t="s">
        <v>146</v>
      </c>
      <c r="AG1" s="27" t="s">
        <v>147</v>
      </c>
      <c r="AH1" s="27" t="s">
        <v>148</v>
      </c>
      <c r="AI1" s="27" t="s">
        <v>149</v>
      </c>
      <c r="AJ1" s="27" t="s">
        <v>150</v>
      </c>
      <c r="AK1" s="27" t="s">
        <v>151</v>
      </c>
      <c r="AL1" s="27" t="s">
        <v>152</v>
      </c>
      <c r="AM1" s="27" t="s">
        <v>153</v>
      </c>
      <c r="AN1" s="27" t="s">
        <v>154</v>
      </c>
      <c r="AO1" s="27" t="s">
        <v>155</v>
      </c>
      <c r="AP1" s="27" t="s">
        <v>156</v>
      </c>
      <c r="AQ1" s="27" t="s">
        <v>157</v>
      </c>
      <c r="AR1" s="28" t="s">
        <v>158</v>
      </c>
      <c r="AS1" s="27" t="s">
        <v>159</v>
      </c>
      <c r="AT1" s="27" t="s">
        <v>160</v>
      </c>
      <c r="AU1" s="27" t="s">
        <v>161</v>
      </c>
      <c r="AV1" s="27" t="s">
        <v>162</v>
      </c>
      <c r="AW1" s="27" t="s">
        <v>163</v>
      </c>
      <c r="AX1" s="27" t="s">
        <v>164</v>
      </c>
      <c r="AY1" s="27" t="s">
        <v>165</v>
      </c>
      <c r="AZ1" s="27" t="s">
        <v>166</v>
      </c>
      <c r="BA1" s="27" t="s">
        <v>174</v>
      </c>
      <c r="BB1" s="27" t="s">
        <v>175</v>
      </c>
      <c r="BC1" s="27" t="s">
        <v>176</v>
      </c>
      <c r="BD1" s="27" t="s">
        <v>167</v>
      </c>
      <c r="BE1" s="27" t="s">
        <v>168</v>
      </c>
      <c r="BF1" s="27" t="s">
        <v>169</v>
      </c>
      <c r="BG1" s="27" t="s">
        <v>170</v>
      </c>
      <c r="BH1" s="27" t="s">
        <v>171</v>
      </c>
      <c r="BI1" s="27" t="s">
        <v>172</v>
      </c>
      <c r="BJ1" s="27" t="s">
        <v>173</v>
      </c>
    </row>
    <row r="2" spans="1:62" x14ac:dyDescent="0.25">
      <c r="A2">
        <v>2023</v>
      </c>
      <c r="B2" s="25">
        <v>100</v>
      </c>
      <c r="C2">
        <v>100</v>
      </c>
      <c r="D2">
        <v>100</v>
      </c>
      <c r="E2">
        <v>100</v>
      </c>
      <c r="F2">
        <v>100</v>
      </c>
      <c r="G2">
        <v>100</v>
      </c>
      <c r="H2">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v>2024</v>
      </c>
      <c r="B3" s="25">
        <v>100</v>
      </c>
      <c r="C3">
        <v>100</v>
      </c>
      <c r="D3">
        <v>100</v>
      </c>
      <c r="E3">
        <v>100</v>
      </c>
      <c r="F3">
        <v>100</v>
      </c>
      <c r="G3">
        <v>100</v>
      </c>
      <c r="H3">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v>2025</v>
      </c>
      <c r="B4" s="25">
        <v>100</v>
      </c>
      <c r="C4">
        <v>100</v>
      </c>
      <c r="D4">
        <v>100</v>
      </c>
      <c r="E4">
        <v>100</v>
      </c>
      <c r="F4">
        <v>100</v>
      </c>
      <c r="G4">
        <v>100</v>
      </c>
      <c r="H4">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v>2026</v>
      </c>
      <c r="B5" s="25">
        <v>100</v>
      </c>
      <c r="C5">
        <v>100</v>
      </c>
      <c r="D5">
        <v>100</v>
      </c>
      <c r="E5">
        <v>100</v>
      </c>
      <c r="F5">
        <v>100</v>
      </c>
      <c r="G5">
        <v>100</v>
      </c>
      <c r="H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v>2027</v>
      </c>
      <c r="B6" s="25">
        <v>100</v>
      </c>
      <c r="C6">
        <v>100</v>
      </c>
      <c r="D6">
        <v>100</v>
      </c>
      <c r="E6">
        <v>100</v>
      </c>
      <c r="F6">
        <v>100</v>
      </c>
      <c r="G6">
        <v>100</v>
      </c>
      <c r="H6">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v>2028</v>
      </c>
      <c r="B7" s="25">
        <v>100</v>
      </c>
      <c r="C7">
        <v>100</v>
      </c>
      <c r="D7">
        <v>100</v>
      </c>
      <c r="E7">
        <v>100</v>
      </c>
      <c r="F7">
        <v>100</v>
      </c>
      <c r="G7">
        <v>100</v>
      </c>
      <c r="H7">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v>2029</v>
      </c>
      <c r="B8" s="25">
        <v>100</v>
      </c>
      <c r="C8">
        <v>100</v>
      </c>
      <c r="D8">
        <v>100</v>
      </c>
      <c r="E8">
        <v>100</v>
      </c>
      <c r="F8">
        <v>100</v>
      </c>
      <c r="G8">
        <v>100</v>
      </c>
      <c r="H8">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v>2030</v>
      </c>
      <c r="B9" s="25">
        <v>100</v>
      </c>
      <c r="C9">
        <v>100</v>
      </c>
      <c r="D9">
        <v>100</v>
      </c>
      <c r="E9">
        <v>100</v>
      </c>
      <c r="F9">
        <v>100</v>
      </c>
      <c r="G9">
        <v>100</v>
      </c>
      <c r="H9">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v>2031</v>
      </c>
      <c r="B10" s="25">
        <v>25</v>
      </c>
      <c r="C10">
        <v>25</v>
      </c>
      <c r="D10">
        <v>25</v>
      </c>
      <c r="E10">
        <v>25</v>
      </c>
      <c r="F10">
        <v>25</v>
      </c>
      <c r="G10">
        <v>25</v>
      </c>
      <c r="H10">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v>2032</v>
      </c>
      <c r="B11" s="25">
        <v>25</v>
      </c>
      <c r="C11">
        <v>25</v>
      </c>
      <c r="D11">
        <v>25</v>
      </c>
      <c r="E11">
        <v>25</v>
      </c>
      <c r="F11">
        <v>25</v>
      </c>
      <c r="G11">
        <v>25</v>
      </c>
      <c r="H11">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v>2033</v>
      </c>
      <c r="B12" s="25">
        <v>25</v>
      </c>
      <c r="C12">
        <v>25</v>
      </c>
      <c r="D12">
        <v>25</v>
      </c>
      <c r="E12">
        <v>25</v>
      </c>
      <c r="F12">
        <v>25</v>
      </c>
      <c r="G12">
        <v>25</v>
      </c>
      <c r="H12">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v>2034</v>
      </c>
      <c r="B13" s="25">
        <v>25</v>
      </c>
      <c r="C13">
        <v>25</v>
      </c>
      <c r="D13">
        <v>25</v>
      </c>
      <c r="E13">
        <v>25</v>
      </c>
      <c r="F13">
        <v>25</v>
      </c>
      <c r="G13">
        <v>25</v>
      </c>
      <c r="H13">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v>2035</v>
      </c>
      <c r="B14" s="25">
        <v>25</v>
      </c>
      <c r="C14">
        <v>25</v>
      </c>
      <c r="D14">
        <v>25</v>
      </c>
      <c r="E14">
        <v>25</v>
      </c>
      <c r="F14">
        <v>25</v>
      </c>
      <c r="G14">
        <v>25</v>
      </c>
      <c r="H14">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B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B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2:62" x14ac:dyDescent="0.25">
      <c r="B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2:62" x14ac:dyDescent="0.25">
      <c r="B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2:62" x14ac:dyDescent="0.25">
      <c r="B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2:62" x14ac:dyDescent="0.25">
      <c r="B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2:62" x14ac:dyDescent="0.25">
      <c r="B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2:62" x14ac:dyDescent="0.25">
      <c r="B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2:62" x14ac:dyDescent="0.25">
      <c r="B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2:62" x14ac:dyDescent="0.25">
      <c r="B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2:62" x14ac:dyDescent="0.25">
      <c r="B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2:62" x14ac:dyDescent="0.25">
      <c r="B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2:62" x14ac:dyDescent="0.25">
      <c r="B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2:62" x14ac:dyDescent="0.25">
      <c r="B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2:62" x14ac:dyDescent="0.25">
      <c r="B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2:62" x14ac:dyDescent="0.25">
      <c r="B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2:62" x14ac:dyDescent="0.25">
      <c r="B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2:62" x14ac:dyDescent="0.25">
      <c r="B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B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B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B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B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B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2092F-E70E-4886-B534-0BA860A7A0A7}">
  <sheetPr codeName="Sheet30">
    <tabColor rgb="FFA3B8BA"/>
  </sheetPr>
  <dimension ref="A1:BW50"/>
  <sheetViews>
    <sheetView zoomScale="98" zoomScaleNormal="98" workbookViewId="0">
      <pane xSplit="1" topLeftCell="B1" activePane="topRight" state="frozen"/>
      <selection pane="topRight" activeCell="C18" sqref="C18"/>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5" t="s">
        <v>0</v>
      </c>
      <c r="B1" s="65" t="s">
        <v>5</v>
      </c>
      <c r="C1" s="65" t="s">
        <v>7</v>
      </c>
      <c r="D1" s="65" t="s">
        <v>6</v>
      </c>
      <c r="E1" s="65" t="s">
        <v>119</v>
      </c>
      <c r="F1" s="65" t="s">
        <v>120</v>
      </c>
      <c r="G1" s="65" t="s">
        <v>121</v>
      </c>
      <c r="H1" s="65" t="s">
        <v>122</v>
      </c>
      <c r="I1" s="1" t="s">
        <v>123</v>
      </c>
      <c r="J1" s="1" t="s">
        <v>124</v>
      </c>
      <c r="K1" s="1" t="s">
        <v>125</v>
      </c>
      <c r="L1" s="1" t="s">
        <v>126</v>
      </c>
      <c r="M1" s="1" t="s">
        <v>127</v>
      </c>
      <c r="N1" s="1" t="s">
        <v>128</v>
      </c>
      <c r="O1" s="1" t="s">
        <v>129</v>
      </c>
      <c r="P1" s="1" t="s">
        <v>130</v>
      </c>
      <c r="Q1" s="1" t="s">
        <v>131</v>
      </c>
      <c r="R1" s="1" t="s">
        <v>132</v>
      </c>
      <c r="S1" s="1" t="s">
        <v>133</v>
      </c>
      <c r="T1" s="1" t="s">
        <v>134</v>
      </c>
      <c r="U1" s="1" t="s">
        <v>135</v>
      </c>
      <c r="V1" s="1" t="s">
        <v>136</v>
      </c>
      <c r="W1" s="1" t="s">
        <v>137</v>
      </c>
      <c r="X1" s="27" t="s">
        <v>138</v>
      </c>
      <c r="Y1" s="27" t="s">
        <v>139</v>
      </c>
      <c r="Z1" s="27" t="s">
        <v>140</v>
      </c>
      <c r="AA1" s="27" t="s">
        <v>141</v>
      </c>
      <c r="AB1" s="27" t="s">
        <v>142</v>
      </c>
      <c r="AC1" s="27" t="s">
        <v>143</v>
      </c>
      <c r="AD1" s="27" t="s">
        <v>144</v>
      </c>
      <c r="AE1" s="27" t="s">
        <v>145</v>
      </c>
      <c r="AF1" s="27" t="s">
        <v>146</v>
      </c>
      <c r="AG1" s="27" t="s">
        <v>147</v>
      </c>
      <c r="AH1" s="27" t="s">
        <v>148</v>
      </c>
      <c r="AI1" s="27" t="s">
        <v>149</v>
      </c>
      <c r="AJ1" s="27" t="s">
        <v>150</v>
      </c>
      <c r="AK1" s="27" t="s">
        <v>151</v>
      </c>
      <c r="AL1" s="27" t="s">
        <v>152</v>
      </c>
      <c r="AM1" s="27" t="s">
        <v>153</v>
      </c>
      <c r="AN1" s="27" t="s">
        <v>154</v>
      </c>
      <c r="AO1" s="27" t="s">
        <v>155</v>
      </c>
      <c r="AP1" s="27" t="s">
        <v>156</v>
      </c>
      <c r="AQ1" s="27" t="s">
        <v>157</v>
      </c>
      <c r="AR1" s="28" t="s">
        <v>158</v>
      </c>
      <c r="AS1" s="27" t="s">
        <v>159</v>
      </c>
      <c r="AT1" s="27" t="s">
        <v>160</v>
      </c>
      <c r="AU1" s="27" t="s">
        <v>161</v>
      </c>
      <c r="AV1" s="27" t="s">
        <v>162</v>
      </c>
      <c r="AW1" s="27" t="s">
        <v>163</v>
      </c>
      <c r="AX1" s="27" t="s">
        <v>164</v>
      </c>
      <c r="AY1" s="27" t="s">
        <v>165</v>
      </c>
      <c r="AZ1" s="27" t="s">
        <v>166</v>
      </c>
      <c r="BA1" s="27" t="s">
        <v>174</v>
      </c>
      <c r="BB1" s="27" t="s">
        <v>175</v>
      </c>
      <c r="BC1" s="27" t="s">
        <v>176</v>
      </c>
      <c r="BD1" s="27" t="s">
        <v>167</v>
      </c>
      <c r="BE1" s="27" t="s">
        <v>168</v>
      </c>
      <c r="BF1" s="27" t="s">
        <v>169</v>
      </c>
      <c r="BG1" s="27" t="s">
        <v>170</v>
      </c>
      <c r="BH1" s="27" t="s">
        <v>171</v>
      </c>
      <c r="BI1" s="27" t="s">
        <v>172</v>
      </c>
      <c r="BJ1" s="27" t="s">
        <v>173</v>
      </c>
    </row>
    <row r="2" spans="1:62" x14ac:dyDescent="0.25">
      <c r="A2">
        <v>2023</v>
      </c>
      <c r="B2" s="25">
        <v>100</v>
      </c>
      <c r="C2">
        <v>100</v>
      </c>
      <c r="D2">
        <v>100</v>
      </c>
      <c r="E2">
        <v>100</v>
      </c>
      <c r="F2">
        <v>100</v>
      </c>
      <c r="G2">
        <v>100</v>
      </c>
      <c r="H2">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v>2024</v>
      </c>
      <c r="B3" s="25">
        <v>100</v>
      </c>
      <c r="C3">
        <v>100</v>
      </c>
      <c r="D3">
        <v>100</v>
      </c>
      <c r="E3">
        <v>100</v>
      </c>
      <c r="F3">
        <v>100</v>
      </c>
      <c r="G3">
        <v>100</v>
      </c>
      <c r="H3">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v>2025</v>
      </c>
      <c r="B4" s="25">
        <v>100</v>
      </c>
      <c r="C4">
        <v>100</v>
      </c>
      <c r="D4">
        <v>100</v>
      </c>
      <c r="E4">
        <v>100</v>
      </c>
      <c r="F4">
        <v>100</v>
      </c>
      <c r="G4">
        <v>100</v>
      </c>
      <c r="H4">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v>2026</v>
      </c>
      <c r="B5" s="25">
        <v>100</v>
      </c>
      <c r="C5">
        <v>100</v>
      </c>
      <c r="D5">
        <v>100</v>
      </c>
      <c r="E5">
        <v>100</v>
      </c>
      <c r="F5">
        <v>100</v>
      </c>
      <c r="G5">
        <v>100</v>
      </c>
      <c r="H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v>2027</v>
      </c>
      <c r="B6" s="25">
        <v>100</v>
      </c>
      <c r="C6">
        <v>100</v>
      </c>
      <c r="D6">
        <v>100</v>
      </c>
      <c r="E6">
        <v>100</v>
      </c>
      <c r="F6">
        <v>100</v>
      </c>
      <c r="G6">
        <v>100</v>
      </c>
      <c r="H6">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v>2028</v>
      </c>
      <c r="B7" s="25">
        <v>100</v>
      </c>
      <c r="C7">
        <v>100</v>
      </c>
      <c r="D7">
        <v>100</v>
      </c>
      <c r="E7">
        <v>100</v>
      </c>
      <c r="F7">
        <v>100</v>
      </c>
      <c r="G7">
        <v>100</v>
      </c>
      <c r="H7">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v>2029</v>
      </c>
      <c r="B8" s="25">
        <v>100</v>
      </c>
      <c r="C8">
        <v>100</v>
      </c>
      <c r="D8">
        <v>100</v>
      </c>
      <c r="E8">
        <v>100</v>
      </c>
      <c r="F8">
        <v>100</v>
      </c>
      <c r="G8">
        <v>100</v>
      </c>
      <c r="H8">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v>2030</v>
      </c>
      <c r="B9" s="25">
        <v>100</v>
      </c>
      <c r="C9">
        <v>100</v>
      </c>
      <c r="D9">
        <v>100</v>
      </c>
      <c r="E9">
        <v>100</v>
      </c>
      <c r="F9">
        <v>100</v>
      </c>
      <c r="G9">
        <v>100</v>
      </c>
      <c r="H9">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v>2031</v>
      </c>
      <c r="B10" s="25">
        <v>25</v>
      </c>
      <c r="C10">
        <v>25</v>
      </c>
      <c r="D10">
        <v>25</v>
      </c>
      <c r="E10">
        <v>25</v>
      </c>
      <c r="F10">
        <v>25</v>
      </c>
      <c r="G10">
        <v>25</v>
      </c>
      <c r="H10">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v>2032</v>
      </c>
      <c r="B11" s="25">
        <v>25</v>
      </c>
      <c r="C11">
        <v>25</v>
      </c>
      <c r="D11">
        <v>25</v>
      </c>
      <c r="E11">
        <v>25</v>
      </c>
      <c r="F11">
        <v>25</v>
      </c>
      <c r="G11">
        <v>25</v>
      </c>
      <c r="H11">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v>2033</v>
      </c>
      <c r="B12" s="25">
        <v>25</v>
      </c>
      <c r="C12">
        <v>25</v>
      </c>
      <c r="D12">
        <v>25</v>
      </c>
      <c r="E12">
        <v>25</v>
      </c>
      <c r="F12">
        <v>25</v>
      </c>
      <c r="G12">
        <v>25</v>
      </c>
      <c r="H12">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v>2034</v>
      </c>
      <c r="B13" s="25">
        <v>25</v>
      </c>
      <c r="C13">
        <v>25</v>
      </c>
      <c r="D13">
        <v>25</v>
      </c>
      <c r="E13">
        <v>25</v>
      </c>
      <c r="F13">
        <v>25</v>
      </c>
      <c r="G13">
        <v>25</v>
      </c>
      <c r="H13">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v>2035</v>
      </c>
      <c r="B14" s="25">
        <v>25</v>
      </c>
      <c r="C14">
        <v>25</v>
      </c>
      <c r="D14">
        <v>25</v>
      </c>
      <c r="E14">
        <v>25</v>
      </c>
      <c r="F14">
        <v>25</v>
      </c>
      <c r="G14">
        <v>25</v>
      </c>
      <c r="H14">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B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B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2:62" x14ac:dyDescent="0.25">
      <c r="B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2:62" x14ac:dyDescent="0.25">
      <c r="B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2:62" x14ac:dyDescent="0.25">
      <c r="B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2:62" x14ac:dyDescent="0.25">
      <c r="B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2:62" x14ac:dyDescent="0.25">
      <c r="B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2:62" x14ac:dyDescent="0.25">
      <c r="B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2:62" x14ac:dyDescent="0.25">
      <c r="B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2:62" x14ac:dyDescent="0.25">
      <c r="B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2:62" x14ac:dyDescent="0.25">
      <c r="B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2:62" x14ac:dyDescent="0.25">
      <c r="B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2:62" x14ac:dyDescent="0.25">
      <c r="B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2:62" x14ac:dyDescent="0.25">
      <c r="B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2:62" x14ac:dyDescent="0.25">
      <c r="B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2:62" x14ac:dyDescent="0.25">
      <c r="B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2:62" x14ac:dyDescent="0.25">
      <c r="B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2:62" x14ac:dyDescent="0.25">
      <c r="B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B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B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B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B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B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B2:BJ50" xr:uid="{53A615C6-F72F-4CA3-A60B-52890D74CFAB}">
      <formula1>0</formula1>
    </dataValidation>
    <dataValidation type="decimal" operator="greaterThan" allowBlank="1" showInputMessage="1" showErrorMessage="1" errorTitle="Data Type Error" error="Should be Number not Text" sqref="B51:E1048576" xr:uid="{61829006-C7D6-4E81-966A-F8E1955FA29C}">
      <formula1>0</formula1>
    </dataValidation>
    <dataValidation type="whole" operator="greaterThan" allowBlank="1" showInputMessage="1" showErrorMessage="1" errorTitle="Data Type Error" error="Should be Number not Text." sqref="A2:A1048576" xr:uid="{73B165F5-0710-4C7E-A4C9-4B7C0E3D4DC4}">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8E804-2D62-4628-B2DA-5C5F0F1DD5B8}">
  <sheetPr codeName="Sheet31">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206270C-F9FE-4DFE-8777-53568D579924}">
      <formula1>0</formula1>
    </dataValidation>
    <dataValidation type="decimal" operator="greaterThan" allowBlank="1" showInputMessage="1" showErrorMessage="1" errorTitle="Data Type Error" error="Should be Number not Text" sqref="B51:C1048576" xr:uid="{7B574841-383E-454B-90A1-41A5286D0E9B}">
      <formula1>0</formula1>
    </dataValidation>
    <dataValidation type="whole" operator="greaterThan" allowBlank="1" showInputMessage="1" showErrorMessage="1" errorTitle="Data Type Error" error="Should be Number not Text" sqref="A2:A1048576" xr:uid="{93E6E8E4-2A8C-4C67-AA73-EB35491A74EC}">
      <formula1>0</formula1>
    </dataValidation>
    <dataValidation operator="greaterThan" allowBlank="1" showInputMessage="1" showErrorMessage="1" errorTitle="Data Type Error" error="Should be Number not Text." sqref="D1:XFD1" xr:uid="{AB024199-61B9-4A9A-AFD8-FA99BA7AED6B}"/>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D18" sqref="D18"/>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68" t="s">
        <v>0</v>
      </c>
      <c r="B1" s="68" t="s">
        <v>17</v>
      </c>
      <c r="C1" s="68" t="s">
        <v>18</v>
      </c>
      <c r="D1" s="68" t="s">
        <v>266</v>
      </c>
      <c r="E1" s="68" t="s">
        <v>263</v>
      </c>
      <c r="F1" s="68" t="s">
        <v>251</v>
      </c>
    </row>
    <row r="2" spans="1:6" x14ac:dyDescent="0.25">
      <c r="A2" s="25">
        <v>2023</v>
      </c>
      <c r="B2" s="25" t="s">
        <v>303</v>
      </c>
      <c r="C2" s="25">
        <v>100</v>
      </c>
      <c r="D2" s="25">
        <v>1</v>
      </c>
      <c r="E2" s="25">
        <v>1</v>
      </c>
      <c r="F2" s="25"/>
    </row>
    <row r="3" spans="1:6" x14ac:dyDescent="0.25">
      <c r="A3" s="25">
        <v>2023</v>
      </c>
      <c r="B3" s="25" t="s">
        <v>303</v>
      </c>
      <c r="C3" s="25">
        <v>100</v>
      </c>
      <c r="D3" s="25">
        <v>1</v>
      </c>
      <c r="E3" s="25">
        <v>1</v>
      </c>
      <c r="F3" s="25"/>
    </row>
    <row r="4" spans="1:6" x14ac:dyDescent="0.25">
      <c r="A4" s="25">
        <v>2025</v>
      </c>
      <c r="B4" s="25" t="s">
        <v>303</v>
      </c>
      <c r="C4" s="25">
        <v>100</v>
      </c>
      <c r="D4" s="25">
        <v>1</v>
      </c>
      <c r="E4" s="25">
        <v>1</v>
      </c>
      <c r="F4" s="25"/>
    </row>
    <row r="5" spans="1:6" x14ac:dyDescent="0.25">
      <c r="A5" s="25">
        <v>2025</v>
      </c>
      <c r="B5" s="25" t="s">
        <v>303</v>
      </c>
      <c r="C5" s="25">
        <v>100</v>
      </c>
      <c r="D5" s="25">
        <v>1</v>
      </c>
      <c r="E5" s="25">
        <v>1</v>
      </c>
      <c r="F5" s="25"/>
    </row>
    <row r="6" spans="1:6" x14ac:dyDescent="0.25">
      <c r="A6" s="25">
        <v>2030</v>
      </c>
      <c r="B6" s="25" t="s">
        <v>304</v>
      </c>
      <c r="C6" s="25">
        <v>25</v>
      </c>
      <c r="D6" s="25">
        <v>1</v>
      </c>
      <c r="E6" s="25">
        <v>1</v>
      </c>
      <c r="F6" s="25"/>
    </row>
    <row r="7" spans="1:6" x14ac:dyDescent="0.25">
      <c r="A7" s="25">
        <v>2030</v>
      </c>
      <c r="B7" s="25" t="s">
        <v>304</v>
      </c>
      <c r="C7" s="25">
        <v>25</v>
      </c>
      <c r="D7" s="25">
        <v>1</v>
      </c>
      <c r="E7" s="25">
        <v>1</v>
      </c>
      <c r="F7" s="25"/>
    </row>
    <row r="8" spans="1:6" x14ac:dyDescent="0.25">
      <c r="A8" s="25">
        <v>2031</v>
      </c>
      <c r="B8" s="25" t="s">
        <v>303</v>
      </c>
      <c r="C8" s="25">
        <v>67</v>
      </c>
      <c r="D8" s="25">
        <v>1</v>
      </c>
      <c r="E8" s="25">
        <v>1</v>
      </c>
      <c r="F8" s="25"/>
    </row>
    <row r="9" spans="1:6" x14ac:dyDescent="0.25">
      <c r="A9" s="25">
        <v>2035</v>
      </c>
      <c r="B9" s="25" t="s">
        <v>303</v>
      </c>
      <c r="C9" s="25">
        <v>50</v>
      </c>
      <c r="D9" s="25">
        <v>1</v>
      </c>
      <c r="E9" s="25">
        <v>1</v>
      </c>
      <c r="F9" s="25"/>
    </row>
    <row r="10" spans="1:6" x14ac:dyDescent="0.25">
      <c r="A10" s="25">
        <v>2030</v>
      </c>
      <c r="B10" s="25" t="s">
        <v>304</v>
      </c>
      <c r="C10" s="25">
        <v>25</v>
      </c>
      <c r="D10" s="25">
        <v>1</v>
      </c>
      <c r="E10" s="25">
        <v>1</v>
      </c>
      <c r="F10" s="25"/>
    </row>
    <row r="11" spans="1:6" x14ac:dyDescent="0.25">
      <c r="A11" s="25">
        <v>2031</v>
      </c>
      <c r="B11" s="25" t="s">
        <v>303</v>
      </c>
      <c r="C11" s="25">
        <v>67</v>
      </c>
      <c r="D11" s="25">
        <v>1</v>
      </c>
      <c r="E11" s="25">
        <v>1</v>
      </c>
      <c r="F11" s="25"/>
    </row>
    <row r="12" spans="1:6" x14ac:dyDescent="0.25">
      <c r="A12" s="25">
        <v>2031</v>
      </c>
      <c r="B12" s="25" t="s">
        <v>303</v>
      </c>
      <c r="C12" s="25">
        <v>67</v>
      </c>
      <c r="D12" s="25">
        <v>1</v>
      </c>
      <c r="E12" s="25">
        <v>1</v>
      </c>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decimal"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D18" sqref="D18"/>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0" customFormat="1" x14ac:dyDescent="0.25">
      <c r="A1" s="68" t="s">
        <v>0</v>
      </c>
      <c r="B1" s="68" t="s">
        <v>17</v>
      </c>
      <c r="C1" s="68" t="s">
        <v>18</v>
      </c>
      <c r="D1" s="68" t="s">
        <v>266</v>
      </c>
      <c r="E1" s="68" t="s">
        <v>263</v>
      </c>
      <c r="F1" s="68" t="s">
        <v>251</v>
      </c>
    </row>
    <row r="2" spans="1:6" x14ac:dyDescent="0.25">
      <c r="A2" s="25">
        <v>2023</v>
      </c>
      <c r="B2" s="25" t="s">
        <v>303</v>
      </c>
      <c r="C2" s="25">
        <v>100</v>
      </c>
      <c r="D2" s="25">
        <v>1</v>
      </c>
      <c r="E2" s="25">
        <v>1</v>
      </c>
      <c r="F2" s="25"/>
    </row>
    <row r="3" spans="1:6" x14ac:dyDescent="0.25">
      <c r="A3" s="25">
        <v>2023</v>
      </c>
      <c r="B3" s="25" t="s">
        <v>303</v>
      </c>
      <c r="C3" s="25">
        <v>100</v>
      </c>
      <c r="D3" s="25">
        <v>1</v>
      </c>
      <c r="E3" s="25">
        <v>1</v>
      </c>
      <c r="F3" s="25"/>
    </row>
    <row r="4" spans="1:6" x14ac:dyDescent="0.25">
      <c r="A4" s="25">
        <v>2025</v>
      </c>
      <c r="B4" s="25" t="s">
        <v>303</v>
      </c>
      <c r="C4" s="25">
        <v>100</v>
      </c>
      <c r="D4" s="25">
        <v>1</v>
      </c>
      <c r="E4" s="25">
        <v>1</v>
      </c>
      <c r="F4" s="25"/>
    </row>
    <row r="5" spans="1:6" x14ac:dyDescent="0.25">
      <c r="A5" s="25">
        <v>2025</v>
      </c>
      <c r="B5" s="25" t="s">
        <v>303</v>
      </c>
      <c r="C5" s="25">
        <v>100</v>
      </c>
      <c r="D5" s="25">
        <v>1</v>
      </c>
      <c r="E5" s="25">
        <v>1</v>
      </c>
      <c r="F5" s="25"/>
    </row>
    <row r="6" spans="1:6" x14ac:dyDescent="0.25">
      <c r="A6" s="25">
        <v>2030</v>
      </c>
      <c r="B6" s="25" t="s">
        <v>304</v>
      </c>
      <c r="C6" s="25">
        <v>25</v>
      </c>
      <c r="D6" s="25">
        <v>1</v>
      </c>
      <c r="E6" s="25">
        <v>1</v>
      </c>
      <c r="F6" s="25"/>
    </row>
    <row r="7" spans="1:6" x14ac:dyDescent="0.25">
      <c r="A7" s="25">
        <v>2030</v>
      </c>
      <c r="B7" s="25" t="s">
        <v>304</v>
      </c>
      <c r="C7" s="25">
        <v>25</v>
      </c>
      <c r="D7" s="25">
        <v>1</v>
      </c>
      <c r="E7" s="25">
        <v>1</v>
      </c>
      <c r="F7" s="25"/>
    </row>
    <row r="8" spans="1:6" x14ac:dyDescent="0.25">
      <c r="A8" s="25">
        <v>2031</v>
      </c>
      <c r="B8" s="25" t="s">
        <v>303</v>
      </c>
      <c r="C8" s="25">
        <v>67</v>
      </c>
      <c r="D8" s="25">
        <v>1</v>
      </c>
      <c r="E8" s="25">
        <v>1</v>
      </c>
      <c r="F8" s="25"/>
    </row>
    <row r="9" spans="1:6" x14ac:dyDescent="0.25">
      <c r="A9" s="25">
        <v>2035</v>
      </c>
      <c r="B9" s="25" t="s">
        <v>303</v>
      </c>
      <c r="C9" s="25">
        <v>50</v>
      </c>
      <c r="D9" s="25">
        <v>1</v>
      </c>
      <c r="E9" s="25">
        <v>1</v>
      </c>
      <c r="F9" s="25"/>
    </row>
    <row r="10" spans="1:6" x14ac:dyDescent="0.25">
      <c r="A10" s="25">
        <v>2030</v>
      </c>
      <c r="B10" s="25" t="s">
        <v>304</v>
      </c>
      <c r="C10" s="25">
        <v>25</v>
      </c>
      <c r="D10" s="25">
        <v>1</v>
      </c>
      <c r="E10" s="25">
        <v>1</v>
      </c>
      <c r="F10" s="25"/>
    </row>
    <row r="11" spans="1:6" x14ac:dyDescent="0.25">
      <c r="A11" s="25">
        <v>2030</v>
      </c>
      <c r="B11" s="25" t="s">
        <v>304</v>
      </c>
      <c r="C11" s="25">
        <v>25</v>
      </c>
      <c r="D11" s="25">
        <v>1</v>
      </c>
      <c r="E11" s="25">
        <v>1</v>
      </c>
      <c r="F11" s="25"/>
    </row>
    <row r="12" spans="1:6" x14ac:dyDescent="0.25">
      <c r="A12" s="25">
        <v>2031</v>
      </c>
      <c r="B12" s="25" t="s">
        <v>303</v>
      </c>
      <c r="C12" s="25">
        <v>67</v>
      </c>
      <c r="D12" s="25">
        <v>1</v>
      </c>
      <c r="E12" s="25">
        <v>1</v>
      </c>
      <c r="F12" s="25"/>
    </row>
    <row r="13" spans="1:6" x14ac:dyDescent="0.25">
      <c r="A13" s="25">
        <v>2031</v>
      </c>
      <c r="B13" s="25" t="s">
        <v>303</v>
      </c>
      <c r="C13" s="25">
        <v>67</v>
      </c>
      <c r="D13" s="25">
        <v>1</v>
      </c>
      <c r="E13" s="25">
        <v>1</v>
      </c>
      <c r="F13" s="25"/>
    </row>
    <row r="14" spans="1:6" x14ac:dyDescent="0.25">
      <c r="A14" s="25">
        <v>2035</v>
      </c>
      <c r="B14" s="25" t="s">
        <v>303</v>
      </c>
      <c r="C14" s="25">
        <v>50</v>
      </c>
      <c r="D14" s="25">
        <v>1</v>
      </c>
      <c r="E14" s="25">
        <v>1</v>
      </c>
      <c r="F14" s="25"/>
    </row>
    <row r="15" spans="1:6" x14ac:dyDescent="0.25">
      <c r="A15" s="25">
        <v>2035</v>
      </c>
      <c r="B15" s="25" t="s">
        <v>303</v>
      </c>
      <c r="C15" s="25">
        <v>50</v>
      </c>
      <c r="D15" s="25">
        <v>1</v>
      </c>
      <c r="E15" s="25">
        <v>1</v>
      </c>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2178F-6D0F-4611-97F2-36CC981F3275}">
  <sheetPr codeName="Sheet34">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299CC82D-7C3B-42C8-B675-361065E0CE6F}">
      <formula1>0</formula1>
    </dataValidation>
    <dataValidation type="decimal" operator="greaterThan" allowBlank="1" showInputMessage="1" showErrorMessage="1" errorTitle="Data Type Error" error="Should be Number not Text" sqref="B51:C1048576" xr:uid="{C12FA6F9-DD72-42F9-A4FD-5363BD362756}">
      <formula1>0</formula1>
    </dataValidation>
    <dataValidation type="whole" operator="greaterThan" allowBlank="1" showInputMessage="1" showErrorMessage="1" errorTitle="Data Type Error" error="Should be Number not Text" sqref="A2:A1048576" xr:uid="{A12B35AF-3814-42B0-B15A-D23AF4C25E20}">
      <formula1>0</formula1>
    </dataValidation>
    <dataValidation operator="greaterThan" allowBlank="1" showInputMessage="1" showErrorMessage="1" errorTitle="Data Type Error" error="Should be Number not Text." sqref="D1:XFD1" xr:uid="{98D18614-ABD2-4B5D-BC39-20C6E2EA8FC9}"/>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341</v>
      </c>
      <c r="F1" s="9" t="s">
        <v>345</v>
      </c>
    </row>
    <row r="2" spans="1:14" x14ac:dyDescent="0.25">
      <c r="B2" t="s">
        <v>342</v>
      </c>
      <c r="C2" s="29">
        <v>0.2</v>
      </c>
      <c r="G2" s="9" t="s">
        <v>346</v>
      </c>
    </row>
    <row r="3" spans="1:14" x14ac:dyDescent="0.25">
      <c r="B3" t="s">
        <v>343</v>
      </c>
      <c r="C3" s="29">
        <v>0.2</v>
      </c>
      <c r="G3" s="77"/>
      <c r="H3" s="77"/>
      <c r="I3" s="77"/>
      <c r="J3" s="77"/>
      <c r="K3" s="77"/>
      <c r="L3" s="77"/>
      <c r="M3" s="77"/>
      <c r="N3" s="77"/>
    </row>
    <row r="4" spans="1:14" x14ac:dyDescent="0.25">
      <c r="B4" t="s">
        <v>344</v>
      </c>
      <c r="C4" s="76">
        <v>5</v>
      </c>
      <c r="G4" s="77"/>
      <c r="H4" s="77"/>
      <c r="I4" s="77"/>
      <c r="J4" s="77"/>
      <c r="K4" s="77"/>
      <c r="L4" s="77"/>
      <c r="M4" s="77"/>
      <c r="N4" s="77"/>
    </row>
    <row r="5" spans="1:14" x14ac:dyDescent="0.25">
      <c r="G5" s="77"/>
      <c r="H5" s="77"/>
      <c r="I5" s="77"/>
      <c r="J5" s="77"/>
      <c r="K5" s="77"/>
      <c r="L5" s="77"/>
      <c r="M5" s="77"/>
      <c r="N5" s="77"/>
    </row>
    <row r="6" spans="1:14" x14ac:dyDescent="0.25">
      <c r="B6" s="80" t="s">
        <v>49</v>
      </c>
      <c r="C6" s="80" t="s">
        <v>331</v>
      </c>
      <c r="D6" s="80" t="s">
        <v>332</v>
      </c>
      <c r="E6" s="80" t="s">
        <v>333</v>
      </c>
      <c r="G6" s="77"/>
      <c r="H6" s="77"/>
      <c r="I6" s="77"/>
      <c r="J6" s="77"/>
      <c r="K6" s="77"/>
      <c r="L6" s="77"/>
      <c r="M6" s="77"/>
      <c r="N6" s="77"/>
    </row>
    <row r="7" spans="1:14" x14ac:dyDescent="0.25">
      <c r="B7" t="s">
        <v>356</v>
      </c>
      <c r="C7" s="25">
        <f>D7-$C$2*D7</f>
        <v>53.076923076923073</v>
      </c>
      <c r="D7" s="25">
        <f>IFERROR(AVERAGE(tbl_prod_oil[Oil Price (USD/BBL)]),0)</f>
        <v>66.34615384615384</v>
      </c>
      <c r="E7" s="25">
        <f>D7+$C$3*D7</f>
        <v>79.615384615384613</v>
      </c>
      <c r="G7" s="77"/>
      <c r="H7" s="77"/>
      <c r="I7" s="77"/>
      <c r="J7" s="77"/>
      <c r="K7" s="77"/>
      <c r="L7" s="77"/>
      <c r="M7" s="77"/>
      <c r="N7" s="77"/>
    </row>
    <row r="8" spans="1:14" x14ac:dyDescent="0.25">
      <c r="B8" t="s">
        <v>357</v>
      </c>
      <c r="C8" s="25">
        <f>D8-$C$2*D8</f>
        <v>56.923076923076927</v>
      </c>
      <c r="D8" s="25">
        <f>IFERROR(AVERAGE(tbl_prod_gas[GSA 1 Price (USD/MMBTU)]),0)</f>
        <v>71.15384615384616</v>
      </c>
      <c r="E8" s="25">
        <f>D8+$C$3*D8</f>
        <v>85.384615384615387</v>
      </c>
      <c r="G8" s="77"/>
      <c r="H8" s="77"/>
      <c r="I8" s="77"/>
      <c r="J8" s="77"/>
      <c r="K8" s="77"/>
      <c r="L8" s="77"/>
      <c r="M8" s="77"/>
      <c r="N8" s="77"/>
    </row>
    <row r="9" spans="1:14" x14ac:dyDescent="0.25">
      <c r="B9" t="s">
        <v>226</v>
      </c>
      <c r="C9" s="25">
        <f>D9-$C$2*D9</f>
        <v>580.79999999999995</v>
      </c>
      <c r="D9" s="25">
        <f>SUM(tbl_cost_opex[Fixed Cost (MUSD)])</f>
        <v>726</v>
      </c>
      <c r="E9" s="25">
        <f>D9+$C$3*D9</f>
        <v>871.2</v>
      </c>
      <c r="G9" s="77"/>
      <c r="H9" s="77"/>
      <c r="I9" s="77"/>
      <c r="J9" s="77"/>
      <c r="K9" s="77"/>
      <c r="L9" s="77"/>
      <c r="M9" s="77"/>
      <c r="N9" s="77"/>
    </row>
    <row r="10" spans="1:14" x14ac:dyDescent="0.25">
      <c r="B10" t="s">
        <v>252</v>
      </c>
      <c r="C10" s="25">
        <f>D10-$C$2*D10</f>
        <v>680.8</v>
      </c>
      <c r="D10" s="25">
        <f>SUM(tbl_cost_tangible[Cost (MUSD)])</f>
        <v>851</v>
      </c>
      <c r="E10" s="25">
        <f>D10+$C$3*D10</f>
        <v>1021.2</v>
      </c>
      <c r="G10" s="77"/>
      <c r="H10" s="77"/>
      <c r="I10" s="77"/>
      <c r="J10" s="77"/>
      <c r="K10" s="77"/>
      <c r="L10" s="77"/>
      <c r="M10" s="77"/>
      <c r="N10" s="77"/>
    </row>
    <row r="11" spans="1:14" x14ac:dyDescent="0.25">
      <c r="B11" t="s">
        <v>358</v>
      </c>
      <c r="C11" s="25">
        <f>D11-$C$2*D11</f>
        <v>1430</v>
      </c>
      <c r="D11" s="25">
        <f>SUM(tbl_prod_oil[Oil Sales (MMBOPY)]) + SUM(tbl_prod_gas[Gas Production (BSCF)])</f>
        <v>1787.5</v>
      </c>
      <c r="E11" s="25">
        <f>D11+$C$3*D11</f>
        <v>2145</v>
      </c>
      <c r="G11" s="77"/>
      <c r="H11" s="77"/>
      <c r="I11" s="77"/>
      <c r="J11" s="77"/>
      <c r="K11" s="77"/>
      <c r="L11" s="77"/>
      <c r="M11" s="77"/>
      <c r="N11" s="77"/>
    </row>
    <row r="12" spans="1:14" x14ac:dyDescent="0.25">
      <c r="G12" s="77"/>
      <c r="H12" s="77"/>
      <c r="I12" s="77"/>
      <c r="J12" s="77"/>
      <c r="K12" s="77"/>
      <c r="L12" s="77"/>
      <c r="M12" s="77"/>
      <c r="N12" s="77"/>
    </row>
    <row r="13" spans="1:14" x14ac:dyDescent="0.25">
      <c r="G13" s="77"/>
      <c r="H13" s="77"/>
      <c r="I13" s="77"/>
      <c r="J13" s="77"/>
      <c r="K13" s="77"/>
      <c r="L13" s="77"/>
      <c r="M13" s="77"/>
      <c r="N13" s="77"/>
    </row>
    <row r="14" spans="1:14" x14ac:dyDescent="0.25">
      <c r="G14" s="77"/>
      <c r="H14" s="77"/>
      <c r="I14" s="77"/>
      <c r="J14" s="77"/>
      <c r="K14" s="77"/>
      <c r="L14" s="77"/>
      <c r="M14" s="77"/>
      <c r="N14" s="77"/>
    </row>
    <row r="15" spans="1:14" x14ac:dyDescent="0.25"/>
    <row r="16" spans="1:14" x14ac:dyDescent="0.25">
      <c r="G16" s="9" t="s">
        <v>336</v>
      </c>
    </row>
    <row r="17" spans="7:14" x14ac:dyDescent="0.25">
      <c r="G17" s="77"/>
      <c r="H17" s="77"/>
      <c r="I17" s="77"/>
      <c r="J17" s="77"/>
      <c r="K17" s="77"/>
      <c r="L17" s="77"/>
      <c r="M17" s="77"/>
      <c r="N17" s="77"/>
    </row>
    <row r="18" spans="7:14" x14ac:dyDescent="0.25">
      <c r="G18" s="77"/>
      <c r="H18" s="77"/>
      <c r="I18" s="77"/>
      <c r="J18" s="77"/>
      <c r="K18" s="77"/>
      <c r="L18" s="77"/>
      <c r="M18" s="77"/>
      <c r="N18" s="77"/>
    </row>
    <row r="19" spans="7:14" x14ac:dyDescent="0.25">
      <c r="G19" s="77"/>
      <c r="H19" s="77"/>
      <c r="I19" s="77"/>
      <c r="J19" s="77"/>
      <c r="K19" s="77"/>
      <c r="L19" s="77"/>
      <c r="M19" s="77"/>
      <c r="N19" s="77"/>
    </row>
    <row r="20" spans="7:14" x14ac:dyDescent="0.25">
      <c r="G20" s="77"/>
      <c r="H20" s="77"/>
      <c r="I20" s="77"/>
      <c r="J20" s="77"/>
      <c r="K20" s="77"/>
      <c r="L20" s="77"/>
      <c r="M20" s="77"/>
      <c r="N20" s="77"/>
    </row>
    <row r="21" spans="7:14" x14ac:dyDescent="0.25">
      <c r="G21" s="77"/>
      <c r="H21" s="77"/>
      <c r="I21" s="77"/>
      <c r="J21" s="77"/>
      <c r="K21" s="77"/>
      <c r="L21" s="77"/>
      <c r="M21" s="77"/>
      <c r="N21" s="77"/>
    </row>
    <row r="22" spans="7:14" x14ac:dyDescent="0.25">
      <c r="G22" s="77"/>
      <c r="H22" s="77"/>
      <c r="I22" s="77"/>
      <c r="J22" s="77"/>
      <c r="K22" s="77"/>
      <c r="L22" s="77"/>
      <c r="M22" s="77"/>
      <c r="N22" s="77"/>
    </row>
    <row r="23" spans="7:14" x14ac:dyDescent="0.25">
      <c r="G23" s="77"/>
      <c r="H23" s="77"/>
      <c r="I23" s="77"/>
      <c r="J23" s="77"/>
      <c r="K23" s="77"/>
      <c r="L23" s="77"/>
      <c r="M23" s="77"/>
      <c r="N23" s="77"/>
    </row>
    <row r="24" spans="7:14" x14ac:dyDescent="0.25">
      <c r="G24" s="77"/>
      <c r="H24" s="77"/>
      <c r="I24" s="77"/>
      <c r="J24" s="77"/>
      <c r="K24" s="77"/>
      <c r="L24" s="77"/>
      <c r="M24" s="77"/>
      <c r="N24" s="77"/>
    </row>
    <row r="25" spans="7:14" x14ac:dyDescent="0.25">
      <c r="G25" s="77"/>
      <c r="H25" s="77"/>
      <c r="I25" s="77"/>
      <c r="J25" s="77"/>
      <c r="K25" s="77"/>
      <c r="L25" s="77"/>
      <c r="M25" s="77"/>
      <c r="N25" s="77"/>
    </row>
    <row r="26" spans="7:14" x14ac:dyDescent="0.25">
      <c r="G26" s="77"/>
      <c r="H26" s="77"/>
      <c r="I26" s="77"/>
      <c r="J26" s="77"/>
      <c r="K26" s="77"/>
      <c r="L26" s="77"/>
      <c r="M26" s="77"/>
      <c r="N26" s="77"/>
    </row>
    <row r="27" spans="7:14" x14ac:dyDescent="0.25">
      <c r="G27" s="77"/>
      <c r="H27" s="77"/>
      <c r="I27" s="77"/>
      <c r="J27" s="77"/>
      <c r="K27" s="77"/>
      <c r="L27" s="77"/>
      <c r="M27" s="77"/>
      <c r="N27" s="77"/>
    </row>
    <row r="28" spans="7:14" x14ac:dyDescent="0.25">
      <c r="G28" s="77"/>
      <c r="H28" s="77"/>
      <c r="I28" s="77"/>
      <c r="J28" s="77"/>
      <c r="K28" s="77"/>
      <c r="L28" s="77"/>
      <c r="M28" s="77"/>
      <c r="N28" s="77"/>
    </row>
    <row r="29" spans="7:14" x14ac:dyDescent="0.25"/>
    <row r="30" spans="7:14" x14ac:dyDescent="0.25">
      <c r="G30" s="9" t="s">
        <v>347</v>
      </c>
    </row>
    <row r="31" spans="7:14" x14ac:dyDescent="0.25">
      <c r="G31" s="77"/>
      <c r="H31" s="77"/>
      <c r="I31" s="77"/>
      <c r="J31" s="77"/>
      <c r="K31" s="77"/>
      <c r="L31" s="77"/>
      <c r="M31" s="77"/>
      <c r="N31" s="77"/>
    </row>
    <row r="32" spans="7:14" x14ac:dyDescent="0.25">
      <c r="G32" s="77"/>
      <c r="H32" s="77"/>
      <c r="I32" s="77"/>
      <c r="J32" s="77"/>
      <c r="K32" s="77"/>
      <c r="L32" s="77"/>
      <c r="M32" s="77"/>
      <c r="N32" s="77"/>
    </row>
    <row r="33" spans="7:14" x14ac:dyDescent="0.25">
      <c r="G33" s="77"/>
      <c r="H33" s="77"/>
      <c r="I33" s="77"/>
      <c r="J33" s="77"/>
      <c r="K33" s="77"/>
      <c r="L33" s="77"/>
      <c r="M33" s="77"/>
      <c r="N33" s="77"/>
    </row>
    <row r="34" spans="7:14" x14ac:dyDescent="0.25">
      <c r="G34" s="77"/>
      <c r="H34" s="77"/>
      <c r="I34" s="77"/>
      <c r="J34" s="77"/>
      <c r="K34" s="77"/>
      <c r="L34" s="77"/>
      <c r="M34" s="77"/>
      <c r="N34" s="77"/>
    </row>
    <row r="35" spans="7:14" x14ac:dyDescent="0.25">
      <c r="G35" s="77"/>
      <c r="H35" s="77"/>
      <c r="I35" s="77"/>
      <c r="J35" s="77"/>
      <c r="K35" s="77"/>
      <c r="L35" s="77"/>
      <c r="M35" s="77"/>
      <c r="N35" s="77"/>
    </row>
    <row r="36" spans="7:14" x14ac:dyDescent="0.25">
      <c r="G36" s="77"/>
      <c r="H36" s="77"/>
      <c r="I36" s="77"/>
      <c r="J36" s="77"/>
      <c r="K36" s="77"/>
      <c r="L36" s="77"/>
      <c r="M36" s="77"/>
      <c r="N36" s="77"/>
    </row>
    <row r="37" spans="7:14" x14ac:dyDescent="0.25">
      <c r="G37" s="77"/>
      <c r="H37" s="77"/>
      <c r="I37" s="77"/>
      <c r="J37" s="77"/>
      <c r="K37" s="77"/>
      <c r="L37" s="77"/>
      <c r="M37" s="77"/>
      <c r="N37" s="77"/>
    </row>
    <row r="38" spans="7:14" x14ac:dyDescent="0.25">
      <c r="G38" s="77"/>
      <c r="H38" s="77"/>
      <c r="I38" s="77"/>
      <c r="J38" s="77"/>
      <c r="K38" s="77"/>
      <c r="L38" s="77"/>
      <c r="M38" s="77"/>
      <c r="N38" s="77"/>
    </row>
    <row r="39" spans="7:14" x14ac:dyDescent="0.25">
      <c r="G39" s="77"/>
      <c r="H39" s="77"/>
      <c r="I39" s="77"/>
      <c r="J39" s="77"/>
      <c r="K39" s="77"/>
      <c r="L39" s="77"/>
      <c r="M39" s="77"/>
      <c r="N39" s="77"/>
    </row>
    <row r="40" spans="7:14" x14ac:dyDescent="0.25">
      <c r="G40" s="77"/>
      <c r="H40" s="77"/>
      <c r="I40" s="77"/>
      <c r="J40" s="77"/>
      <c r="K40" s="77"/>
      <c r="L40" s="77"/>
      <c r="M40" s="77"/>
      <c r="N40" s="77"/>
    </row>
    <row r="41" spans="7:14" x14ac:dyDescent="0.25">
      <c r="G41" s="77"/>
      <c r="H41" s="77"/>
      <c r="I41" s="77"/>
      <c r="J41" s="77"/>
      <c r="K41" s="77"/>
      <c r="L41" s="77"/>
      <c r="M41" s="77"/>
      <c r="N41" s="77"/>
    </row>
    <row r="42" spans="7:14" x14ac:dyDescent="0.25">
      <c r="G42" s="77"/>
      <c r="H42" s="77"/>
      <c r="I42" s="77"/>
      <c r="J42" s="77"/>
      <c r="K42" s="77"/>
      <c r="L42" s="77"/>
      <c r="M42" s="77"/>
      <c r="N42" s="77"/>
    </row>
    <row r="43" spans="7:14" x14ac:dyDescent="0.25"/>
    <row r="44" spans="7:14" x14ac:dyDescent="0.25">
      <c r="G44" s="9" t="s">
        <v>321</v>
      </c>
    </row>
    <row r="45" spans="7:14" x14ac:dyDescent="0.25">
      <c r="G45" s="77"/>
      <c r="H45" s="77"/>
      <c r="I45" s="77"/>
      <c r="J45" s="77"/>
      <c r="K45" s="77"/>
      <c r="L45" s="77"/>
      <c r="M45" s="77"/>
      <c r="N45" s="77"/>
    </row>
    <row r="46" spans="7:14" x14ac:dyDescent="0.25">
      <c r="G46" s="77"/>
      <c r="H46" s="77"/>
      <c r="I46" s="77"/>
      <c r="J46" s="77"/>
      <c r="K46" s="77"/>
      <c r="L46" s="77"/>
      <c r="M46" s="77"/>
      <c r="N46" s="77"/>
    </row>
    <row r="47" spans="7:14" x14ac:dyDescent="0.25">
      <c r="G47" s="77"/>
      <c r="H47" s="77"/>
      <c r="I47" s="77"/>
      <c r="J47" s="77"/>
      <c r="K47" s="77"/>
      <c r="L47" s="77"/>
      <c r="M47" s="77"/>
      <c r="N47" s="77"/>
    </row>
    <row r="48" spans="7:14" x14ac:dyDescent="0.25">
      <c r="G48" s="77"/>
      <c r="H48" s="77"/>
      <c r="I48" s="77"/>
      <c r="J48" s="77"/>
      <c r="K48" s="77"/>
      <c r="L48" s="77"/>
      <c r="M48" s="77"/>
      <c r="N48" s="77"/>
    </row>
    <row r="49" spans="7:14" x14ac:dyDescent="0.25">
      <c r="G49" s="77"/>
      <c r="H49" s="77"/>
      <c r="I49" s="77"/>
      <c r="J49" s="77"/>
      <c r="K49" s="77"/>
      <c r="L49" s="77"/>
      <c r="M49" s="77"/>
      <c r="N49" s="77"/>
    </row>
    <row r="50" spans="7:14" x14ac:dyDescent="0.25">
      <c r="G50" s="77"/>
      <c r="H50" s="77"/>
      <c r="I50" s="77"/>
      <c r="J50" s="77"/>
      <c r="K50" s="77"/>
      <c r="L50" s="77"/>
      <c r="M50" s="77"/>
      <c r="N50" s="77"/>
    </row>
    <row r="51" spans="7:14" x14ac:dyDescent="0.25">
      <c r="G51" s="77"/>
      <c r="H51" s="77"/>
      <c r="I51" s="77"/>
      <c r="J51" s="77"/>
      <c r="K51" s="77"/>
      <c r="L51" s="77"/>
      <c r="M51" s="77"/>
      <c r="N51" s="77"/>
    </row>
    <row r="52" spans="7:14" x14ac:dyDescent="0.25">
      <c r="G52" s="77"/>
      <c r="H52" s="77"/>
      <c r="I52" s="77"/>
      <c r="J52" s="77"/>
      <c r="K52" s="77"/>
      <c r="L52" s="77"/>
      <c r="M52" s="77"/>
      <c r="N52" s="77"/>
    </row>
    <row r="53" spans="7:14" x14ac:dyDescent="0.25">
      <c r="G53" s="77"/>
      <c r="H53" s="77"/>
      <c r="I53" s="77"/>
      <c r="J53" s="77"/>
      <c r="K53" s="77"/>
      <c r="L53" s="77"/>
      <c r="M53" s="77"/>
      <c r="N53" s="77"/>
    </row>
    <row r="54" spans="7:14" x14ac:dyDescent="0.25">
      <c r="G54" s="77"/>
      <c r="H54" s="77"/>
      <c r="I54" s="77"/>
      <c r="J54" s="77"/>
      <c r="K54" s="77"/>
      <c r="L54" s="77"/>
      <c r="M54" s="77"/>
      <c r="N54" s="77"/>
    </row>
    <row r="55" spans="7:14" x14ac:dyDescent="0.25">
      <c r="G55" s="77"/>
      <c r="H55" s="77"/>
      <c r="I55" s="77"/>
      <c r="J55" s="77"/>
      <c r="K55" s="77"/>
      <c r="L55" s="77"/>
      <c r="M55" s="77"/>
      <c r="N55" s="77"/>
    </row>
    <row r="56" spans="7:14" x14ac:dyDescent="0.25">
      <c r="G56" s="77"/>
      <c r="H56" s="77"/>
      <c r="I56" s="77"/>
      <c r="J56" s="77"/>
      <c r="K56" s="77"/>
      <c r="L56" s="77"/>
      <c r="M56" s="77"/>
      <c r="N56" s="77"/>
    </row>
    <row r="57" spans="7:14" x14ac:dyDescent="0.25"/>
    <row r="58" spans="7:14" x14ac:dyDescent="0.25">
      <c r="G58" s="9" t="s">
        <v>300</v>
      </c>
    </row>
    <row r="59" spans="7:14" x14ac:dyDescent="0.25">
      <c r="G59" s="77"/>
      <c r="H59" s="77"/>
      <c r="I59" s="77"/>
      <c r="J59" s="77"/>
      <c r="K59" s="77"/>
      <c r="L59" s="77"/>
      <c r="M59" s="77"/>
      <c r="N59" s="77"/>
    </row>
    <row r="60" spans="7:14" x14ac:dyDescent="0.25">
      <c r="G60" s="77"/>
      <c r="H60" s="77"/>
      <c r="I60" s="77"/>
      <c r="J60" s="77"/>
      <c r="K60" s="77"/>
      <c r="L60" s="77"/>
      <c r="M60" s="77"/>
      <c r="N60" s="77"/>
    </row>
    <row r="61" spans="7:14" x14ac:dyDescent="0.25">
      <c r="G61" s="77"/>
      <c r="H61" s="77"/>
      <c r="I61" s="77"/>
      <c r="J61" s="77"/>
      <c r="K61" s="77"/>
      <c r="L61" s="77"/>
      <c r="M61" s="77"/>
      <c r="N61" s="77"/>
    </row>
    <row r="62" spans="7:14" x14ac:dyDescent="0.25">
      <c r="G62" s="77"/>
      <c r="H62" s="77"/>
      <c r="I62" s="77"/>
      <c r="J62" s="77"/>
      <c r="K62" s="77"/>
      <c r="L62" s="77"/>
      <c r="M62" s="77"/>
      <c r="N62" s="77"/>
    </row>
    <row r="63" spans="7:14" x14ac:dyDescent="0.25">
      <c r="G63" s="77"/>
      <c r="H63" s="77"/>
      <c r="I63" s="77"/>
      <c r="J63" s="77"/>
      <c r="K63" s="77"/>
      <c r="L63" s="77"/>
      <c r="M63" s="77"/>
      <c r="N63" s="77"/>
    </row>
    <row r="64" spans="7:14" x14ac:dyDescent="0.25">
      <c r="G64" s="77"/>
      <c r="H64" s="77"/>
      <c r="I64" s="77"/>
      <c r="J64" s="77"/>
      <c r="K64" s="77"/>
      <c r="L64" s="77"/>
      <c r="M64" s="77"/>
      <c r="N64" s="77"/>
    </row>
    <row r="65" spans="7:14" x14ac:dyDescent="0.25">
      <c r="G65" s="77"/>
      <c r="H65" s="77"/>
      <c r="I65" s="77"/>
      <c r="J65" s="77"/>
      <c r="K65" s="77"/>
      <c r="L65" s="77"/>
      <c r="M65" s="77"/>
      <c r="N65" s="77"/>
    </row>
    <row r="66" spans="7:14" x14ac:dyDescent="0.25">
      <c r="G66" s="77"/>
      <c r="H66" s="77"/>
      <c r="I66" s="77"/>
      <c r="J66" s="77"/>
      <c r="K66" s="77"/>
      <c r="L66" s="77"/>
      <c r="M66" s="77"/>
      <c r="N66" s="77"/>
    </row>
    <row r="67" spans="7:14" x14ac:dyDescent="0.25">
      <c r="G67" s="77"/>
      <c r="H67" s="77"/>
      <c r="I67" s="77"/>
      <c r="J67" s="77"/>
      <c r="K67" s="77"/>
      <c r="L67" s="77"/>
      <c r="M67" s="77"/>
      <c r="N67" s="77"/>
    </row>
    <row r="68" spans="7:14" x14ac:dyDescent="0.25">
      <c r="G68" s="77"/>
      <c r="H68" s="77"/>
      <c r="I68" s="77"/>
      <c r="J68" s="77"/>
      <c r="K68" s="77"/>
      <c r="L68" s="77"/>
      <c r="M68" s="77"/>
      <c r="N68" s="77"/>
    </row>
    <row r="69" spans="7:14" x14ac:dyDescent="0.25">
      <c r="G69" s="77"/>
      <c r="H69" s="77"/>
      <c r="I69" s="77"/>
      <c r="J69" s="77"/>
      <c r="K69" s="77"/>
      <c r="L69" s="77"/>
      <c r="M69" s="77"/>
      <c r="N69" s="77"/>
    </row>
    <row r="70" spans="7:14" x14ac:dyDescent="0.25">
      <c r="G70" s="77"/>
      <c r="H70" s="77"/>
      <c r="I70" s="77"/>
      <c r="J70" s="77"/>
      <c r="K70" s="77"/>
      <c r="L70" s="77"/>
      <c r="M70" s="77"/>
      <c r="N70" s="77"/>
    </row>
    <row r="71" spans="7:14"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B21" sqref="B21"/>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8.7109375" bestFit="1" customWidth="1"/>
    <col min="12" max="16384" width="8.85546875" hidden="1"/>
  </cols>
  <sheetData>
    <row r="1" spans="1:11" x14ac:dyDescent="0.25">
      <c r="A1" s="68" t="s">
        <v>0</v>
      </c>
      <c r="B1" s="68" t="s">
        <v>17</v>
      </c>
      <c r="C1" s="68" t="s">
        <v>18</v>
      </c>
      <c r="D1" s="68" t="s">
        <v>22</v>
      </c>
      <c r="E1" s="68" t="s">
        <v>23</v>
      </c>
      <c r="F1" s="68" t="s">
        <v>24</v>
      </c>
      <c r="G1" s="68" t="s">
        <v>262</v>
      </c>
      <c r="H1" s="68" t="s">
        <v>25</v>
      </c>
      <c r="I1" s="68" t="s">
        <v>266</v>
      </c>
      <c r="J1" s="68" t="s">
        <v>263</v>
      </c>
      <c r="K1" s="68" t="s">
        <v>251</v>
      </c>
    </row>
    <row r="2" spans="1:11" x14ac:dyDescent="0.25">
      <c r="A2" s="25">
        <v>2023</v>
      </c>
      <c r="B2" s="25" t="s">
        <v>303</v>
      </c>
      <c r="C2" s="25">
        <v>100</v>
      </c>
      <c r="D2" s="25">
        <v>2023</v>
      </c>
      <c r="E2" s="25">
        <v>5</v>
      </c>
      <c r="F2" s="25">
        <v>0.5</v>
      </c>
      <c r="G2" s="25">
        <v>0</v>
      </c>
      <c r="H2" s="25" t="s">
        <v>118</v>
      </c>
      <c r="I2" s="25">
        <v>1</v>
      </c>
      <c r="J2" s="25">
        <v>1</v>
      </c>
      <c r="K2" s="25"/>
    </row>
    <row r="3" spans="1:11" x14ac:dyDescent="0.25">
      <c r="A3" s="25">
        <v>2023</v>
      </c>
      <c r="B3" s="25" t="s">
        <v>303</v>
      </c>
      <c r="C3" s="25">
        <v>100</v>
      </c>
      <c r="D3" s="25">
        <v>2023</v>
      </c>
      <c r="E3" s="25">
        <v>5</v>
      </c>
      <c r="F3" s="25">
        <v>0.5</v>
      </c>
      <c r="G3" s="25">
        <v>0</v>
      </c>
      <c r="H3" s="25" t="s">
        <v>118</v>
      </c>
      <c r="I3" s="25">
        <v>1</v>
      </c>
      <c r="J3" s="25">
        <v>1</v>
      </c>
      <c r="K3" s="25"/>
    </row>
    <row r="4" spans="1:11" x14ac:dyDescent="0.25">
      <c r="A4" s="25">
        <v>2025</v>
      </c>
      <c r="B4" s="25" t="s">
        <v>303</v>
      </c>
      <c r="C4" s="25">
        <v>100</v>
      </c>
      <c r="D4" s="25">
        <v>2025</v>
      </c>
      <c r="E4" s="25">
        <v>5</v>
      </c>
      <c r="F4" s="25">
        <v>0.5</v>
      </c>
      <c r="G4" s="25">
        <v>0</v>
      </c>
      <c r="H4" s="25" t="s">
        <v>118</v>
      </c>
      <c r="I4" s="25">
        <v>1</v>
      </c>
      <c r="J4" s="25">
        <v>1</v>
      </c>
      <c r="K4" s="25"/>
    </row>
    <row r="5" spans="1:11" x14ac:dyDescent="0.25">
      <c r="A5" s="25">
        <v>2025</v>
      </c>
      <c r="B5" s="25" t="s">
        <v>303</v>
      </c>
      <c r="C5" s="25">
        <v>100</v>
      </c>
      <c r="D5" s="25">
        <v>2025</v>
      </c>
      <c r="E5" s="25">
        <v>5</v>
      </c>
      <c r="F5" s="25">
        <v>0.5</v>
      </c>
      <c r="G5" s="25">
        <v>0</v>
      </c>
      <c r="H5" s="25" t="s">
        <v>118</v>
      </c>
      <c r="I5" s="25">
        <v>1</v>
      </c>
      <c r="J5" s="25">
        <v>1</v>
      </c>
      <c r="K5" s="25"/>
    </row>
    <row r="6" spans="1:11" x14ac:dyDescent="0.25">
      <c r="A6" s="25">
        <v>2030</v>
      </c>
      <c r="B6" s="25" t="s">
        <v>304</v>
      </c>
      <c r="C6" s="25">
        <v>25</v>
      </c>
      <c r="D6" s="25">
        <v>2030</v>
      </c>
      <c r="E6" s="25">
        <v>5</v>
      </c>
      <c r="F6" s="25">
        <v>0.5</v>
      </c>
      <c r="G6" s="25">
        <v>0</v>
      </c>
      <c r="H6" s="25" t="s">
        <v>118</v>
      </c>
      <c r="I6" s="25">
        <v>1</v>
      </c>
      <c r="J6" s="25">
        <v>1</v>
      </c>
      <c r="K6" s="25"/>
    </row>
    <row r="7" spans="1:11" x14ac:dyDescent="0.25">
      <c r="A7" s="25">
        <v>2030</v>
      </c>
      <c r="B7" s="25" t="s">
        <v>304</v>
      </c>
      <c r="C7" s="25">
        <v>25</v>
      </c>
      <c r="D7" s="25">
        <v>2030</v>
      </c>
      <c r="E7" s="25">
        <v>5</v>
      </c>
      <c r="F7" s="25">
        <v>0.5</v>
      </c>
      <c r="G7" s="25">
        <v>0</v>
      </c>
      <c r="H7" s="25" t="s">
        <v>118</v>
      </c>
      <c r="I7" s="25">
        <v>1</v>
      </c>
      <c r="J7" s="25">
        <v>1</v>
      </c>
      <c r="K7" s="25"/>
    </row>
    <row r="8" spans="1:11" x14ac:dyDescent="0.25">
      <c r="A8" s="25">
        <v>2031</v>
      </c>
      <c r="B8" s="25" t="s">
        <v>303</v>
      </c>
      <c r="C8" s="25">
        <v>67</v>
      </c>
      <c r="D8" s="25">
        <v>2031</v>
      </c>
      <c r="E8" s="25">
        <v>5</v>
      </c>
      <c r="F8" s="25">
        <v>0.5</v>
      </c>
      <c r="G8" s="25">
        <v>0</v>
      </c>
      <c r="H8" s="25" t="s">
        <v>118</v>
      </c>
      <c r="I8" s="25">
        <v>1</v>
      </c>
      <c r="J8" s="25">
        <v>1</v>
      </c>
      <c r="K8" s="25"/>
    </row>
    <row r="9" spans="1:11" x14ac:dyDescent="0.25">
      <c r="A9" s="25">
        <v>2035</v>
      </c>
      <c r="B9" s="25" t="s">
        <v>303</v>
      </c>
      <c r="C9" s="25">
        <v>50</v>
      </c>
      <c r="D9" s="25">
        <v>2035</v>
      </c>
      <c r="E9" s="25">
        <v>5</v>
      </c>
      <c r="F9" s="25">
        <v>0.5</v>
      </c>
      <c r="G9" s="25">
        <v>0</v>
      </c>
      <c r="H9" s="25" t="s">
        <v>118</v>
      </c>
      <c r="I9" s="25">
        <v>1</v>
      </c>
      <c r="J9" s="25">
        <v>1</v>
      </c>
      <c r="K9" s="25"/>
    </row>
    <row r="10" spans="1:11" x14ac:dyDescent="0.25">
      <c r="A10" s="25">
        <v>2030</v>
      </c>
      <c r="B10" s="25" t="s">
        <v>304</v>
      </c>
      <c r="C10" s="25">
        <v>25</v>
      </c>
      <c r="D10" s="25">
        <v>2030</v>
      </c>
      <c r="E10" s="25">
        <v>5</v>
      </c>
      <c r="F10" s="25">
        <v>0.5</v>
      </c>
      <c r="G10" s="25">
        <v>0</v>
      </c>
      <c r="H10" s="25" t="s">
        <v>118</v>
      </c>
      <c r="I10" s="25">
        <v>1</v>
      </c>
      <c r="J10" s="25">
        <v>1</v>
      </c>
      <c r="K10" s="25"/>
    </row>
    <row r="11" spans="1:11" x14ac:dyDescent="0.25">
      <c r="A11" s="25">
        <v>2030</v>
      </c>
      <c r="B11" s="25" t="s">
        <v>304</v>
      </c>
      <c r="C11" s="25">
        <v>25</v>
      </c>
      <c r="D11" s="25">
        <v>2030</v>
      </c>
      <c r="E11" s="25">
        <v>5</v>
      </c>
      <c r="F11" s="25">
        <v>0.5</v>
      </c>
      <c r="G11" s="25">
        <v>0</v>
      </c>
      <c r="H11" s="25" t="s">
        <v>118</v>
      </c>
      <c r="I11" s="25">
        <v>1</v>
      </c>
      <c r="J11" s="25">
        <v>1</v>
      </c>
      <c r="K11" s="25"/>
    </row>
    <row r="12" spans="1:11" x14ac:dyDescent="0.25">
      <c r="A12" s="25">
        <v>2031</v>
      </c>
      <c r="B12" s="25" t="s">
        <v>303</v>
      </c>
      <c r="C12" s="25">
        <v>67</v>
      </c>
      <c r="D12" s="25">
        <v>2031</v>
      </c>
      <c r="E12" s="25">
        <v>5</v>
      </c>
      <c r="F12" s="25">
        <v>0.5</v>
      </c>
      <c r="G12" s="25">
        <v>0</v>
      </c>
      <c r="H12" s="25" t="s">
        <v>118</v>
      </c>
      <c r="I12" s="25">
        <v>1</v>
      </c>
      <c r="J12" s="25">
        <v>1</v>
      </c>
      <c r="K12" s="25"/>
    </row>
    <row r="13" spans="1:11" x14ac:dyDescent="0.25">
      <c r="A13" s="25">
        <v>2031</v>
      </c>
      <c r="B13" s="25" t="s">
        <v>303</v>
      </c>
      <c r="C13" s="25">
        <v>67</v>
      </c>
      <c r="D13" s="25">
        <v>2031</v>
      </c>
      <c r="E13" s="25">
        <v>5</v>
      </c>
      <c r="F13" s="25">
        <v>0.5</v>
      </c>
      <c r="G13" s="25">
        <v>0</v>
      </c>
      <c r="H13" s="25" t="s">
        <v>118</v>
      </c>
      <c r="I13" s="25">
        <v>1</v>
      </c>
      <c r="J13" s="25">
        <v>1</v>
      </c>
      <c r="K13" s="25"/>
    </row>
    <row r="14" spans="1:11" x14ac:dyDescent="0.25">
      <c r="A14" s="25">
        <v>2035</v>
      </c>
      <c r="B14" s="25" t="s">
        <v>303</v>
      </c>
      <c r="C14" s="25">
        <v>50</v>
      </c>
      <c r="D14" s="25">
        <v>2035</v>
      </c>
      <c r="E14" s="25">
        <v>5</v>
      </c>
      <c r="F14" s="25">
        <v>0.5</v>
      </c>
      <c r="G14" s="25">
        <v>0</v>
      </c>
      <c r="H14" s="25" t="s">
        <v>118</v>
      </c>
      <c r="I14" s="25">
        <v>1</v>
      </c>
      <c r="J14" s="25">
        <v>1</v>
      </c>
      <c r="K14" s="25"/>
    </row>
    <row r="15" spans="1:11" x14ac:dyDescent="0.25">
      <c r="A15" s="25">
        <v>2035</v>
      </c>
      <c r="B15" s="25" t="s">
        <v>303</v>
      </c>
      <c r="C15" s="25">
        <v>50</v>
      </c>
      <c r="D15" s="25">
        <v>2035</v>
      </c>
      <c r="E15" s="25">
        <v>5</v>
      </c>
      <c r="F15" s="25">
        <v>0.5</v>
      </c>
      <c r="G15" s="25">
        <v>0</v>
      </c>
      <c r="H15" s="25" t="s">
        <v>118</v>
      </c>
      <c r="I15" s="25">
        <v>1</v>
      </c>
      <c r="J15" s="25">
        <v>1</v>
      </c>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5 D9: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D6:D8"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C20" sqref="C20"/>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68" t="s">
        <v>0</v>
      </c>
      <c r="B1" s="68" t="s">
        <v>17</v>
      </c>
      <c r="C1" s="68" t="s">
        <v>267</v>
      </c>
      <c r="D1" s="68" t="s">
        <v>268</v>
      </c>
      <c r="E1" s="68" t="s">
        <v>269</v>
      </c>
      <c r="F1" s="68" t="s">
        <v>266</v>
      </c>
      <c r="G1" s="68" t="s">
        <v>263</v>
      </c>
      <c r="H1" s="68" t="s">
        <v>251</v>
      </c>
    </row>
    <row r="2" spans="1:8" x14ac:dyDescent="0.25">
      <c r="A2" s="25">
        <v>2023</v>
      </c>
      <c r="B2" s="25" t="s">
        <v>303</v>
      </c>
      <c r="C2" s="25">
        <v>100</v>
      </c>
      <c r="D2" s="25"/>
      <c r="E2" s="25"/>
      <c r="F2" s="25"/>
      <c r="G2" s="25"/>
      <c r="H2" s="25"/>
    </row>
    <row r="3" spans="1:8" x14ac:dyDescent="0.25">
      <c r="A3" s="25">
        <v>2023</v>
      </c>
      <c r="B3" s="25" t="s">
        <v>303</v>
      </c>
      <c r="C3" s="25">
        <v>100</v>
      </c>
      <c r="D3" s="25"/>
      <c r="E3" s="25"/>
      <c r="F3" s="25"/>
      <c r="G3" s="25"/>
      <c r="H3" s="25"/>
    </row>
    <row r="4" spans="1:8" x14ac:dyDescent="0.25">
      <c r="A4" s="25">
        <v>2025</v>
      </c>
      <c r="B4" s="25" t="s">
        <v>303</v>
      </c>
      <c r="C4" s="25">
        <v>100</v>
      </c>
      <c r="D4" s="25"/>
      <c r="E4" s="25"/>
      <c r="F4" s="25"/>
      <c r="G4" s="25"/>
      <c r="H4" s="25"/>
    </row>
    <row r="5" spans="1:8" x14ac:dyDescent="0.25">
      <c r="A5" s="25">
        <v>2025</v>
      </c>
      <c r="B5" s="25" t="s">
        <v>303</v>
      </c>
      <c r="C5" s="25">
        <v>100</v>
      </c>
      <c r="D5" s="25"/>
      <c r="E5" s="25"/>
      <c r="F5" s="25"/>
      <c r="G5" s="25"/>
      <c r="H5" s="25"/>
    </row>
    <row r="6" spans="1:8" x14ac:dyDescent="0.25">
      <c r="A6" s="25">
        <v>2030</v>
      </c>
      <c r="B6" s="25" t="s">
        <v>304</v>
      </c>
      <c r="C6" s="25">
        <v>25</v>
      </c>
      <c r="D6" s="25"/>
      <c r="E6" s="25"/>
      <c r="F6" s="25"/>
      <c r="G6" s="25"/>
      <c r="H6" s="25"/>
    </row>
    <row r="7" spans="1:8" x14ac:dyDescent="0.25">
      <c r="A7" s="25">
        <v>2030</v>
      </c>
      <c r="B7" s="25" t="s">
        <v>304</v>
      </c>
      <c r="C7" s="25">
        <v>25</v>
      </c>
      <c r="D7" s="25"/>
      <c r="E7" s="25"/>
      <c r="F7" s="25"/>
      <c r="G7" s="25"/>
      <c r="H7" s="25"/>
    </row>
    <row r="8" spans="1:8" x14ac:dyDescent="0.25">
      <c r="A8" s="25">
        <v>2031</v>
      </c>
      <c r="B8" s="25" t="s">
        <v>303</v>
      </c>
      <c r="C8" s="25">
        <v>67</v>
      </c>
      <c r="D8" s="25"/>
      <c r="E8" s="25"/>
      <c r="F8" s="25"/>
      <c r="G8" s="25"/>
      <c r="H8" s="25"/>
    </row>
    <row r="9" spans="1:8" x14ac:dyDescent="0.25">
      <c r="A9" s="25">
        <v>2035</v>
      </c>
      <c r="B9" s="25" t="s">
        <v>303</v>
      </c>
      <c r="C9" s="25">
        <v>50</v>
      </c>
      <c r="D9" s="25"/>
      <c r="E9" s="25"/>
      <c r="F9" s="25"/>
      <c r="G9" s="25"/>
      <c r="H9" s="25"/>
    </row>
    <row r="10" spans="1:8" x14ac:dyDescent="0.25">
      <c r="A10" s="25">
        <v>2030</v>
      </c>
      <c r="B10" s="25" t="s">
        <v>304</v>
      </c>
      <c r="C10" s="25">
        <v>25</v>
      </c>
      <c r="D10" s="25"/>
      <c r="E10" s="25"/>
      <c r="F10" s="25"/>
      <c r="G10" s="25"/>
      <c r="H10" s="25"/>
    </row>
    <row r="11" spans="1:8" x14ac:dyDescent="0.25">
      <c r="A11" s="25">
        <v>2031</v>
      </c>
      <c r="B11" s="25" t="s">
        <v>303</v>
      </c>
      <c r="C11" s="25">
        <v>67</v>
      </c>
      <c r="D11" s="25"/>
      <c r="E11" s="25"/>
      <c r="F11" s="25"/>
      <c r="G11" s="25"/>
      <c r="H11" s="25"/>
    </row>
    <row r="12" spans="1:8" x14ac:dyDescent="0.25">
      <c r="A12" s="25">
        <v>2031</v>
      </c>
      <c r="B12" s="25" t="s">
        <v>303</v>
      </c>
      <c r="C12" s="25">
        <v>67</v>
      </c>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86"/>
  <sheetViews>
    <sheetView showGridLines="0" zoomScaleNormal="100" workbookViewId="0">
      <selection activeCell="E12" sqref="E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customWidth="1"/>
    <col min="6" max="6" width="4.7109375" customWidth="1"/>
  </cols>
  <sheetData>
    <row r="1" spans="1:3" x14ac:dyDescent="0.25">
      <c r="A1" s="9" t="s">
        <v>105</v>
      </c>
    </row>
    <row r="2" spans="1:3" x14ac:dyDescent="0.25">
      <c r="B2" t="s">
        <v>404</v>
      </c>
      <c r="C2" s="22" t="s">
        <v>26</v>
      </c>
    </row>
    <row r="3" spans="1:3" x14ac:dyDescent="0.25">
      <c r="B3" t="s">
        <v>405</v>
      </c>
      <c r="C3" s="22" t="s">
        <v>26</v>
      </c>
    </row>
    <row r="4" spans="1:3" x14ac:dyDescent="0.25">
      <c r="B4" t="s">
        <v>406</v>
      </c>
      <c r="C4" s="29">
        <v>0.24</v>
      </c>
    </row>
    <row r="5" spans="1:3" x14ac:dyDescent="0.25">
      <c r="B5" t="s">
        <v>407</v>
      </c>
      <c r="C5" s="22" t="s">
        <v>26</v>
      </c>
    </row>
    <row r="6" spans="1:3" x14ac:dyDescent="0.25">
      <c r="B6" t="s">
        <v>408</v>
      </c>
      <c r="C6" s="22" t="s">
        <v>26</v>
      </c>
    </row>
    <row r="7" spans="1:3" x14ac:dyDescent="0.25">
      <c r="B7" t="s">
        <v>409</v>
      </c>
      <c r="C7" s="29">
        <v>0.24</v>
      </c>
    </row>
    <row r="8" spans="1:3" x14ac:dyDescent="0.25"/>
    <row r="9" spans="1:3" x14ac:dyDescent="0.25">
      <c r="A9" s="9" t="s">
        <v>108</v>
      </c>
    </row>
    <row r="10" spans="1:3" x14ac:dyDescent="0.25">
      <c r="B10" t="s">
        <v>107</v>
      </c>
      <c r="C10" s="22" t="s">
        <v>245</v>
      </c>
    </row>
    <row r="11" spans="1:3" x14ac:dyDescent="0.25">
      <c r="B11" t="s">
        <v>110</v>
      </c>
      <c r="C11" s="82">
        <v>0.34722219999999998</v>
      </c>
    </row>
    <row r="12" spans="1:3" x14ac:dyDescent="0.25">
      <c r="B12" t="s">
        <v>109</v>
      </c>
      <c r="C12" s="82">
        <v>0.52083299999999999</v>
      </c>
    </row>
    <row r="13" spans="1:3" x14ac:dyDescent="0.25"/>
    <row r="14" spans="1:3" x14ac:dyDescent="0.25">
      <c r="A14" s="9" t="s">
        <v>112</v>
      </c>
    </row>
    <row r="15" spans="1:3" x14ac:dyDescent="0.25">
      <c r="B15" t="s">
        <v>114</v>
      </c>
      <c r="C15" s="22" t="s">
        <v>118</v>
      </c>
    </row>
    <row r="16" spans="1:3" x14ac:dyDescent="0.25">
      <c r="B16" t="s">
        <v>111</v>
      </c>
      <c r="C16" s="26">
        <v>0</v>
      </c>
    </row>
    <row r="17" spans="1:3" x14ac:dyDescent="0.25">
      <c r="B17" t="s">
        <v>113</v>
      </c>
      <c r="C17" s="26">
        <v>0</v>
      </c>
    </row>
    <row r="18" spans="1:3" x14ac:dyDescent="0.25"/>
    <row r="19" spans="1:3" x14ac:dyDescent="0.25">
      <c r="A19" s="9" t="s">
        <v>115</v>
      </c>
    </row>
    <row r="20" spans="1:3" x14ac:dyDescent="0.25">
      <c r="B20" t="s">
        <v>116</v>
      </c>
      <c r="C20" s="26">
        <v>1</v>
      </c>
    </row>
    <row r="21" spans="1:3" x14ac:dyDescent="0.25">
      <c r="B21" t="s">
        <v>117</v>
      </c>
      <c r="C21" s="26">
        <v>1</v>
      </c>
    </row>
    <row r="22" spans="1:3" x14ac:dyDescent="0.25"/>
    <row r="23" spans="1:3" x14ac:dyDescent="0.25">
      <c r="A23" s="9" t="s">
        <v>254</v>
      </c>
    </row>
    <row r="24" spans="1:3" x14ac:dyDescent="0.25">
      <c r="B24" t="s">
        <v>253</v>
      </c>
      <c r="C24" s="22" t="s">
        <v>118</v>
      </c>
    </row>
    <row r="25" spans="1:3" x14ac:dyDescent="0.25"/>
    <row r="26" spans="1:3" x14ac:dyDescent="0.25">
      <c r="A26" s="9" t="s">
        <v>103</v>
      </c>
      <c r="C26" s="24"/>
    </row>
    <row r="27" spans="1:3" x14ac:dyDescent="0.25">
      <c r="B27" t="s">
        <v>62</v>
      </c>
      <c r="C27" s="22" t="s">
        <v>26</v>
      </c>
    </row>
    <row r="28" spans="1:3" x14ac:dyDescent="0.25">
      <c r="B28" t="s">
        <v>63</v>
      </c>
      <c r="C28" s="22">
        <v>60</v>
      </c>
    </row>
    <row r="29" spans="1:3" x14ac:dyDescent="0.25">
      <c r="B29" t="s">
        <v>64</v>
      </c>
      <c r="C29" s="23">
        <v>44927</v>
      </c>
    </row>
    <row r="30" spans="1:3" x14ac:dyDescent="0.25">
      <c r="B30" t="s">
        <v>65</v>
      </c>
      <c r="C30" s="29">
        <v>0.25</v>
      </c>
    </row>
    <row r="31" spans="1:3" x14ac:dyDescent="0.25">
      <c r="B31" t="s">
        <v>66</v>
      </c>
      <c r="C31" s="29">
        <v>0.25</v>
      </c>
    </row>
    <row r="32" spans="1:3" x14ac:dyDescent="0.25">
      <c r="C32" s="25"/>
    </row>
    <row r="33" spans="1:6" x14ac:dyDescent="0.25">
      <c r="A33" s="9" t="s">
        <v>104</v>
      </c>
      <c r="C33" s="24"/>
    </row>
    <row r="34" spans="1:6" x14ac:dyDescent="0.25">
      <c r="B34" t="s">
        <v>62</v>
      </c>
      <c r="C34" s="22" t="s">
        <v>26</v>
      </c>
    </row>
    <row r="35" spans="1:6" x14ac:dyDescent="0.25">
      <c r="B35" t="s">
        <v>63</v>
      </c>
      <c r="C35" s="22">
        <v>60</v>
      </c>
    </row>
    <row r="36" spans="1:6" x14ac:dyDescent="0.25">
      <c r="B36" t="s">
        <v>64</v>
      </c>
      <c r="C36" s="23">
        <v>44927</v>
      </c>
    </row>
    <row r="37" spans="1:6" x14ac:dyDescent="0.25">
      <c r="B37" t="s">
        <v>65</v>
      </c>
      <c r="C37" s="29">
        <v>0.25</v>
      </c>
    </row>
    <row r="38" spans="1:6" x14ac:dyDescent="0.25">
      <c r="B38" t="s">
        <v>66</v>
      </c>
      <c r="C38" s="29">
        <v>1</v>
      </c>
    </row>
    <row r="39" spans="1:6" x14ac:dyDescent="0.25"/>
    <row r="40" spans="1:6" hidden="1" x14ac:dyDescent="0.25">
      <c r="A40" s="9" t="s">
        <v>242</v>
      </c>
    </row>
    <row r="41" spans="1:6" ht="14.45" hidden="1" customHeight="1" x14ac:dyDescent="0.25">
      <c r="B41" s="127" t="s">
        <v>243</v>
      </c>
      <c r="C41" s="129" t="s">
        <v>244</v>
      </c>
      <c r="D41" s="123" t="s">
        <v>248</v>
      </c>
      <c r="E41" s="121" t="s">
        <v>249</v>
      </c>
      <c r="F41" s="45"/>
    </row>
    <row r="42" spans="1:6" hidden="1" x14ac:dyDescent="0.25">
      <c r="B42" s="128"/>
      <c r="C42" s="130"/>
      <c r="D42" s="124"/>
      <c r="E42" s="122"/>
    </row>
    <row r="43" spans="1:6" hidden="1" x14ac:dyDescent="0.25">
      <c r="B43" s="44">
        <v>0</v>
      </c>
      <c r="C43" s="46">
        <v>1</v>
      </c>
      <c r="D43" s="51">
        <v>0.313726</v>
      </c>
      <c r="E43" s="52">
        <v>0.54901999999999995</v>
      </c>
    </row>
    <row r="44" spans="1:6" hidden="1" x14ac:dyDescent="0.25">
      <c r="B44" s="44">
        <v>1</v>
      </c>
      <c r="C44" s="49">
        <v>1.2</v>
      </c>
      <c r="D44" s="51">
        <v>0.27450999999999998</v>
      </c>
      <c r="E44" s="52">
        <v>0.50980400000000003</v>
      </c>
    </row>
    <row r="45" spans="1:6" hidden="1" x14ac:dyDescent="0.25">
      <c r="A45" s="50"/>
      <c r="B45" s="48">
        <v>1.2</v>
      </c>
      <c r="C45" s="55">
        <v>1.4</v>
      </c>
      <c r="D45" s="56">
        <v>0.235295</v>
      </c>
      <c r="E45" s="52">
        <v>0.47058899999999998</v>
      </c>
    </row>
    <row r="46" spans="1:6" hidden="1" x14ac:dyDescent="0.25">
      <c r="A46" s="50"/>
      <c r="B46" s="48">
        <v>1.4</v>
      </c>
      <c r="C46" s="47">
        <v>1.6</v>
      </c>
      <c r="D46" s="52">
        <v>0.196079</v>
      </c>
      <c r="E46" s="52">
        <v>0.43137300000000001</v>
      </c>
    </row>
    <row r="47" spans="1:6" hidden="1" x14ac:dyDescent="0.25">
      <c r="B47" s="44">
        <v>1.6</v>
      </c>
      <c r="C47" s="49">
        <v>999</v>
      </c>
      <c r="D47" s="52">
        <v>0.156863</v>
      </c>
      <c r="E47" s="52">
        <v>0.39215699999999998</v>
      </c>
    </row>
    <row r="48" spans="1:6" hidden="1" x14ac:dyDescent="0.25">
      <c r="B48" s="44">
        <v>1.6</v>
      </c>
      <c r="C48" s="49">
        <v>999</v>
      </c>
      <c r="D48" s="52">
        <v>0.156863</v>
      </c>
      <c r="E48" s="52">
        <v>0.39215699999999998</v>
      </c>
    </row>
    <row r="49" spans="1:5" hidden="1" x14ac:dyDescent="0.25">
      <c r="B49" s="44">
        <v>1.6</v>
      </c>
      <c r="C49" s="49">
        <v>999</v>
      </c>
      <c r="D49" s="52">
        <v>0.156863</v>
      </c>
      <c r="E49" s="52">
        <v>0.39215699999999998</v>
      </c>
    </row>
    <row r="51" spans="1:5" x14ac:dyDescent="0.25">
      <c r="A51" s="9" t="s">
        <v>245</v>
      </c>
    </row>
    <row r="52" spans="1:5" ht="14.45" customHeight="1" x14ac:dyDescent="0.25">
      <c r="B52" s="127" t="s">
        <v>246</v>
      </c>
      <c r="C52" s="129" t="s">
        <v>247</v>
      </c>
      <c r="D52" s="123" t="s">
        <v>248</v>
      </c>
      <c r="E52" s="125" t="s">
        <v>249</v>
      </c>
    </row>
    <row r="53" spans="1:5" x14ac:dyDescent="0.25">
      <c r="B53" s="128"/>
      <c r="C53" s="130"/>
      <c r="D53" s="124"/>
      <c r="E53" s="126"/>
    </row>
    <row r="54" spans="1:5" x14ac:dyDescent="0.25">
      <c r="B54" s="44">
        <v>0</v>
      </c>
      <c r="C54" s="46">
        <v>40</v>
      </c>
      <c r="D54" s="52">
        <v>0.42016806722689098</v>
      </c>
      <c r="E54" s="52">
        <v>0.53571400000000002</v>
      </c>
    </row>
    <row r="55" spans="1:5" x14ac:dyDescent="0.25">
      <c r="B55" s="44">
        <v>40</v>
      </c>
      <c r="C55" s="49">
        <v>55</v>
      </c>
      <c r="D55" s="51">
        <v>0.42016806722689098</v>
      </c>
      <c r="E55" s="52">
        <v>0.53571400000000002</v>
      </c>
    </row>
    <row r="56" spans="1:5" x14ac:dyDescent="0.25">
      <c r="A56" s="50"/>
      <c r="B56" s="48">
        <v>55</v>
      </c>
      <c r="C56" s="47">
        <v>70</v>
      </c>
      <c r="D56" s="52">
        <v>0.42016806722689098</v>
      </c>
      <c r="E56" s="52">
        <v>0.53571400000000002</v>
      </c>
    </row>
    <row r="57" spans="1:5" x14ac:dyDescent="0.25">
      <c r="A57" s="50"/>
      <c r="B57" s="48">
        <v>70</v>
      </c>
      <c r="C57" s="47">
        <v>85</v>
      </c>
      <c r="D57" s="52">
        <v>0.42016806722689098</v>
      </c>
      <c r="E57" s="52">
        <v>0.53571400000000002</v>
      </c>
    </row>
    <row r="58" spans="1:5" x14ac:dyDescent="0.25">
      <c r="B58" s="44">
        <v>85</v>
      </c>
      <c r="C58" s="49">
        <v>100</v>
      </c>
      <c r="D58" s="53">
        <v>0.42016806722689098</v>
      </c>
      <c r="E58" s="54">
        <v>0.53571400000000002</v>
      </c>
    </row>
    <row r="59" spans="1:5" x14ac:dyDescent="0.25">
      <c r="B59" s="44">
        <v>100</v>
      </c>
      <c r="C59" s="44">
        <v>115</v>
      </c>
      <c r="D59" s="54">
        <v>0.42016806722689098</v>
      </c>
      <c r="E59" s="54">
        <v>0.53571400000000002</v>
      </c>
    </row>
    <row r="60" spans="1:5" x14ac:dyDescent="0.25">
      <c r="B60" s="44">
        <v>115</v>
      </c>
      <c r="C60" s="44">
        <v>999</v>
      </c>
      <c r="D60" s="54">
        <v>0.42016806722689098</v>
      </c>
      <c r="E60" s="54">
        <v>0.53571400000000002</v>
      </c>
    </row>
    <row r="61" spans="1:5" x14ac:dyDescent="0.25">
      <c r="B61" s="44">
        <v>115</v>
      </c>
      <c r="C61" s="44">
        <v>999</v>
      </c>
      <c r="D61" s="54">
        <v>0.42016806722689098</v>
      </c>
      <c r="E61" s="54">
        <v>0.53571400000000002</v>
      </c>
    </row>
    <row r="62" spans="1:5" x14ac:dyDescent="0.25"/>
    <row r="63" spans="1:5" x14ac:dyDescent="0.25">
      <c r="A63" s="9" t="s">
        <v>410</v>
      </c>
    </row>
    <row r="64" spans="1:5" x14ac:dyDescent="0.25">
      <c r="B64" s="93" t="s">
        <v>0</v>
      </c>
      <c r="C64" s="94" t="s">
        <v>411</v>
      </c>
    </row>
    <row r="65" spans="2:3" x14ac:dyDescent="0.25">
      <c r="B65" s="44">
        <v>2023</v>
      </c>
      <c r="C65" s="44">
        <v>0.02</v>
      </c>
    </row>
    <row r="66" spans="2:3" x14ac:dyDescent="0.25">
      <c r="B66" s="44">
        <v>2024</v>
      </c>
      <c r="C66" s="44">
        <v>0.03</v>
      </c>
    </row>
    <row r="67" spans="2:3" x14ac:dyDescent="0.25">
      <c r="B67" s="44">
        <v>2025</v>
      </c>
      <c r="C67" s="44">
        <v>0.04</v>
      </c>
    </row>
    <row r="68" spans="2:3" x14ac:dyDescent="0.25">
      <c r="B68" s="44">
        <v>2026</v>
      </c>
      <c r="C68" s="44">
        <v>0.05</v>
      </c>
    </row>
    <row r="69" spans="2:3" x14ac:dyDescent="0.25">
      <c r="B69" s="44">
        <v>2027</v>
      </c>
      <c r="C69" s="44">
        <v>0.06</v>
      </c>
    </row>
    <row r="70" spans="2:3" x14ac:dyDescent="0.25">
      <c r="B70" s="44">
        <v>2028</v>
      </c>
      <c r="C70" s="44">
        <v>7.0000000000000007E-2</v>
      </c>
    </row>
    <row r="71" spans="2:3" x14ac:dyDescent="0.25">
      <c r="B71" s="44">
        <v>2029</v>
      </c>
      <c r="C71" s="44">
        <v>0.08</v>
      </c>
    </row>
    <row r="72" spans="2:3" x14ac:dyDescent="0.25">
      <c r="B72" s="44">
        <v>2030</v>
      </c>
      <c r="C72" s="44">
        <v>0.09</v>
      </c>
    </row>
    <row r="73" spans="2:3" x14ac:dyDescent="0.25">
      <c r="B73" s="44">
        <v>2031</v>
      </c>
      <c r="C73" s="44">
        <v>0.1</v>
      </c>
    </row>
    <row r="74" spans="2:3" x14ac:dyDescent="0.25">
      <c r="B74" s="44">
        <v>2032</v>
      </c>
      <c r="C74" s="44">
        <v>0.11</v>
      </c>
    </row>
    <row r="75" spans="2:3" x14ac:dyDescent="0.25">
      <c r="B75" s="44">
        <v>2033</v>
      </c>
      <c r="C75" s="44">
        <v>0.12</v>
      </c>
    </row>
    <row r="76" spans="2:3" x14ac:dyDescent="0.25">
      <c r="B76" s="44">
        <v>2034</v>
      </c>
      <c r="C76" s="44">
        <v>0.13</v>
      </c>
    </row>
    <row r="77" spans="2:3" x14ac:dyDescent="0.25">
      <c r="B77" s="44">
        <v>2035</v>
      </c>
      <c r="C77" s="44">
        <v>0.14000000000000001</v>
      </c>
    </row>
    <row r="78" spans="2:3" x14ac:dyDescent="0.25">
      <c r="B78" s="44">
        <v>2036</v>
      </c>
      <c r="C78" s="44">
        <v>0.15</v>
      </c>
    </row>
    <row r="79" spans="2:3" x14ac:dyDescent="0.25">
      <c r="B79" s="44">
        <v>2037</v>
      </c>
      <c r="C79" s="44">
        <v>0.16</v>
      </c>
    </row>
    <row r="80" spans="2:3" x14ac:dyDescent="0.25">
      <c r="B80" s="44">
        <v>2038</v>
      </c>
      <c r="C80" s="44">
        <v>0.17</v>
      </c>
    </row>
    <row r="81" spans="2:3" x14ac:dyDescent="0.25">
      <c r="B81" s="44">
        <v>2039</v>
      </c>
      <c r="C81" s="44">
        <v>0.18</v>
      </c>
    </row>
    <row r="82" spans="2:3" x14ac:dyDescent="0.25">
      <c r="B82" s="44">
        <v>2040</v>
      </c>
      <c r="C82" s="44">
        <v>0.19</v>
      </c>
    </row>
    <row r="83" spans="2:3" x14ac:dyDescent="0.25">
      <c r="B83" s="44">
        <v>2041</v>
      </c>
      <c r="C83" s="44">
        <v>0.2</v>
      </c>
    </row>
    <row r="84" spans="2:3" x14ac:dyDescent="0.25">
      <c r="B84" s="44">
        <v>2042</v>
      </c>
      <c r="C84" s="44">
        <v>0.21</v>
      </c>
    </row>
    <row r="85" spans="2:3" x14ac:dyDescent="0.25"/>
    <row r="86" spans="2:3" x14ac:dyDescent="0.25"/>
  </sheetData>
  <mergeCells count="8">
    <mergeCell ref="E41:E42"/>
    <mergeCell ref="D52:D53"/>
    <mergeCell ref="E52:E53"/>
    <mergeCell ref="B41:B42"/>
    <mergeCell ref="C41:C42"/>
    <mergeCell ref="B52:B53"/>
    <mergeCell ref="C52:C53"/>
    <mergeCell ref="D41:D42"/>
  </mergeCells>
  <dataValidations count="5">
    <dataValidation type="date" allowBlank="1" showInputMessage="1" showErrorMessage="1" errorTitle="Data Type Error" error="Should be Data" sqref="C29 C36" xr:uid="{568DB18A-6608-4922-8D35-218C55EBF457}">
      <formula1>16438</formula1>
      <formula2>401769</formula2>
    </dataValidation>
    <dataValidation type="list" allowBlank="1" showInputMessage="1" showErrorMessage="1" sqref="C27 C34 C2:C3 C5:C6" xr:uid="{AC760F76-1BDA-45B4-B5F5-282FBE6A1577}">
      <formula1>"Yes,No"</formula1>
    </dataValidation>
    <dataValidation type="list" allowBlank="1" showInputMessage="1" showErrorMessage="1" sqref="C15 C24" xr:uid="{F8A64F74-DE64-44BC-AFAE-6AD6B67BDE08}">
      <formula1>"No,Yes"</formula1>
    </dataValidation>
    <dataValidation type="decimal" allowBlank="1" showInputMessage="1" showErrorMessage="1" errorTitle="Data Type" error="Should be between 0 and 1" sqref="C20:C21 C16:C17 C4 C7" xr:uid="{827668F7-C103-4DBD-B7C4-C35F9E0F4C62}">
      <formula1>0</formula1>
      <formula2>1</formula2>
    </dataValidation>
    <dataValidation type="decimal" allowBlank="1" showInputMessage="1" showErrorMessage="1" errorTitle="Data Type" error="Should be between 1 and 0" sqref="C11:C12"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9</xdr:row>
                    <xdr:rowOff>9525</xdr:rowOff>
                  </from>
                  <to>
                    <xdr:col>2</xdr:col>
                    <xdr:colOff>1295400</xdr:colOff>
                    <xdr:row>9</xdr:row>
                    <xdr:rowOff>171450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8CB7-A12F-493D-8765-E77CF8632CCA}">
  <sheetPr codeName="Sheet36">
    <tabColor rgb="FFA3B8BA"/>
  </sheetPr>
  <dimension ref="A1:F86"/>
  <sheetViews>
    <sheetView showGridLines="0" tabSelected="1" zoomScaleNormal="100" workbookViewId="0">
      <selection activeCell="E6" sqref="E6"/>
    </sheetView>
  </sheetViews>
  <sheetFormatPr defaultColWidth="0" defaultRowHeight="15" customHeight="1" zeroHeight="1" x14ac:dyDescent="0.25"/>
  <cols>
    <col min="1" max="1" width="5.28515625" customWidth="1"/>
    <col min="2" max="2" width="32.140625" customWidth="1"/>
    <col min="3" max="3" width="18.85546875" customWidth="1"/>
    <col min="4" max="4" width="8" bestFit="1" customWidth="1"/>
    <col min="5" max="5" width="8" customWidth="1"/>
    <col min="6" max="6" width="4.7109375" customWidth="1"/>
  </cols>
  <sheetData>
    <row r="1" spans="1:3" x14ac:dyDescent="0.25">
      <c r="A1" s="9" t="s">
        <v>105</v>
      </c>
    </row>
    <row r="2" spans="1:3" x14ac:dyDescent="0.25">
      <c r="B2" t="s">
        <v>404</v>
      </c>
      <c r="C2" s="22" t="s">
        <v>26</v>
      </c>
    </row>
    <row r="3" spans="1:3" x14ac:dyDescent="0.25">
      <c r="B3" t="s">
        <v>405</v>
      </c>
      <c r="C3" s="22" t="s">
        <v>26</v>
      </c>
    </row>
    <row r="4" spans="1:3" x14ac:dyDescent="0.25">
      <c r="B4" t="s">
        <v>406</v>
      </c>
      <c r="C4" s="29">
        <v>0.24</v>
      </c>
    </row>
    <row r="5" spans="1:3" x14ac:dyDescent="0.25">
      <c r="B5" t="s">
        <v>407</v>
      </c>
      <c r="C5" s="22" t="s">
        <v>26</v>
      </c>
    </row>
    <row r="6" spans="1:3" x14ac:dyDescent="0.25">
      <c r="B6" t="s">
        <v>408</v>
      </c>
      <c r="C6" s="22" t="s">
        <v>26</v>
      </c>
    </row>
    <row r="7" spans="1:3" x14ac:dyDescent="0.25">
      <c r="B7" t="s">
        <v>409</v>
      </c>
      <c r="C7" s="29">
        <v>0.24</v>
      </c>
    </row>
    <row r="8" spans="1:3" x14ac:dyDescent="0.25"/>
    <row r="9" spans="1:3" x14ac:dyDescent="0.25">
      <c r="A9" s="9" t="s">
        <v>108</v>
      </c>
    </row>
    <row r="10" spans="1:3" x14ac:dyDescent="0.25">
      <c r="B10" t="s">
        <v>107</v>
      </c>
      <c r="C10" s="22" t="s">
        <v>245</v>
      </c>
    </row>
    <row r="11" spans="1:3" x14ac:dyDescent="0.25">
      <c r="B11" t="s">
        <v>110</v>
      </c>
      <c r="C11" s="82">
        <v>0.34722219999999998</v>
      </c>
    </row>
    <row r="12" spans="1:3" x14ac:dyDescent="0.25">
      <c r="B12" t="s">
        <v>109</v>
      </c>
      <c r="C12" s="82">
        <v>0.52083299999999999</v>
      </c>
    </row>
    <row r="13" spans="1:3" x14ac:dyDescent="0.25"/>
    <row r="14" spans="1:3" x14ac:dyDescent="0.25">
      <c r="A14" s="9" t="s">
        <v>112</v>
      </c>
    </row>
    <row r="15" spans="1:3" x14ac:dyDescent="0.25">
      <c r="B15" t="s">
        <v>114</v>
      </c>
      <c r="C15" s="22" t="s">
        <v>118</v>
      </c>
    </row>
    <row r="16" spans="1:3" x14ac:dyDescent="0.25">
      <c r="B16" t="s">
        <v>111</v>
      </c>
      <c r="C16" s="26">
        <v>0</v>
      </c>
    </row>
    <row r="17" spans="1:3" x14ac:dyDescent="0.25">
      <c r="B17" t="s">
        <v>113</v>
      </c>
      <c r="C17" s="26">
        <v>0</v>
      </c>
    </row>
    <row r="18" spans="1:3" x14ac:dyDescent="0.25"/>
    <row r="19" spans="1:3" x14ac:dyDescent="0.25">
      <c r="A19" s="9" t="s">
        <v>115</v>
      </c>
    </row>
    <row r="20" spans="1:3" x14ac:dyDescent="0.25">
      <c r="B20" t="s">
        <v>116</v>
      </c>
      <c r="C20" s="26">
        <v>1</v>
      </c>
    </row>
    <row r="21" spans="1:3" x14ac:dyDescent="0.25">
      <c r="B21" t="s">
        <v>117</v>
      </c>
      <c r="C21" s="26">
        <v>1</v>
      </c>
    </row>
    <row r="22" spans="1:3" x14ac:dyDescent="0.25"/>
    <row r="23" spans="1:3" x14ac:dyDescent="0.25">
      <c r="A23" s="9" t="s">
        <v>254</v>
      </c>
    </row>
    <row r="24" spans="1:3" x14ac:dyDescent="0.25">
      <c r="B24" t="s">
        <v>253</v>
      </c>
      <c r="C24" s="22" t="s">
        <v>118</v>
      </c>
    </row>
    <row r="25" spans="1:3" x14ac:dyDescent="0.25"/>
    <row r="26" spans="1:3" x14ac:dyDescent="0.25">
      <c r="A26" s="9" t="s">
        <v>103</v>
      </c>
      <c r="C26" s="24"/>
    </row>
    <row r="27" spans="1:3" x14ac:dyDescent="0.25">
      <c r="B27" t="s">
        <v>62</v>
      </c>
      <c r="C27" s="22" t="s">
        <v>26</v>
      </c>
    </row>
    <row r="28" spans="1:3" x14ac:dyDescent="0.25">
      <c r="B28" t="s">
        <v>63</v>
      </c>
      <c r="C28" s="22">
        <v>60</v>
      </c>
    </row>
    <row r="29" spans="1:3" x14ac:dyDescent="0.25">
      <c r="B29" t="s">
        <v>64</v>
      </c>
      <c r="C29" s="23">
        <v>44927</v>
      </c>
    </row>
    <row r="30" spans="1:3" x14ac:dyDescent="0.25">
      <c r="B30" t="s">
        <v>65</v>
      </c>
      <c r="C30" s="29">
        <v>0.25</v>
      </c>
    </row>
    <row r="31" spans="1:3" x14ac:dyDescent="0.25">
      <c r="B31" t="s">
        <v>66</v>
      </c>
      <c r="C31" s="29">
        <v>0.25</v>
      </c>
    </row>
    <row r="32" spans="1:3" x14ac:dyDescent="0.25">
      <c r="C32" s="25"/>
    </row>
    <row r="33" spans="1:6" x14ac:dyDescent="0.25">
      <c r="A33" s="9" t="s">
        <v>104</v>
      </c>
      <c r="C33" s="24"/>
    </row>
    <row r="34" spans="1:6" x14ac:dyDescent="0.25">
      <c r="B34" t="s">
        <v>62</v>
      </c>
      <c r="C34" s="22" t="s">
        <v>26</v>
      </c>
    </row>
    <row r="35" spans="1:6" x14ac:dyDescent="0.25">
      <c r="B35" t="s">
        <v>63</v>
      </c>
      <c r="C35" s="22">
        <v>60</v>
      </c>
    </row>
    <row r="36" spans="1:6" x14ac:dyDescent="0.25">
      <c r="B36" t="s">
        <v>64</v>
      </c>
      <c r="C36" s="23">
        <v>44927</v>
      </c>
    </row>
    <row r="37" spans="1:6" x14ac:dyDescent="0.25">
      <c r="B37" t="s">
        <v>65</v>
      </c>
      <c r="C37" s="29">
        <v>0.25</v>
      </c>
    </row>
    <row r="38" spans="1:6" x14ac:dyDescent="0.25">
      <c r="B38" t="s">
        <v>66</v>
      </c>
      <c r="C38" s="29">
        <v>1</v>
      </c>
    </row>
    <row r="39" spans="1:6" x14ac:dyDescent="0.25"/>
    <row r="40" spans="1:6" hidden="1" x14ac:dyDescent="0.25">
      <c r="A40" s="9" t="s">
        <v>242</v>
      </c>
    </row>
    <row r="41" spans="1:6" ht="14.45" hidden="1" customHeight="1" x14ac:dyDescent="0.25">
      <c r="B41" s="127" t="s">
        <v>243</v>
      </c>
      <c r="C41" s="129" t="s">
        <v>244</v>
      </c>
      <c r="D41" s="123" t="s">
        <v>248</v>
      </c>
      <c r="E41" s="121" t="s">
        <v>249</v>
      </c>
      <c r="F41" s="45"/>
    </row>
    <row r="42" spans="1:6" hidden="1" x14ac:dyDescent="0.25">
      <c r="B42" s="128"/>
      <c r="C42" s="130"/>
      <c r="D42" s="124"/>
      <c r="E42" s="122"/>
    </row>
    <row r="43" spans="1:6" hidden="1" x14ac:dyDescent="0.25">
      <c r="B43" s="44">
        <v>0</v>
      </c>
      <c r="C43" s="46">
        <v>1</v>
      </c>
      <c r="D43" s="51">
        <v>0.313726</v>
      </c>
      <c r="E43" s="52">
        <v>0.54901999999999995</v>
      </c>
    </row>
    <row r="44" spans="1:6" hidden="1" x14ac:dyDescent="0.25">
      <c r="B44" s="44">
        <v>1</v>
      </c>
      <c r="C44" s="49">
        <v>1.2</v>
      </c>
      <c r="D44" s="51">
        <v>0.27450999999999998</v>
      </c>
      <c r="E44" s="52">
        <v>0.50980400000000003</v>
      </c>
    </row>
    <row r="45" spans="1:6" hidden="1" x14ac:dyDescent="0.25">
      <c r="A45" s="50"/>
      <c r="B45" s="48">
        <v>1.2</v>
      </c>
      <c r="C45" s="55">
        <v>1.4</v>
      </c>
      <c r="D45" s="56">
        <v>0.235295</v>
      </c>
      <c r="E45" s="52">
        <v>0.47058899999999998</v>
      </c>
    </row>
    <row r="46" spans="1:6" hidden="1" x14ac:dyDescent="0.25">
      <c r="A46" s="50"/>
      <c r="B46" s="48">
        <v>1.4</v>
      </c>
      <c r="C46" s="47">
        <v>1.6</v>
      </c>
      <c r="D46" s="52">
        <v>0.196079</v>
      </c>
      <c r="E46" s="52">
        <v>0.43137300000000001</v>
      </c>
    </row>
    <row r="47" spans="1:6" hidden="1" x14ac:dyDescent="0.25">
      <c r="B47" s="44">
        <v>1.6</v>
      </c>
      <c r="C47" s="49">
        <v>999</v>
      </c>
      <c r="D47" s="52">
        <v>0.156863</v>
      </c>
      <c r="E47" s="52">
        <v>0.39215699999999998</v>
      </c>
    </row>
    <row r="48" spans="1:6" hidden="1" x14ac:dyDescent="0.25">
      <c r="B48" s="44">
        <v>1.6</v>
      </c>
      <c r="C48" s="49">
        <v>999</v>
      </c>
      <c r="D48" s="52">
        <v>0.156863</v>
      </c>
      <c r="E48" s="52">
        <v>0.39215699999999998</v>
      </c>
    </row>
    <row r="49" spans="1:5" hidden="1" x14ac:dyDescent="0.25">
      <c r="B49" s="44">
        <v>1.6</v>
      </c>
      <c r="C49" s="49">
        <v>999</v>
      </c>
      <c r="D49" s="52">
        <v>0.156863</v>
      </c>
      <c r="E49" s="52">
        <v>0.39215699999999998</v>
      </c>
    </row>
    <row r="51" spans="1:5" x14ac:dyDescent="0.25">
      <c r="A51" s="9" t="s">
        <v>245</v>
      </c>
    </row>
    <row r="52" spans="1:5" ht="14.45" customHeight="1" x14ac:dyDescent="0.25">
      <c r="B52" s="127" t="s">
        <v>246</v>
      </c>
      <c r="C52" s="129" t="s">
        <v>247</v>
      </c>
      <c r="D52" s="123" t="s">
        <v>248</v>
      </c>
      <c r="E52" s="125" t="s">
        <v>249</v>
      </c>
    </row>
    <row r="53" spans="1:5" x14ac:dyDescent="0.25">
      <c r="B53" s="128"/>
      <c r="C53" s="130"/>
      <c r="D53" s="124"/>
      <c r="E53" s="126"/>
    </row>
    <row r="54" spans="1:5" x14ac:dyDescent="0.25">
      <c r="B54" s="44">
        <v>0</v>
      </c>
      <c r="C54" s="46">
        <v>40</v>
      </c>
      <c r="D54" s="52">
        <v>0.42016806722689098</v>
      </c>
      <c r="E54" s="52">
        <v>0.53571400000000002</v>
      </c>
    </row>
    <row r="55" spans="1:5" x14ac:dyDescent="0.25">
      <c r="B55" s="44">
        <v>40</v>
      </c>
      <c r="C55" s="49">
        <v>55</v>
      </c>
      <c r="D55" s="51">
        <v>0.42016806722689098</v>
      </c>
      <c r="E55" s="52">
        <v>0.53571400000000002</v>
      </c>
    </row>
    <row r="56" spans="1:5" x14ac:dyDescent="0.25">
      <c r="A56" s="50"/>
      <c r="B56" s="48">
        <v>55</v>
      </c>
      <c r="C56" s="47">
        <v>70</v>
      </c>
      <c r="D56" s="52">
        <v>0.42016806722689098</v>
      </c>
      <c r="E56" s="52">
        <v>0.53571400000000002</v>
      </c>
    </row>
    <row r="57" spans="1:5" x14ac:dyDescent="0.25">
      <c r="A57" s="50"/>
      <c r="B57" s="48">
        <v>70</v>
      </c>
      <c r="C57" s="47">
        <v>85</v>
      </c>
      <c r="D57" s="52">
        <v>0.42016806722689098</v>
      </c>
      <c r="E57" s="52">
        <v>0.53571400000000002</v>
      </c>
    </row>
    <row r="58" spans="1:5" x14ac:dyDescent="0.25">
      <c r="B58" s="44">
        <v>85</v>
      </c>
      <c r="C58" s="49">
        <v>100</v>
      </c>
      <c r="D58" s="53">
        <v>0.42016806722689098</v>
      </c>
      <c r="E58" s="54">
        <v>0.53571400000000002</v>
      </c>
    </row>
    <row r="59" spans="1:5" x14ac:dyDescent="0.25">
      <c r="B59" s="44">
        <v>100</v>
      </c>
      <c r="C59" s="44">
        <v>115</v>
      </c>
      <c r="D59" s="54">
        <v>0.42016806722689098</v>
      </c>
      <c r="E59" s="54">
        <v>0.53571400000000002</v>
      </c>
    </row>
    <row r="60" spans="1:5" x14ac:dyDescent="0.25">
      <c r="B60" s="44">
        <v>115</v>
      </c>
      <c r="C60" s="44">
        <v>999</v>
      </c>
      <c r="D60" s="54">
        <v>0.42016806722689098</v>
      </c>
      <c r="E60" s="54">
        <v>0.53571400000000002</v>
      </c>
    </row>
    <row r="61" spans="1:5" x14ac:dyDescent="0.25">
      <c r="B61" s="44">
        <v>115</v>
      </c>
      <c r="C61" s="44">
        <v>999</v>
      </c>
      <c r="D61" s="54">
        <v>0.42016806722689098</v>
      </c>
      <c r="E61" s="54">
        <v>0.53571400000000002</v>
      </c>
    </row>
    <row r="62" spans="1:5" x14ac:dyDescent="0.25"/>
    <row r="63" spans="1:5" x14ac:dyDescent="0.25">
      <c r="A63" s="9" t="s">
        <v>410</v>
      </c>
    </row>
    <row r="64" spans="1:5" x14ac:dyDescent="0.25">
      <c r="B64" s="93" t="s">
        <v>0</v>
      </c>
      <c r="C64" s="94" t="s">
        <v>411</v>
      </c>
    </row>
    <row r="65" spans="2:3" x14ac:dyDescent="0.25">
      <c r="B65" s="44">
        <v>2023</v>
      </c>
      <c r="C65" s="44">
        <v>0.02</v>
      </c>
    </row>
    <row r="66" spans="2:3" x14ac:dyDescent="0.25">
      <c r="B66" s="44">
        <v>2024</v>
      </c>
      <c r="C66" s="44">
        <v>0.03</v>
      </c>
    </row>
    <row r="67" spans="2:3" x14ac:dyDescent="0.25">
      <c r="B67" s="44">
        <v>2025</v>
      </c>
      <c r="C67" s="44">
        <v>0.04</v>
      </c>
    </row>
    <row r="68" spans="2:3" x14ac:dyDescent="0.25">
      <c r="B68" s="44">
        <v>2026</v>
      </c>
      <c r="C68" s="44">
        <v>0.05</v>
      </c>
    </row>
    <row r="69" spans="2:3" x14ac:dyDescent="0.25">
      <c r="B69" s="44">
        <v>2027</v>
      </c>
      <c r="C69" s="44">
        <v>0.06</v>
      </c>
    </row>
    <row r="70" spans="2:3" x14ac:dyDescent="0.25">
      <c r="B70" s="44">
        <v>2028</v>
      </c>
      <c r="C70" s="44">
        <v>7.0000000000000007E-2</v>
      </c>
    </row>
    <row r="71" spans="2:3" x14ac:dyDescent="0.25">
      <c r="B71" s="44">
        <v>2029</v>
      </c>
      <c r="C71" s="44">
        <v>0.08</v>
      </c>
    </row>
    <row r="72" spans="2:3" x14ac:dyDescent="0.25">
      <c r="B72" s="44">
        <v>2030</v>
      </c>
      <c r="C72" s="44">
        <v>0.09</v>
      </c>
    </row>
    <row r="73" spans="2:3" x14ac:dyDescent="0.25">
      <c r="B73" s="44">
        <v>2031</v>
      </c>
      <c r="C73" s="44">
        <v>0.1</v>
      </c>
    </row>
    <row r="74" spans="2:3" x14ac:dyDescent="0.25">
      <c r="B74" s="44">
        <v>2032</v>
      </c>
      <c r="C74" s="44">
        <v>0.11</v>
      </c>
    </row>
    <row r="75" spans="2:3" x14ac:dyDescent="0.25">
      <c r="B75" s="44">
        <v>2033</v>
      </c>
      <c r="C75" s="44">
        <v>0.12</v>
      </c>
    </row>
    <row r="76" spans="2:3" x14ac:dyDescent="0.25">
      <c r="B76" s="44">
        <v>2034</v>
      </c>
      <c r="C76" s="44">
        <v>0.13</v>
      </c>
    </row>
    <row r="77" spans="2:3" x14ac:dyDescent="0.25">
      <c r="B77" s="44">
        <v>2035</v>
      </c>
      <c r="C77" s="44">
        <v>0.14000000000000001</v>
      </c>
    </row>
    <row r="78" spans="2:3" x14ac:dyDescent="0.25">
      <c r="B78" s="44">
        <v>2036</v>
      </c>
      <c r="C78" s="44">
        <v>0.15</v>
      </c>
    </row>
    <row r="79" spans="2:3" x14ac:dyDescent="0.25">
      <c r="B79" s="44">
        <v>2037</v>
      </c>
      <c r="C79" s="44">
        <v>0.16</v>
      </c>
    </row>
    <row r="80" spans="2:3" x14ac:dyDescent="0.25">
      <c r="B80" s="44">
        <v>2038</v>
      </c>
      <c r="C80" s="44">
        <v>0.17</v>
      </c>
    </row>
    <row r="81" spans="2:3" x14ac:dyDescent="0.25">
      <c r="B81" s="44">
        <v>2039</v>
      </c>
      <c r="C81" s="44">
        <v>0.18</v>
      </c>
    </row>
    <row r="82" spans="2:3" x14ac:dyDescent="0.25">
      <c r="B82" s="44">
        <v>2040</v>
      </c>
      <c r="C82" s="44">
        <v>0.19</v>
      </c>
    </row>
    <row r="83" spans="2:3" x14ac:dyDescent="0.25">
      <c r="B83" s="44">
        <v>2041</v>
      </c>
      <c r="C83" s="44">
        <v>0.2</v>
      </c>
    </row>
    <row r="84" spans="2:3" x14ac:dyDescent="0.25">
      <c r="B84" s="44">
        <v>2042</v>
      </c>
      <c r="C84" s="44">
        <v>0.21</v>
      </c>
    </row>
    <row r="85" spans="2:3" x14ac:dyDescent="0.25"/>
    <row r="86" spans="2:3" x14ac:dyDescent="0.25"/>
  </sheetData>
  <mergeCells count="8">
    <mergeCell ref="B41:B42"/>
    <mergeCell ref="C41:C42"/>
    <mergeCell ref="D41:D42"/>
    <mergeCell ref="E41:E42"/>
    <mergeCell ref="B52:B53"/>
    <mergeCell ref="C52:C53"/>
    <mergeCell ref="D52:D53"/>
    <mergeCell ref="E52:E53"/>
  </mergeCells>
  <dataValidations count="5">
    <dataValidation type="decimal" allowBlank="1" showInputMessage="1" showErrorMessage="1" errorTitle="Data Type" error="Should be between 1 and 0" sqref="C11:C12" xr:uid="{B0380A55-6B79-4542-8409-18C0FDDE2E8E}">
      <formula1>0</formula1>
      <formula2>1</formula2>
    </dataValidation>
    <dataValidation type="decimal" allowBlank="1" showInputMessage="1" showErrorMessage="1" errorTitle="Data Type" error="Should be between 0 and 1" sqref="C20:C21 C16:C17 C4 C7" xr:uid="{E41D4F44-39A0-40B0-BCA0-8FB8F222F292}">
      <formula1>0</formula1>
      <formula2>1</formula2>
    </dataValidation>
    <dataValidation type="list" allowBlank="1" showInputMessage="1" showErrorMessage="1" sqref="C15 C24" xr:uid="{004DB891-E332-4F2C-AD99-FEB99D04908D}">
      <formula1>"No,Yes"</formula1>
    </dataValidation>
    <dataValidation type="list" allowBlank="1" showInputMessage="1" showErrorMessage="1" sqref="C27 C34 C2:C3 C5:C6" xr:uid="{6AA78FCE-771F-4AA6-A9DC-815EBAC40B9D}">
      <formula1>"Yes,No"</formula1>
    </dataValidation>
    <dataValidation type="date" allowBlank="1" showInputMessage="1" showErrorMessage="1" errorTitle="Data Type Error" error="Should be Data" sqref="C29 C36" xr:uid="{C44C035F-28B7-4334-B61A-E71E34E121C2}">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5089" r:id="rId3" name="Spinner 1">
              <controlPr defaultSize="0" autoPict="0" macro="[0]!ThisWorkbook.ShowSplitTypeSheet1">
                <anchor moveWithCells="1" sizeWithCells="1">
                  <from>
                    <xdr:col>2</xdr:col>
                    <xdr:colOff>1123950</xdr:colOff>
                    <xdr:row>9</xdr:row>
                    <xdr:rowOff>9525</xdr:rowOff>
                  </from>
                  <to>
                    <xdr:col>2</xdr:col>
                    <xdr:colOff>1295400</xdr:colOff>
                    <xdr:row>9</xdr:row>
                    <xdr:rowOff>171450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7"/>
  <sheetViews>
    <sheetView showGridLines="0" showRowColHeaders="0" zoomScaleNormal="100" workbookViewId="0">
      <selection activeCell="D15" sqref="D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102</v>
      </c>
      <c r="C1" s="24"/>
    </row>
    <row r="2" spans="1:3" x14ac:dyDescent="0.25">
      <c r="B2" t="s">
        <v>35</v>
      </c>
      <c r="C2" s="22" t="s">
        <v>28</v>
      </c>
    </row>
    <row r="3" spans="1:3" x14ac:dyDescent="0.25">
      <c r="B3" t="s">
        <v>36</v>
      </c>
      <c r="C3" s="22" t="s">
        <v>29</v>
      </c>
    </row>
    <row r="4" spans="1:3" x14ac:dyDescent="0.25">
      <c r="B4" t="s">
        <v>37</v>
      </c>
      <c r="C4" s="22" t="s">
        <v>45</v>
      </c>
    </row>
    <row r="5" spans="1:3" x14ac:dyDescent="0.25">
      <c r="B5" t="s">
        <v>38</v>
      </c>
      <c r="C5" s="22" t="s">
        <v>30</v>
      </c>
    </row>
    <row r="6" spans="1:3" x14ac:dyDescent="0.25">
      <c r="B6" t="s">
        <v>39</v>
      </c>
      <c r="C6" s="22" t="s">
        <v>34</v>
      </c>
    </row>
    <row r="7" spans="1:3" x14ac:dyDescent="0.25">
      <c r="B7" t="s">
        <v>40</v>
      </c>
      <c r="C7" s="22" t="s">
        <v>80</v>
      </c>
    </row>
    <row r="8" spans="1:3" x14ac:dyDescent="0.25">
      <c r="B8" t="s">
        <v>41</v>
      </c>
      <c r="C8" s="22" t="s">
        <v>91</v>
      </c>
    </row>
    <row r="9" spans="1:3" x14ac:dyDescent="0.25">
      <c r="B9" t="s">
        <v>42</v>
      </c>
      <c r="C9" s="22" t="s">
        <v>31</v>
      </c>
    </row>
    <row r="10" spans="1:3" x14ac:dyDescent="0.25">
      <c r="B10" t="s">
        <v>43</v>
      </c>
      <c r="C10" s="22" t="s">
        <v>56</v>
      </c>
    </row>
    <row r="11" spans="1:3" x14ac:dyDescent="0.25">
      <c r="B11" t="s">
        <v>44</v>
      </c>
      <c r="C11" s="22" t="s">
        <v>57</v>
      </c>
    </row>
    <row r="12" spans="1:3" x14ac:dyDescent="0.25"/>
    <row r="13" spans="1:3" x14ac:dyDescent="0.25">
      <c r="B13" t="s">
        <v>334</v>
      </c>
      <c r="C13" s="92">
        <v>0.08</v>
      </c>
    </row>
    <row r="14" spans="1:3" x14ac:dyDescent="0.25"/>
    <row r="15" spans="1:3" x14ac:dyDescent="0.25">
      <c r="B15" t="s">
        <v>402</v>
      </c>
      <c r="C15" s="92">
        <v>0.43</v>
      </c>
    </row>
    <row r="16" spans="1:3" x14ac:dyDescent="0.25">
      <c r="B16" t="s">
        <v>403</v>
      </c>
      <c r="C16" s="92">
        <v>0.48</v>
      </c>
    </row>
    <row r="17" spans="1:3" x14ac:dyDescent="0.25">
      <c r="C17" s="25"/>
    </row>
    <row r="18" spans="1:3" x14ac:dyDescent="0.25">
      <c r="A18" s="9" t="s">
        <v>254</v>
      </c>
    </row>
    <row r="19" spans="1:3" x14ac:dyDescent="0.25">
      <c r="B19" t="s">
        <v>253</v>
      </c>
      <c r="C19" s="22" t="s">
        <v>26</v>
      </c>
    </row>
    <row r="20" spans="1:3" x14ac:dyDescent="0.25">
      <c r="C20" s="25"/>
    </row>
    <row r="21" spans="1:3" x14ac:dyDescent="0.25">
      <c r="A21" s="9" t="s">
        <v>103</v>
      </c>
      <c r="C21" s="24"/>
    </row>
    <row r="22" spans="1:3" x14ac:dyDescent="0.25">
      <c r="B22" t="s">
        <v>62</v>
      </c>
      <c r="C22" s="22" t="s">
        <v>26</v>
      </c>
    </row>
    <row r="23" spans="1:3" x14ac:dyDescent="0.25">
      <c r="B23" t="s">
        <v>63</v>
      </c>
      <c r="C23" s="22">
        <v>60</v>
      </c>
    </row>
    <row r="24" spans="1:3" x14ac:dyDescent="0.25">
      <c r="B24" t="s">
        <v>64</v>
      </c>
      <c r="C24" s="23">
        <v>39448</v>
      </c>
    </row>
    <row r="25" spans="1:3" x14ac:dyDescent="0.25">
      <c r="B25" t="s">
        <v>65</v>
      </c>
      <c r="C25" s="29">
        <v>0.25</v>
      </c>
    </row>
    <row r="26" spans="1:3" x14ac:dyDescent="0.25">
      <c r="B26" t="s">
        <v>66</v>
      </c>
      <c r="C26" s="29">
        <v>1</v>
      </c>
    </row>
    <row r="27" spans="1:3" x14ac:dyDescent="0.25">
      <c r="C27" s="25"/>
    </row>
    <row r="28" spans="1:3" x14ac:dyDescent="0.25">
      <c r="A28" s="9" t="s">
        <v>104</v>
      </c>
      <c r="C28" s="24"/>
    </row>
    <row r="29" spans="1:3" x14ac:dyDescent="0.25">
      <c r="B29" t="s">
        <v>62</v>
      </c>
      <c r="C29" s="22" t="s">
        <v>26</v>
      </c>
    </row>
    <row r="30" spans="1:3" x14ac:dyDescent="0.25">
      <c r="B30" t="s">
        <v>63</v>
      </c>
      <c r="C30" s="22">
        <v>60</v>
      </c>
    </row>
    <row r="31" spans="1:3" x14ac:dyDescent="0.25">
      <c r="B31" t="s">
        <v>64</v>
      </c>
      <c r="C31" s="23">
        <v>39448</v>
      </c>
    </row>
    <row r="32" spans="1:3" x14ac:dyDescent="0.25">
      <c r="B32" t="s">
        <v>65</v>
      </c>
      <c r="C32" s="29">
        <v>0.25</v>
      </c>
    </row>
    <row r="33" spans="2:8" x14ac:dyDescent="0.25">
      <c r="B33" t="s">
        <v>66</v>
      </c>
      <c r="C33" s="29">
        <v>1</v>
      </c>
    </row>
    <row r="34" spans="2:8" x14ac:dyDescent="0.25"/>
    <row r="38" spans="2:8" hidden="1" x14ac:dyDescent="0.25">
      <c r="B38" s="119" t="s">
        <v>88</v>
      </c>
      <c r="C38" s="119"/>
      <c r="D38" s="119"/>
      <c r="F38" s="119" t="s">
        <v>95</v>
      </c>
      <c r="G38" s="119"/>
      <c r="H38" s="119"/>
    </row>
    <row r="39" spans="2:8" hidden="1" x14ac:dyDescent="0.25">
      <c r="B39" s="15" t="s">
        <v>48</v>
      </c>
      <c r="C39" s="15" t="s">
        <v>49</v>
      </c>
      <c r="D39" s="19" t="s">
        <v>74</v>
      </c>
      <c r="F39" s="15" t="s">
        <v>48</v>
      </c>
      <c r="G39" s="15" t="s">
        <v>49</v>
      </c>
      <c r="H39" s="19" t="s">
        <v>74</v>
      </c>
    </row>
    <row r="40" spans="2:8" hidden="1" x14ac:dyDescent="0.25">
      <c r="B40" s="114" t="s">
        <v>35</v>
      </c>
      <c r="C40" s="16" t="s">
        <v>50</v>
      </c>
      <c r="D40" s="21">
        <v>5</v>
      </c>
      <c r="F40" s="114" t="s">
        <v>35</v>
      </c>
      <c r="G40" s="16" t="s">
        <v>50</v>
      </c>
      <c r="H40" s="21">
        <v>5</v>
      </c>
    </row>
    <row r="41" spans="2:8" hidden="1" x14ac:dyDescent="0.25">
      <c r="B41" s="120"/>
      <c r="C41" s="16" t="s">
        <v>51</v>
      </c>
      <c r="D41" s="21">
        <v>0</v>
      </c>
      <c r="F41" s="120"/>
      <c r="G41" s="16" t="s">
        <v>51</v>
      </c>
      <c r="H41" s="21">
        <v>3</v>
      </c>
    </row>
    <row r="42" spans="2:8" hidden="1" x14ac:dyDescent="0.25">
      <c r="B42" s="120"/>
      <c r="C42" s="17" t="s">
        <v>73</v>
      </c>
      <c r="D42" s="21">
        <v>0</v>
      </c>
      <c r="F42" s="120"/>
      <c r="G42" s="17" t="s">
        <v>28</v>
      </c>
      <c r="H42" s="21">
        <v>0</v>
      </c>
    </row>
    <row r="43" spans="2:8" hidden="1" x14ac:dyDescent="0.25">
      <c r="B43" s="115"/>
      <c r="C43" s="20" t="s">
        <v>28</v>
      </c>
      <c r="D43" s="21">
        <v>-5</v>
      </c>
      <c r="F43" s="115"/>
      <c r="G43" s="19" t="s">
        <v>94</v>
      </c>
      <c r="H43" s="21" t="s">
        <v>94</v>
      </c>
    </row>
    <row r="44" spans="2:8" ht="14.45" hidden="1" customHeight="1" x14ac:dyDescent="0.25">
      <c r="B44" s="114" t="s">
        <v>58</v>
      </c>
      <c r="C44" s="17" t="s">
        <v>29</v>
      </c>
      <c r="D44" s="21">
        <v>0</v>
      </c>
      <c r="F44" s="114" t="s">
        <v>58</v>
      </c>
      <c r="G44" s="17" t="s">
        <v>29</v>
      </c>
      <c r="H44" s="21">
        <v>0</v>
      </c>
    </row>
    <row r="45" spans="2:8" hidden="1" x14ac:dyDescent="0.25">
      <c r="B45" s="120"/>
      <c r="C45" s="17" t="s">
        <v>67</v>
      </c>
      <c r="D45" s="21">
        <v>8</v>
      </c>
      <c r="F45" s="120"/>
      <c r="G45" s="17" t="s">
        <v>67</v>
      </c>
      <c r="H45" s="21">
        <v>8</v>
      </c>
    </row>
    <row r="46" spans="2:8" hidden="1" x14ac:dyDescent="0.25">
      <c r="B46" s="120"/>
      <c r="C46" s="17" t="s">
        <v>68</v>
      </c>
      <c r="D46" s="21">
        <v>10</v>
      </c>
      <c r="F46" s="120"/>
      <c r="G46" s="17" t="s">
        <v>68</v>
      </c>
      <c r="H46" s="21">
        <v>10</v>
      </c>
    </row>
    <row r="47" spans="2:8" hidden="1" x14ac:dyDescent="0.25">
      <c r="B47" s="120"/>
      <c r="C47" s="17" t="s">
        <v>69</v>
      </c>
      <c r="D47" s="21">
        <v>12</v>
      </c>
      <c r="F47" s="120"/>
      <c r="G47" s="17" t="s">
        <v>69</v>
      </c>
      <c r="H47" s="21">
        <v>12</v>
      </c>
    </row>
    <row r="48" spans="2:8" ht="30" hidden="1" x14ac:dyDescent="0.25">
      <c r="B48" s="120"/>
      <c r="C48" s="17" t="s">
        <v>70</v>
      </c>
      <c r="D48" s="21">
        <v>14</v>
      </c>
      <c r="F48" s="120"/>
      <c r="G48" s="17" t="s">
        <v>70</v>
      </c>
      <c r="H48" s="21">
        <v>14</v>
      </c>
    </row>
    <row r="49" spans="2:8" hidden="1" x14ac:dyDescent="0.25">
      <c r="B49" s="115"/>
      <c r="C49" s="17" t="s">
        <v>52</v>
      </c>
      <c r="D49" s="21">
        <v>16</v>
      </c>
      <c r="F49" s="115"/>
      <c r="G49" s="17" t="s">
        <v>52</v>
      </c>
      <c r="H49" s="21">
        <v>16</v>
      </c>
    </row>
    <row r="50" spans="2:8" hidden="1" x14ac:dyDescent="0.25">
      <c r="B50" s="114" t="s">
        <v>37</v>
      </c>
      <c r="C50" s="17" t="s">
        <v>45</v>
      </c>
      <c r="D50" s="21">
        <v>0</v>
      </c>
      <c r="F50" s="114" t="s">
        <v>37</v>
      </c>
      <c r="G50" s="17" t="s">
        <v>45</v>
      </c>
      <c r="H50" s="21">
        <v>0</v>
      </c>
    </row>
    <row r="51" spans="2:8" hidden="1" x14ac:dyDescent="0.25">
      <c r="B51" s="115"/>
      <c r="C51" s="18" t="s">
        <v>53</v>
      </c>
      <c r="D51" s="21">
        <v>1</v>
      </c>
      <c r="F51" s="115"/>
      <c r="G51" s="18" t="s">
        <v>53</v>
      </c>
      <c r="H51" s="21">
        <v>1</v>
      </c>
    </row>
    <row r="52" spans="2:8" hidden="1" x14ac:dyDescent="0.25">
      <c r="B52" s="116" t="s">
        <v>38</v>
      </c>
      <c r="C52" s="18" t="s">
        <v>30</v>
      </c>
      <c r="D52" s="21">
        <v>0</v>
      </c>
      <c r="F52" s="111" t="s">
        <v>38</v>
      </c>
      <c r="G52" s="18" t="s">
        <v>30</v>
      </c>
      <c r="H52" s="21">
        <v>0</v>
      </c>
    </row>
    <row r="53" spans="2:8" hidden="1" x14ac:dyDescent="0.25">
      <c r="B53" s="117"/>
      <c r="C53" s="18" t="s">
        <v>75</v>
      </c>
      <c r="D53" s="21">
        <v>2</v>
      </c>
      <c r="F53" s="112"/>
      <c r="G53" s="18" t="s">
        <v>54</v>
      </c>
      <c r="H53" s="21">
        <v>2</v>
      </c>
    </row>
    <row r="54" spans="2:8" hidden="1" x14ac:dyDescent="0.25">
      <c r="B54" s="118"/>
      <c r="C54" s="19" t="s">
        <v>94</v>
      </c>
      <c r="D54" s="19" t="s">
        <v>94</v>
      </c>
      <c r="F54" s="113"/>
      <c r="G54" s="18" t="s">
        <v>55</v>
      </c>
      <c r="H54" s="21">
        <v>4</v>
      </c>
    </row>
    <row r="55" spans="2:8" hidden="1" x14ac:dyDescent="0.25">
      <c r="B55" s="111" t="s">
        <v>39</v>
      </c>
      <c r="C55" s="18" t="s">
        <v>34</v>
      </c>
      <c r="D55" s="21">
        <v>0</v>
      </c>
      <c r="F55" s="111" t="s">
        <v>39</v>
      </c>
      <c r="G55" s="18" t="s">
        <v>34</v>
      </c>
      <c r="H55" s="21">
        <v>0</v>
      </c>
    </row>
    <row r="56" spans="2:8" hidden="1" x14ac:dyDescent="0.25">
      <c r="B56" s="113"/>
      <c r="C56" s="18" t="s">
        <v>71</v>
      </c>
      <c r="D56" s="21">
        <v>16</v>
      </c>
      <c r="F56" s="113"/>
      <c r="G56" s="18" t="s">
        <v>71</v>
      </c>
      <c r="H56" s="21">
        <v>16</v>
      </c>
    </row>
    <row r="57" spans="2:8" hidden="1" x14ac:dyDescent="0.25">
      <c r="B57" s="111" t="s">
        <v>42</v>
      </c>
      <c r="C57" s="18" t="s">
        <v>31</v>
      </c>
      <c r="D57" s="21">
        <v>1</v>
      </c>
      <c r="F57" s="111" t="s">
        <v>42</v>
      </c>
      <c r="G57" s="18" t="s">
        <v>31</v>
      </c>
      <c r="H57" s="21">
        <v>1</v>
      </c>
    </row>
    <row r="58" spans="2:8" hidden="1" x14ac:dyDescent="0.25">
      <c r="B58" s="113"/>
      <c r="C58" s="18" t="s">
        <v>72</v>
      </c>
      <c r="D58" s="21">
        <v>0</v>
      </c>
      <c r="F58" s="113"/>
      <c r="G58" s="18" t="s">
        <v>72</v>
      </c>
      <c r="H58" s="21">
        <v>0</v>
      </c>
    </row>
    <row r="59" spans="2:8" hidden="1" x14ac:dyDescent="0.25">
      <c r="B59" s="111" t="s">
        <v>59</v>
      </c>
      <c r="C59" s="18" t="s">
        <v>56</v>
      </c>
      <c r="D59" s="21">
        <v>0</v>
      </c>
      <c r="F59" s="111" t="s">
        <v>59</v>
      </c>
      <c r="G59" s="18" t="s">
        <v>56</v>
      </c>
      <c r="H59" s="21">
        <v>0</v>
      </c>
    </row>
    <row r="60" spans="2:8" hidden="1" x14ac:dyDescent="0.25">
      <c r="B60" s="112"/>
      <c r="C60" s="18" t="s">
        <v>76</v>
      </c>
      <c r="D60" s="21">
        <v>2</v>
      </c>
      <c r="F60" s="112"/>
      <c r="G60" s="18" t="s">
        <v>76</v>
      </c>
      <c r="H60" s="21">
        <v>2</v>
      </c>
    </row>
    <row r="61" spans="2:8" hidden="1" x14ac:dyDescent="0.25">
      <c r="B61" s="112"/>
      <c r="C61" s="18" t="s">
        <v>46</v>
      </c>
      <c r="D61" s="21">
        <v>3</v>
      </c>
      <c r="F61" s="112"/>
      <c r="G61" s="18" t="s">
        <v>46</v>
      </c>
      <c r="H61" s="21">
        <v>3</v>
      </c>
    </row>
    <row r="62" spans="2:8" hidden="1" x14ac:dyDescent="0.25">
      <c r="B62" s="113"/>
      <c r="C62" s="18" t="s">
        <v>77</v>
      </c>
      <c r="D62" s="21">
        <v>4</v>
      </c>
      <c r="F62" s="113"/>
      <c r="G62" s="18" t="s">
        <v>77</v>
      </c>
      <c r="H62" s="21">
        <v>4</v>
      </c>
    </row>
    <row r="63" spans="2:8" hidden="1" x14ac:dyDescent="0.25">
      <c r="B63" s="111" t="s">
        <v>27</v>
      </c>
      <c r="C63" s="18" t="s">
        <v>78</v>
      </c>
      <c r="D63" s="21">
        <v>0</v>
      </c>
      <c r="F63" s="111" t="s">
        <v>27</v>
      </c>
      <c r="G63" s="18" t="s">
        <v>78</v>
      </c>
      <c r="H63" s="21">
        <v>0</v>
      </c>
    </row>
    <row r="64" spans="2:8" hidden="1" x14ac:dyDescent="0.25">
      <c r="B64" s="112"/>
      <c r="C64" s="18" t="s">
        <v>47</v>
      </c>
      <c r="D64" s="21">
        <v>3</v>
      </c>
      <c r="F64" s="112"/>
      <c r="G64" s="18" t="s">
        <v>47</v>
      </c>
      <c r="H64" s="21">
        <v>6</v>
      </c>
    </row>
    <row r="65" spans="2:8" hidden="1" x14ac:dyDescent="0.25">
      <c r="B65" s="113"/>
      <c r="C65" s="18" t="s">
        <v>79</v>
      </c>
      <c r="D65" s="21">
        <v>5</v>
      </c>
      <c r="F65" s="113"/>
      <c r="G65" s="18" t="s">
        <v>79</v>
      </c>
      <c r="H65" s="21">
        <v>10</v>
      </c>
    </row>
    <row r="66" spans="2:8" hidden="1" x14ac:dyDescent="0.25">
      <c r="B66" s="111" t="s">
        <v>60</v>
      </c>
      <c r="C66" s="18" t="s">
        <v>32</v>
      </c>
      <c r="D66" s="21">
        <v>0</v>
      </c>
      <c r="F66" s="111" t="s">
        <v>60</v>
      </c>
      <c r="G66" s="18" t="s">
        <v>32</v>
      </c>
      <c r="H66" s="21">
        <v>0</v>
      </c>
    </row>
    <row r="67" spans="2:8" hidden="1" x14ac:dyDescent="0.25">
      <c r="B67" s="112"/>
      <c r="C67" s="18" t="s">
        <v>80</v>
      </c>
      <c r="D67" s="21">
        <v>0.5</v>
      </c>
      <c r="F67" s="112"/>
      <c r="G67" s="18" t="s">
        <v>80</v>
      </c>
      <c r="H67" s="21">
        <v>0.5</v>
      </c>
    </row>
    <row r="68" spans="2:8" hidden="1" x14ac:dyDescent="0.25">
      <c r="B68" s="112"/>
      <c r="C68" s="18" t="s">
        <v>81</v>
      </c>
      <c r="D68" s="21">
        <v>1</v>
      </c>
      <c r="F68" s="112"/>
      <c r="G68" s="18" t="s">
        <v>81</v>
      </c>
      <c r="H68" s="21">
        <v>1</v>
      </c>
    </row>
    <row r="69" spans="2:8" hidden="1" x14ac:dyDescent="0.25">
      <c r="B69" s="112"/>
      <c r="C69" s="18" t="s">
        <v>82</v>
      </c>
      <c r="D69" s="21">
        <v>1.5</v>
      </c>
      <c r="F69" s="112"/>
      <c r="G69" s="18" t="s">
        <v>82</v>
      </c>
      <c r="H69" s="21">
        <v>1.5</v>
      </c>
    </row>
    <row r="70" spans="2:8" hidden="1" x14ac:dyDescent="0.25">
      <c r="B70" s="112"/>
      <c r="C70" s="18" t="s">
        <v>83</v>
      </c>
      <c r="D70" s="21">
        <v>2</v>
      </c>
      <c r="F70" s="112"/>
      <c r="G70" s="18" t="s">
        <v>83</v>
      </c>
      <c r="H70" s="21">
        <v>2</v>
      </c>
    </row>
    <row r="71" spans="2:8" hidden="1" x14ac:dyDescent="0.25">
      <c r="B71" s="113"/>
      <c r="C71" s="18" t="s">
        <v>90</v>
      </c>
      <c r="D71" s="21">
        <v>4</v>
      </c>
      <c r="F71" s="113"/>
      <c r="G71" s="18" t="s">
        <v>90</v>
      </c>
      <c r="H71" s="21">
        <v>4</v>
      </c>
    </row>
    <row r="72" spans="2:8" hidden="1" x14ac:dyDescent="0.25">
      <c r="B72" s="111" t="s">
        <v>61</v>
      </c>
      <c r="C72" s="18" t="s">
        <v>33</v>
      </c>
      <c r="D72" s="21">
        <v>0</v>
      </c>
      <c r="F72" s="111" t="s">
        <v>61</v>
      </c>
      <c r="G72" s="18" t="s">
        <v>33</v>
      </c>
      <c r="H72" s="21">
        <v>0</v>
      </c>
    </row>
    <row r="73" spans="2:8" hidden="1" x14ac:dyDescent="0.25">
      <c r="B73" s="112"/>
      <c r="C73" s="18" t="s">
        <v>86</v>
      </c>
      <c r="D73" s="21">
        <v>0.5</v>
      </c>
      <c r="F73" s="112"/>
      <c r="G73" s="18" t="s">
        <v>91</v>
      </c>
      <c r="H73" s="21">
        <v>1</v>
      </c>
    </row>
    <row r="74" spans="2:8" hidden="1" x14ac:dyDescent="0.25">
      <c r="B74" s="112"/>
      <c r="C74" s="18" t="s">
        <v>87</v>
      </c>
      <c r="D74" s="21">
        <v>0.75</v>
      </c>
      <c r="F74" s="112"/>
      <c r="G74" s="18" t="s">
        <v>92</v>
      </c>
      <c r="H74" s="21">
        <v>2</v>
      </c>
    </row>
    <row r="75" spans="2:8" hidden="1" x14ac:dyDescent="0.25">
      <c r="B75" s="113"/>
      <c r="C75" s="18" t="s">
        <v>89</v>
      </c>
      <c r="D75" s="21">
        <v>1</v>
      </c>
      <c r="F75" s="112"/>
      <c r="G75" s="18" t="s">
        <v>84</v>
      </c>
      <c r="H75" s="21">
        <v>3</v>
      </c>
    </row>
    <row r="76" spans="2:8" hidden="1" x14ac:dyDescent="0.25">
      <c r="F76" s="112"/>
      <c r="G76" s="18" t="s">
        <v>85</v>
      </c>
      <c r="H76" s="21">
        <v>4</v>
      </c>
    </row>
    <row r="77" spans="2:8" hidden="1" x14ac:dyDescent="0.25">
      <c r="F77" s="113"/>
      <c r="G77" s="18" t="s">
        <v>93</v>
      </c>
      <c r="H77" s="21">
        <v>5</v>
      </c>
    </row>
  </sheetData>
  <mergeCells count="22">
    <mergeCell ref="B63:B65"/>
    <mergeCell ref="B66:B71"/>
    <mergeCell ref="B72:B75"/>
    <mergeCell ref="F40:F43"/>
    <mergeCell ref="F44:F49"/>
    <mergeCell ref="F50:F51"/>
    <mergeCell ref="F52:F54"/>
    <mergeCell ref="F55:F56"/>
    <mergeCell ref="B40:B43"/>
    <mergeCell ref="B44:B49"/>
    <mergeCell ref="B50:B51"/>
    <mergeCell ref="F57:F58"/>
    <mergeCell ref="F59:F62"/>
    <mergeCell ref="F63:F65"/>
    <mergeCell ref="F66:F71"/>
    <mergeCell ref="F72:F77"/>
    <mergeCell ref="F38:H38"/>
    <mergeCell ref="B52:B54"/>
    <mergeCell ref="B55:B56"/>
    <mergeCell ref="B57:B58"/>
    <mergeCell ref="B59:B62"/>
    <mergeCell ref="B38:D38"/>
  </mergeCells>
  <dataValidations count="13">
    <dataValidation type="list" allowBlank="1" showInputMessage="1" showErrorMessage="1" sqref="C3" xr:uid="{FC7BFE12-E2AB-4E4E-A0A2-C8C59155596A}">
      <formula1>$C$44:$C$49</formula1>
    </dataValidation>
    <dataValidation type="list" allowBlank="1" showInputMessage="1" showErrorMessage="1" sqref="C2" xr:uid="{88CDA033-027E-4BFB-8780-E7C017ED55CB}">
      <formula1>$G$40:$G$42</formula1>
    </dataValidation>
    <dataValidation type="list" allowBlank="1" showInputMessage="1" showErrorMessage="1" sqref="C4" xr:uid="{96B6F271-A148-4CC5-ABF7-6697FF4400AB}">
      <formula1>$G$50:$G$51</formula1>
    </dataValidation>
    <dataValidation type="list" allowBlank="1" showInputMessage="1" showErrorMessage="1" sqref="C5" xr:uid="{EF40446A-FD4B-4F6F-9597-FE361A604F1B}">
      <formula1>$G$52:$G$54</formula1>
    </dataValidation>
    <dataValidation type="list" allowBlank="1" showInputMessage="1" showErrorMessage="1" sqref="C6" xr:uid="{CADCC540-DF2B-48A0-909E-27BBEDBDD84F}">
      <formula1>$G$55:$G$56</formula1>
    </dataValidation>
    <dataValidation type="list" allowBlank="1" showInputMessage="1" showErrorMessage="1" sqref="C7" xr:uid="{2C8AFC25-1451-47C2-927E-2F1873E6F4C1}">
      <formula1>$G$66:$G$71</formula1>
    </dataValidation>
    <dataValidation type="list" allowBlank="1" showInputMessage="1" showErrorMessage="1" sqref="C8" xr:uid="{530C2A1D-3012-405B-950A-4677A4C66C82}">
      <formula1>$G$72:$G$77</formula1>
    </dataValidation>
    <dataValidation type="list" allowBlank="1" showInputMessage="1" showErrorMessage="1" sqref="C9" xr:uid="{9C38F7B1-CD1E-42A4-ACE3-FA59E191C799}">
      <formula1>$G$57:$G$58</formula1>
    </dataValidation>
    <dataValidation type="list" allowBlank="1" showInputMessage="1" showErrorMessage="1" sqref="C10" xr:uid="{4BC45111-736F-4E03-9F81-56833F2DC081}">
      <formula1>$G$59:$G$62</formula1>
    </dataValidation>
    <dataValidation type="list" allowBlank="1" showInputMessage="1" showErrorMessage="1" sqref="C20 C11 C17" xr:uid="{3BF2BD44-970E-49BC-9BCB-318E041A56E3}">
      <formula1>$G$63:$G$65</formula1>
    </dataValidation>
    <dataValidation type="list" allowBlank="1" showInputMessage="1" showErrorMessage="1" sqref="C22 C29" xr:uid="{735F24F9-0A0C-459B-B465-53F53CCDA1B0}">
      <formula1>"Yes,No"</formula1>
    </dataValidation>
    <dataValidation type="date" allowBlank="1" showInputMessage="1" showErrorMessage="1" errorTitle="Data Type Error" error="Should be Data" sqref="C24 C31" xr:uid="{6190563D-B1D8-444F-993A-247A29CC779B}">
      <formula1>16438</formula1>
      <formula2>401769</formula2>
    </dataValidation>
    <dataValidation type="list" allowBlank="1" showInputMessage="1" showErrorMessage="1" sqref="C19" xr:uid="{69E9CF2F-E0F7-4873-8874-76B2CD924464}">
      <formula1>"No,Yes"</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86AA6-F4DC-4ADC-BA56-A72CD12B6DDB}">
  <sheetPr codeName="Sheet18">
    <tabColor rgb="FFA3B8BA"/>
  </sheetPr>
  <dimension ref="A1:H77"/>
  <sheetViews>
    <sheetView showGridLines="0" zoomScaleNormal="100" workbookViewId="0">
      <selection activeCell="A21" sqref="A21"/>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102</v>
      </c>
      <c r="C1" s="24"/>
    </row>
    <row r="2" spans="1:3" x14ac:dyDescent="0.25">
      <c r="B2" t="s">
        <v>35</v>
      </c>
      <c r="C2" s="22" t="s">
        <v>28</v>
      </c>
    </row>
    <row r="3" spans="1:3" x14ac:dyDescent="0.25">
      <c r="B3" t="s">
        <v>36</v>
      </c>
      <c r="C3" s="22" t="s">
        <v>29</v>
      </c>
    </row>
    <row r="4" spans="1:3" x14ac:dyDescent="0.25">
      <c r="B4" t="s">
        <v>37</v>
      </c>
      <c r="C4" s="22" t="s">
        <v>45</v>
      </c>
    </row>
    <row r="5" spans="1:3" x14ac:dyDescent="0.25">
      <c r="B5" t="s">
        <v>38</v>
      </c>
      <c r="C5" s="22" t="s">
        <v>30</v>
      </c>
    </row>
    <row r="6" spans="1:3" x14ac:dyDescent="0.25">
      <c r="B6" t="s">
        <v>39</v>
      </c>
      <c r="C6" s="22" t="s">
        <v>34</v>
      </c>
    </row>
    <row r="7" spans="1:3" x14ac:dyDescent="0.25">
      <c r="B7" t="s">
        <v>40</v>
      </c>
      <c r="C7" s="22" t="s">
        <v>80</v>
      </c>
    </row>
    <row r="8" spans="1:3" x14ac:dyDescent="0.25">
      <c r="B8" t="s">
        <v>41</v>
      </c>
      <c r="C8" s="22" t="s">
        <v>91</v>
      </c>
    </row>
    <row r="9" spans="1:3" x14ac:dyDescent="0.25">
      <c r="B9" t="s">
        <v>42</v>
      </c>
      <c r="C9" s="22" t="s">
        <v>31</v>
      </c>
    </row>
    <row r="10" spans="1:3" x14ac:dyDescent="0.25">
      <c r="B10" t="s">
        <v>43</v>
      </c>
      <c r="C10" s="22" t="s">
        <v>56</v>
      </c>
    </row>
    <row r="11" spans="1:3" x14ac:dyDescent="0.25">
      <c r="B11" t="s">
        <v>44</v>
      </c>
      <c r="C11" s="22" t="s">
        <v>57</v>
      </c>
    </row>
    <row r="12" spans="1:3" x14ac:dyDescent="0.25"/>
    <row r="13" spans="1:3" x14ac:dyDescent="0.25">
      <c r="B13" t="s">
        <v>334</v>
      </c>
      <c r="C13" s="92">
        <v>0.08</v>
      </c>
    </row>
    <row r="14" spans="1:3" x14ac:dyDescent="0.25"/>
    <row r="15" spans="1:3" x14ac:dyDescent="0.25">
      <c r="B15" t="s">
        <v>402</v>
      </c>
      <c r="C15" s="92">
        <v>0.43</v>
      </c>
    </row>
    <row r="16" spans="1:3" x14ac:dyDescent="0.25">
      <c r="B16" t="s">
        <v>403</v>
      </c>
      <c r="C16" s="92">
        <v>0.48</v>
      </c>
    </row>
    <row r="17" spans="1:3" x14ac:dyDescent="0.25">
      <c r="C17" s="25"/>
    </row>
    <row r="18" spans="1:3" x14ac:dyDescent="0.25">
      <c r="A18" s="9" t="s">
        <v>254</v>
      </c>
    </row>
    <row r="19" spans="1:3" x14ac:dyDescent="0.25">
      <c r="B19" t="s">
        <v>253</v>
      </c>
      <c r="C19" s="22" t="s">
        <v>26</v>
      </c>
    </row>
    <row r="20" spans="1:3" x14ac:dyDescent="0.25">
      <c r="C20" s="25"/>
    </row>
    <row r="21" spans="1:3" x14ac:dyDescent="0.25">
      <c r="A21" s="9" t="s">
        <v>103</v>
      </c>
      <c r="C21" s="24"/>
    </row>
    <row r="22" spans="1:3" x14ac:dyDescent="0.25">
      <c r="B22" t="s">
        <v>62</v>
      </c>
      <c r="C22" s="22" t="s">
        <v>26</v>
      </c>
    </row>
    <row r="23" spans="1:3" x14ac:dyDescent="0.25">
      <c r="B23" t="s">
        <v>63</v>
      </c>
      <c r="C23" s="22">
        <v>60</v>
      </c>
    </row>
    <row r="24" spans="1:3" x14ac:dyDescent="0.25">
      <c r="B24" t="s">
        <v>64</v>
      </c>
      <c r="C24" s="23">
        <v>39448</v>
      </c>
    </row>
    <row r="25" spans="1:3" x14ac:dyDescent="0.25">
      <c r="B25" t="s">
        <v>65</v>
      </c>
      <c r="C25" s="29">
        <v>0.25</v>
      </c>
    </row>
    <row r="26" spans="1:3" x14ac:dyDescent="0.25">
      <c r="B26" t="s">
        <v>66</v>
      </c>
      <c r="C26" s="29">
        <v>1</v>
      </c>
    </row>
    <row r="27" spans="1:3" x14ac:dyDescent="0.25">
      <c r="C27" s="25"/>
    </row>
    <row r="28" spans="1:3" x14ac:dyDescent="0.25">
      <c r="A28" s="9" t="s">
        <v>104</v>
      </c>
      <c r="C28" s="24"/>
    </row>
    <row r="29" spans="1:3" x14ac:dyDescent="0.25">
      <c r="B29" t="s">
        <v>62</v>
      </c>
      <c r="C29" s="22" t="s">
        <v>26</v>
      </c>
    </row>
    <row r="30" spans="1:3" x14ac:dyDescent="0.25">
      <c r="B30" t="s">
        <v>63</v>
      </c>
      <c r="C30" s="22">
        <v>60</v>
      </c>
    </row>
    <row r="31" spans="1:3" x14ac:dyDescent="0.25">
      <c r="B31" t="s">
        <v>64</v>
      </c>
      <c r="C31" s="23">
        <v>39448</v>
      </c>
    </row>
    <row r="32" spans="1:3" x14ac:dyDescent="0.25">
      <c r="B32" t="s">
        <v>65</v>
      </c>
      <c r="C32" s="29">
        <v>0.25</v>
      </c>
    </row>
    <row r="33" spans="2:8" x14ac:dyDescent="0.25">
      <c r="B33" t="s">
        <v>66</v>
      </c>
      <c r="C33" s="29">
        <v>1</v>
      </c>
    </row>
    <row r="34" spans="2:8" x14ac:dyDescent="0.25"/>
    <row r="38" spans="2:8" hidden="1" x14ac:dyDescent="0.25">
      <c r="B38" s="119" t="s">
        <v>88</v>
      </c>
      <c r="C38" s="119"/>
      <c r="D38" s="119"/>
      <c r="F38" s="119" t="s">
        <v>95</v>
      </c>
      <c r="G38" s="119"/>
      <c r="H38" s="119"/>
    </row>
    <row r="39" spans="2:8" hidden="1" x14ac:dyDescent="0.25">
      <c r="B39" s="15" t="s">
        <v>48</v>
      </c>
      <c r="C39" s="15" t="s">
        <v>49</v>
      </c>
      <c r="D39" s="19" t="s">
        <v>74</v>
      </c>
      <c r="F39" s="15" t="s">
        <v>48</v>
      </c>
      <c r="G39" s="15" t="s">
        <v>49</v>
      </c>
      <c r="H39" s="19" t="s">
        <v>74</v>
      </c>
    </row>
    <row r="40" spans="2:8" hidden="1" x14ac:dyDescent="0.25">
      <c r="B40" s="114" t="s">
        <v>35</v>
      </c>
      <c r="C40" s="16" t="s">
        <v>50</v>
      </c>
      <c r="D40" s="21">
        <v>5</v>
      </c>
      <c r="F40" s="114" t="s">
        <v>35</v>
      </c>
      <c r="G40" s="16" t="s">
        <v>50</v>
      </c>
      <c r="H40" s="21">
        <v>5</v>
      </c>
    </row>
    <row r="41" spans="2:8" hidden="1" x14ac:dyDescent="0.25">
      <c r="B41" s="120"/>
      <c r="C41" s="16" t="s">
        <v>51</v>
      </c>
      <c r="D41" s="21">
        <v>0</v>
      </c>
      <c r="F41" s="120"/>
      <c r="G41" s="16" t="s">
        <v>51</v>
      </c>
      <c r="H41" s="21">
        <v>3</v>
      </c>
    </row>
    <row r="42" spans="2:8" hidden="1" x14ac:dyDescent="0.25">
      <c r="B42" s="120"/>
      <c r="C42" s="17" t="s">
        <v>73</v>
      </c>
      <c r="D42" s="21">
        <v>0</v>
      </c>
      <c r="F42" s="120"/>
      <c r="G42" s="17" t="s">
        <v>28</v>
      </c>
      <c r="H42" s="21">
        <v>0</v>
      </c>
    </row>
    <row r="43" spans="2:8" hidden="1" x14ac:dyDescent="0.25">
      <c r="B43" s="115"/>
      <c r="C43" s="20" t="s">
        <v>28</v>
      </c>
      <c r="D43" s="21">
        <v>-5</v>
      </c>
      <c r="F43" s="115"/>
      <c r="G43" s="19" t="s">
        <v>94</v>
      </c>
      <c r="H43" s="21" t="s">
        <v>94</v>
      </c>
    </row>
    <row r="44" spans="2:8" ht="14.45" hidden="1" customHeight="1" x14ac:dyDescent="0.25">
      <c r="B44" s="114" t="s">
        <v>58</v>
      </c>
      <c r="C44" s="17" t="s">
        <v>29</v>
      </c>
      <c r="D44" s="21">
        <v>0</v>
      </c>
      <c r="F44" s="114" t="s">
        <v>58</v>
      </c>
      <c r="G44" s="17" t="s">
        <v>29</v>
      </c>
      <c r="H44" s="21">
        <v>0</v>
      </c>
    </row>
    <row r="45" spans="2:8" hidden="1" x14ac:dyDescent="0.25">
      <c r="B45" s="120"/>
      <c r="C45" s="17" t="s">
        <v>67</v>
      </c>
      <c r="D45" s="21">
        <v>8</v>
      </c>
      <c r="F45" s="120"/>
      <c r="G45" s="17" t="s">
        <v>67</v>
      </c>
      <c r="H45" s="21">
        <v>8</v>
      </c>
    </row>
    <row r="46" spans="2:8" hidden="1" x14ac:dyDescent="0.25">
      <c r="B46" s="120"/>
      <c r="C46" s="17" t="s">
        <v>68</v>
      </c>
      <c r="D46" s="21">
        <v>10</v>
      </c>
      <c r="F46" s="120"/>
      <c r="G46" s="17" t="s">
        <v>68</v>
      </c>
      <c r="H46" s="21">
        <v>10</v>
      </c>
    </row>
    <row r="47" spans="2:8" hidden="1" x14ac:dyDescent="0.25">
      <c r="B47" s="120"/>
      <c r="C47" s="17" t="s">
        <v>69</v>
      </c>
      <c r="D47" s="21">
        <v>12</v>
      </c>
      <c r="F47" s="120"/>
      <c r="G47" s="17" t="s">
        <v>69</v>
      </c>
      <c r="H47" s="21">
        <v>12</v>
      </c>
    </row>
    <row r="48" spans="2:8" ht="30" hidden="1" x14ac:dyDescent="0.25">
      <c r="B48" s="120"/>
      <c r="C48" s="17" t="s">
        <v>70</v>
      </c>
      <c r="D48" s="21">
        <v>14</v>
      </c>
      <c r="F48" s="120"/>
      <c r="G48" s="17" t="s">
        <v>70</v>
      </c>
      <c r="H48" s="21">
        <v>14</v>
      </c>
    </row>
    <row r="49" spans="2:8" hidden="1" x14ac:dyDescent="0.25">
      <c r="B49" s="115"/>
      <c r="C49" s="17" t="s">
        <v>52</v>
      </c>
      <c r="D49" s="21">
        <v>16</v>
      </c>
      <c r="F49" s="115"/>
      <c r="G49" s="17" t="s">
        <v>52</v>
      </c>
      <c r="H49" s="21">
        <v>16</v>
      </c>
    </row>
    <row r="50" spans="2:8" hidden="1" x14ac:dyDescent="0.25">
      <c r="B50" s="114" t="s">
        <v>37</v>
      </c>
      <c r="C50" s="17" t="s">
        <v>45</v>
      </c>
      <c r="D50" s="21">
        <v>0</v>
      </c>
      <c r="F50" s="114" t="s">
        <v>37</v>
      </c>
      <c r="G50" s="17" t="s">
        <v>45</v>
      </c>
      <c r="H50" s="21">
        <v>0</v>
      </c>
    </row>
    <row r="51" spans="2:8" hidden="1" x14ac:dyDescent="0.25">
      <c r="B51" s="115"/>
      <c r="C51" s="18" t="s">
        <v>53</v>
      </c>
      <c r="D51" s="21">
        <v>1</v>
      </c>
      <c r="F51" s="115"/>
      <c r="G51" s="18" t="s">
        <v>53</v>
      </c>
      <c r="H51" s="21">
        <v>1</v>
      </c>
    </row>
    <row r="52" spans="2:8" hidden="1" x14ac:dyDescent="0.25">
      <c r="B52" s="116" t="s">
        <v>38</v>
      </c>
      <c r="C52" s="18" t="s">
        <v>30</v>
      </c>
      <c r="D52" s="21">
        <v>0</v>
      </c>
      <c r="F52" s="111" t="s">
        <v>38</v>
      </c>
      <c r="G52" s="18" t="s">
        <v>30</v>
      </c>
      <c r="H52" s="21">
        <v>0</v>
      </c>
    </row>
    <row r="53" spans="2:8" hidden="1" x14ac:dyDescent="0.25">
      <c r="B53" s="117"/>
      <c r="C53" s="18" t="s">
        <v>75</v>
      </c>
      <c r="D53" s="21">
        <v>2</v>
      </c>
      <c r="F53" s="112"/>
      <c r="G53" s="18" t="s">
        <v>54</v>
      </c>
      <c r="H53" s="21">
        <v>2</v>
      </c>
    </row>
    <row r="54" spans="2:8" hidden="1" x14ac:dyDescent="0.25">
      <c r="B54" s="118"/>
      <c r="C54" s="19" t="s">
        <v>94</v>
      </c>
      <c r="D54" s="19" t="s">
        <v>94</v>
      </c>
      <c r="F54" s="113"/>
      <c r="G54" s="18" t="s">
        <v>55</v>
      </c>
      <c r="H54" s="21">
        <v>4</v>
      </c>
    </row>
    <row r="55" spans="2:8" hidden="1" x14ac:dyDescent="0.25">
      <c r="B55" s="111" t="s">
        <v>39</v>
      </c>
      <c r="C55" s="18" t="s">
        <v>34</v>
      </c>
      <c r="D55" s="21">
        <v>0</v>
      </c>
      <c r="F55" s="111" t="s">
        <v>39</v>
      </c>
      <c r="G55" s="18" t="s">
        <v>34</v>
      </c>
      <c r="H55" s="21">
        <v>0</v>
      </c>
    </row>
    <row r="56" spans="2:8" hidden="1" x14ac:dyDescent="0.25">
      <c r="B56" s="113"/>
      <c r="C56" s="18" t="s">
        <v>71</v>
      </c>
      <c r="D56" s="21">
        <v>16</v>
      </c>
      <c r="F56" s="113"/>
      <c r="G56" s="18" t="s">
        <v>71</v>
      </c>
      <c r="H56" s="21">
        <v>16</v>
      </c>
    </row>
    <row r="57" spans="2:8" hidden="1" x14ac:dyDescent="0.25">
      <c r="B57" s="111" t="s">
        <v>42</v>
      </c>
      <c r="C57" s="18" t="s">
        <v>31</v>
      </c>
      <c r="D57" s="21">
        <v>1</v>
      </c>
      <c r="F57" s="111" t="s">
        <v>42</v>
      </c>
      <c r="G57" s="18" t="s">
        <v>31</v>
      </c>
      <c r="H57" s="21">
        <v>1</v>
      </c>
    </row>
    <row r="58" spans="2:8" hidden="1" x14ac:dyDescent="0.25">
      <c r="B58" s="113"/>
      <c r="C58" s="18" t="s">
        <v>72</v>
      </c>
      <c r="D58" s="21">
        <v>0</v>
      </c>
      <c r="F58" s="113"/>
      <c r="G58" s="18" t="s">
        <v>72</v>
      </c>
      <c r="H58" s="21">
        <v>0</v>
      </c>
    </row>
    <row r="59" spans="2:8" hidden="1" x14ac:dyDescent="0.25">
      <c r="B59" s="111" t="s">
        <v>59</v>
      </c>
      <c r="C59" s="18" t="s">
        <v>56</v>
      </c>
      <c r="D59" s="21">
        <v>0</v>
      </c>
      <c r="F59" s="111" t="s">
        <v>59</v>
      </c>
      <c r="G59" s="18" t="s">
        <v>56</v>
      </c>
      <c r="H59" s="21">
        <v>0</v>
      </c>
    </row>
    <row r="60" spans="2:8" hidden="1" x14ac:dyDescent="0.25">
      <c r="B60" s="112"/>
      <c r="C60" s="18" t="s">
        <v>76</v>
      </c>
      <c r="D60" s="21">
        <v>2</v>
      </c>
      <c r="F60" s="112"/>
      <c r="G60" s="18" t="s">
        <v>76</v>
      </c>
      <c r="H60" s="21">
        <v>2</v>
      </c>
    </row>
    <row r="61" spans="2:8" hidden="1" x14ac:dyDescent="0.25">
      <c r="B61" s="112"/>
      <c r="C61" s="18" t="s">
        <v>46</v>
      </c>
      <c r="D61" s="21">
        <v>3</v>
      </c>
      <c r="F61" s="112"/>
      <c r="G61" s="18" t="s">
        <v>46</v>
      </c>
      <c r="H61" s="21">
        <v>3</v>
      </c>
    </row>
    <row r="62" spans="2:8" hidden="1" x14ac:dyDescent="0.25">
      <c r="B62" s="113"/>
      <c r="C62" s="18" t="s">
        <v>77</v>
      </c>
      <c r="D62" s="21">
        <v>4</v>
      </c>
      <c r="F62" s="113"/>
      <c r="G62" s="18" t="s">
        <v>77</v>
      </c>
      <c r="H62" s="21">
        <v>4</v>
      </c>
    </row>
    <row r="63" spans="2:8" hidden="1" x14ac:dyDescent="0.25">
      <c r="B63" s="111" t="s">
        <v>27</v>
      </c>
      <c r="C63" s="18" t="s">
        <v>78</v>
      </c>
      <c r="D63" s="21">
        <v>0</v>
      </c>
      <c r="F63" s="111" t="s">
        <v>27</v>
      </c>
      <c r="G63" s="18" t="s">
        <v>78</v>
      </c>
      <c r="H63" s="21">
        <v>0</v>
      </c>
    </row>
    <row r="64" spans="2:8" hidden="1" x14ac:dyDescent="0.25">
      <c r="B64" s="112"/>
      <c r="C64" s="18" t="s">
        <v>47</v>
      </c>
      <c r="D64" s="21">
        <v>3</v>
      </c>
      <c r="F64" s="112"/>
      <c r="G64" s="18" t="s">
        <v>47</v>
      </c>
      <c r="H64" s="21">
        <v>6</v>
      </c>
    </row>
    <row r="65" spans="2:8" hidden="1" x14ac:dyDescent="0.25">
      <c r="B65" s="113"/>
      <c r="C65" s="18" t="s">
        <v>79</v>
      </c>
      <c r="D65" s="21">
        <v>5</v>
      </c>
      <c r="F65" s="113"/>
      <c r="G65" s="18" t="s">
        <v>79</v>
      </c>
      <c r="H65" s="21">
        <v>10</v>
      </c>
    </row>
    <row r="66" spans="2:8" hidden="1" x14ac:dyDescent="0.25">
      <c r="B66" s="111" t="s">
        <v>60</v>
      </c>
      <c r="C66" s="18" t="s">
        <v>32</v>
      </c>
      <c r="D66" s="21">
        <v>0</v>
      </c>
      <c r="F66" s="111" t="s">
        <v>60</v>
      </c>
      <c r="G66" s="18" t="s">
        <v>32</v>
      </c>
      <c r="H66" s="21">
        <v>0</v>
      </c>
    </row>
    <row r="67" spans="2:8" hidden="1" x14ac:dyDescent="0.25">
      <c r="B67" s="112"/>
      <c r="C67" s="18" t="s">
        <v>80</v>
      </c>
      <c r="D67" s="21">
        <v>0.5</v>
      </c>
      <c r="F67" s="112"/>
      <c r="G67" s="18" t="s">
        <v>80</v>
      </c>
      <c r="H67" s="21">
        <v>0.5</v>
      </c>
    </row>
    <row r="68" spans="2:8" hidden="1" x14ac:dyDescent="0.25">
      <c r="B68" s="112"/>
      <c r="C68" s="18" t="s">
        <v>81</v>
      </c>
      <c r="D68" s="21">
        <v>1</v>
      </c>
      <c r="F68" s="112"/>
      <c r="G68" s="18" t="s">
        <v>81</v>
      </c>
      <c r="H68" s="21">
        <v>1</v>
      </c>
    </row>
    <row r="69" spans="2:8" hidden="1" x14ac:dyDescent="0.25">
      <c r="B69" s="112"/>
      <c r="C69" s="18" t="s">
        <v>82</v>
      </c>
      <c r="D69" s="21">
        <v>1.5</v>
      </c>
      <c r="F69" s="112"/>
      <c r="G69" s="18" t="s">
        <v>82</v>
      </c>
      <c r="H69" s="21">
        <v>1.5</v>
      </c>
    </row>
    <row r="70" spans="2:8" hidden="1" x14ac:dyDescent="0.25">
      <c r="B70" s="112"/>
      <c r="C70" s="18" t="s">
        <v>83</v>
      </c>
      <c r="D70" s="21">
        <v>2</v>
      </c>
      <c r="F70" s="112"/>
      <c r="G70" s="18" t="s">
        <v>83</v>
      </c>
      <c r="H70" s="21">
        <v>2</v>
      </c>
    </row>
    <row r="71" spans="2:8" hidden="1" x14ac:dyDescent="0.25">
      <c r="B71" s="113"/>
      <c r="C71" s="18" t="s">
        <v>90</v>
      </c>
      <c r="D71" s="21">
        <v>4</v>
      </c>
      <c r="F71" s="113"/>
      <c r="G71" s="18" t="s">
        <v>90</v>
      </c>
      <c r="H71" s="21">
        <v>4</v>
      </c>
    </row>
    <row r="72" spans="2:8" hidden="1" x14ac:dyDescent="0.25">
      <c r="B72" s="111" t="s">
        <v>61</v>
      </c>
      <c r="C72" s="18" t="s">
        <v>33</v>
      </c>
      <c r="D72" s="21">
        <v>0</v>
      </c>
      <c r="F72" s="111" t="s">
        <v>61</v>
      </c>
      <c r="G72" s="18" t="s">
        <v>33</v>
      </c>
      <c r="H72" s="21">
        <v>0</v>
      </c>
    </row>
    <row r="73" spans="2:8" hidden="1" x14ac:dyDescent="0.25">
      <c r="B73" s="112"/>
      <c r="C73" s="18" t="s">
        <v>86</v>
      </c>
      <c r="D73" s="21">
        <v>0.5</v>
      </c>
      <c r="F73" s="112"/>
      <c r="G73" s="18" t="s">
        <v>91</v>
      </c>
      <c r="H73" s="21">
        <v>1</v>
      </c>
    </row>
    <row r="74" spans="2:8" hidden="1" x14ac:dyDescent="0.25">
      <c r="B74" s="112"/>
      <c r="C74" s="18" t="s">
        <v>87</v>
      </c>
      <c r="D74" s="21">
        <v>0.75</v>
      </c>
      <c r="F74" s="112"/>
      <c r="G74" s="18" t="s">
        <v>92</v>
      </c>
      <c r="H74" s="21">
        <v>2</v>
      </c>
    </row>
    <row r="75" spans="2:8" hidden="1" x14ac:dyDescent="0.25">
      <c r="B75" s="113"/>
      <c r="C75" s="18" t="s">
        <v>89</v>
      </c>
      <c r="D75" s="21">
        <v>1</v>
      </c>
      <c r="F75" s="112"/>
      <c r="G75" s="18" t="s">
        <v>84</v>
      </c>
      <c r="H75" s="21">
        <v>3</v>
      </c>
    </row>
    <row r="76" spans="2:8" hidden="1" x14ac:dyDescent="0.25">
      <c r="F76" s="112"/>
      <c r="G76" s="18" t="s">
        <v>85</v>
      </c>
      <c r="H76" s="21">
        <v>4</v>
      </c>
    </row>
    <row r="77" spans="2:8" hidden="1" x14ac:dyDescent="0.25">
      <c r="F77" s="113"/>
      <c r="G77" s="18" t="s">
        <v>93</v>
      </c>
      <c r="H77" s="21">
        <v>5</v>
      </c>
    </row>
  </sheetData>
  <mergeCells count="22">
    <mergeCell ref="B38:D38"/>
    <mergeCell ref="F38:H38"/>
    <mergeCell ref="B40:B43"/>
    <mergeCell ref="F40:F43"/>
    <mergeCell ref="B44:B49"/>
    <mergeCell ref="F44:F49"/>
    <mergeCell ref="B50:B51"/>
    <mergeCell ref="F50:F51"/>
    <mergeCell ref="B52:B54"/>
    <mergeCell ref="F52:F54"/>
    <mergeCell ref="B55:B56"/>
    <mergeCell ref="F55:F56"/>
    <mergeCell ref="B66:B71"/>
    <mergeCell ref="F66:F71"/>
    <mergeCell ref="B72:B75"/>
    <mergeCell ref="F72:F77"/>
    <mergeCell ref="B57:B58"/>
    <mergeCell ref="F57:F58"/>
    <mergeCell ref="B59:B62"/>
    <mergeCell ref="F59:F62"/>
    <mergeCell ref="B63:B65"/>
    <mergeCell ref="F63:F65"/>
  </mergeCells>
  <dataValidations count="13">
    <dataValidation type="list" allowBlank="1" showInputMessage="1" showErrorMessage="1" sqref="C19" xr:uid="{2FDDC6F9-2A2F-407D-BE22-B0723E38DEAD}">
      <formula1>"No,Yes"</formula1>
    </dataValidation>
    <dataValidation type="date" allowBlank="1" showInputMessage="1" showErrorMessage="1" errorTitle="Data Type Error" error="Should be Data" sqref="C24 C31" xr:uid="{73A85250-6066-47CE-9607-7B009C8F6F4F}">
      <formula1>16438</formula1>
      <formula2>401769</formula2>
    </dataValidation>
    <dataValidation type="list" allowBlank="1" showInputMessage="1" showErrorMessage="1" sqref="C22 C29" xr:uid="{DF4D22EE-BC52-4DE8-BE34-EF35DDEB96EC}">
      <formula1>"Yes,No"</formula1>
    </dataValidation>
    <dataValidation type="list" allowBlank="1" showInputMessage="1" showErrorMessage="1" sqref="C20 C11 C17" xr:uid="{258EB51B-3582-444A-8487-61673BD428CE}">
      <formula1>$G$63:$G$65</formula1>
    </dataValidation>
    <dataValidation type="list" allowBlank="1" showInputMessage="1" showErrorMessage="1" sqref="C10" xr:uid="{4735F13D-EEC2-4300-8988-F7E086C22AF6}">
      <formula1>$G$59:$G$62</formula1>
    </dataValidation>
    <dataValidation type="list" allowBlank="1" showInputMessage="1" showErrorMessage="1" sqref="C9" xr:uid="{626C3FB6-2938-4A4C-B105-E9CC25999A61}">
      <formula1>$G$57:$G$58</formula1>
    </dataValidation>
    <dataValidation type="list" allowBlank="1" showInputMessage="1" showErrorMessage="1" sqref="C8" xr:uid="{C8162B40-B9B4-4FE6-A08B-56EEEF00028A}">
      <formula1>$G$72:$G$77</formula1>
    </dataValidation>
    <dataValidation type="list" allowBlank="1" showInputMessage="1" showErrorMessage="1" sqref="C7" xr:uid="{49B256AE-855C-4D8B-A0A4-099E47785417}">
      <formula1>$G$66:$G$71</formula1>
    </dataValidation>
    <dataValidation type="list" allowBlank="1" showInputMessage="1" showErrorMessage="1" sqref="C6" xr:uid="{E65EDB4B-EBD9-465D-A168-029C40D28D05}">
      <formula1>$G$55:$G$56</formula1>
    </dataValidation>
    <dataValidation type="list" allowBlank="1" showInputMessage="1" showErrorMessage="1" sqref="C5" xr:uid="{EB5FD7B5-6FD1-48EA-9C03-FDD015651A0A}">
      <formula1>$G$52:$G$54</formula1>
    </dataValidation>
    <dataValidation type="list" allowBlank="1" showInputMessage="1" showErrorMessage="1" sqref="C4" xr:uid="{0A60BD8D-6CB8-45C0-8E94-4C8819CC9DFC}">
      <formula1>$G$50:$G$51</formula1>
    </dataValidation>
    <dataValidation type="list" allowBlank="1" showInputMessage="1" showErrorMessage="1" sqref="C2" xr:uid="{DC427ED4-C814-4213-A9ED-210E5845EF0B}">
      <formula1>$G$40:$G$42</formula1>
    </dataValidation>
    <dataValidation type="list" allowBlank="1" showInputMessage="1" showErrorMessage="1" sqref="C3" xr:uid="{5A60FE5F-35BE-4191-825A-649A3BC4180A}">
      <formula1>$C$44:$C$49</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5C959-0B26-48B5-BDCC-D49AAC6E41DF}">
  <sheetPr codeName="Sheet32">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94A7196E-FBC8-4CB7-B6CE-2D763BB3DBED}">
      <formula1>0</formula1>
    </dataValidation>
    <dataValidation type="decimal" operator="greaterThan" allowBlank="1" showInputMessage="1" showErrorMessage="1" errorTitle="Data Type Error" error="Should be Number not Text" sqref="B51:C1048576" xr:uid="{771284CA-BF0A-47B5-98C7-105E47C59BD2}">
      <formula1>0</formula1>
    </dataValidation>
    <dataValidation type="whole" operator="greaterThan" allowBlank="1" showInputMessage="1" showErrorMessage="1" errorTitle="Data Type Error" error="Should be Number not Text" sqref="A2:A1048576" xr:uid="{BC16BECB-4F0E-4855-A29A-3433498C58BB}">
      <formula1>0</formula1>
    </dataValidation>
    <dataValidation operator="greaterThan" allowBlank="1" showInputMessage="1" showErrorMessage="1" errorTitle="Data Type Error" error="Should be Number not Text." sqref="D1:XFD1" xr:uid="{6D648557-248E-46E0-9517-7D5EAB522D5C}"/>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A2487-3E26-444B-BFAF-83801C06B7AF}">
  <sheetPr codeName="Sheet33">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15F19FD5-6011-4C28-943B-6C162AADE31D}">
      <formula1>0</formula1>
    </dataValidation>
    <dataValidation type="decimal" operator="greaterThan" allowBlank="1" showInputMessage="1" showErrorMessage="1" errorTitle="Data Type Error" error="Should be Number not Text" sqref="B51:C1048576" xr:uid="{1A86421D-3CFB-4AFD-BCD7-FACEE38377A7}">
      <formula1>0</formula1>
    </dataValidation>
    <dataValidation type="whole" operator="greaterThan" allowBlank="1" showInputMessage="1" showErrorMessage="1" errorTitle="Data Type Error" error="Should be Number not Text" sqref="A2:A1048576" xr:uid="{4CC1CE00-F312-4CFA-8E5C-3413B63B9589}">
      <formula1>0</formula1>
    </dataValidation>
    <dataValidation operator="greaterThan" allowBlank="1" showInputMessage="1" showErrorMessage="1" errorTitle="Data Type Error" error="Should be Number not Text." sqref="D1:XFD1" xr:uid="{2BD5A675-635D-4218-AC68-7E69191EEF87}"/>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ettings" size="large" onAction="Python_Settings" image="python" supertip="python Settings"/>
          <!--
                    <button id="btns_btnPY1" label="Pyton" size="normal" onAction="Python_Installation" image="python" supertip="python installation"  />
                    <button id="btns_btnPY2" label="Conda" size="normal" onAction="Conda_Installation" image="CondaIC" supertip="Conda Installation"  />
                    <button id="btns_btnPY3" label="Embeddable Package" size="normal" onAction="EmbeddablePackage_Installation" image="EMDIC" supertip="Embeddable Package Installation"  />                    
 					 -->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
                 <group id="grp_btnsS" label="Economic Analysis">
                    <button id="btns_btnS1" label="Sensitivity" size="large" onAction="goto_Sens" image="sensIC" supertip="Sensitivity Analysis"  />
                    <button id="btns_btnS2" label="MonteCarlo" size="large" onAction="goto_Monte" image="monteIC" supertip="Monte-Carlo Simulation"  />
                    <button id="btns_btnS3" label="Optimization" size="large" onAction="goto_Optim" image="optIC" supertip="Optimization"  />                    
				</group>
 -->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10</vt:i4>
      </vt:variant>
    </vt:vector>
  </HeadingPairs>
  <TitlesOfParts>
    <vt:vector size="45" baseType="lpstr">
      <vt:lpstr>Cover</vt:lpstr>
      <vt:lpstr>UserGuide</vt:lpstr>
      <vt:lpstr>Summary</vt:lpstr>
      <vt:lpstr>General Config</vt:lpstr>
      <vt:lpstr>Optimization</vt:lpstr>
      <vt:lpstr>Monte Carlo</vt:lpstr>
      <vt:lpstr>Uncertainty</vt:lpstr>
      <vt:lpstr>Result Table GS</vt:lpstr>
      <vt:lpstr>Result Table GS (2)</vt:lpstr>
      <vt:lpstr>Result Table CR</vt:lpstr>
      <vt:lpstr>Result Table CR (2)</vt:lpstr>
      <vt:lpstr>Fiscal Config</vt:lpstr>
      <vt:lpstr>Prod Oil</vt:lpstr>
      <vt:lpstr>Prod LPG Propane</vt:lpstr>
      <vt:lpstr>Prod Oil (2)</vt:lpstr>
      <vt:lpstr>Prod Electricity</vt:lpstr>
      <vt:lpstr>Prod Electricity (2)</vt:lpstr>
      <vt:lpstr>Prod Gas</vt:lpstr>
      <vt:lpstr>Prod Gas (2)</vt:lpstr>
      <vt:lpstr>Prod LPG Propane (2)</vt:lpstr>
      <vt:lpstr>Prod Sulfur</vt:lpstr>
      <vt:lpstr>Cost Intangible</vt:lpstr>
      <vt:lpstr>Cost ASR</vt:lpstr>
      <vt:lpstr>Prod Sulfur (2)</vt:lpstr>
      <vt:lpstr>Prod CO2</vt:lpstr>
      <vt:lpstr>Sensitivity</vt:lpstr>
      <vt:lpstr>Cost Tangible</vt:lpstr>
      <vt:lpstr>Cost OPEX</vt:lpstr>
      <vt:lpstr>Prod LPG Butane</vt:lpstr>
      <vt:lpstr>Cost Recovery Config</vt:lpstr>
      <vt:lpstr>Cost Recovery Config (2)</vt:lpstr>
      <vt:lpstr>Gross Split Config</vt:lpstr>
      <vt:lpstr>Gross Split Config (2)</vt:lpstr>
      <vt:lpstr>Prod LPG Butane (2)</vt:lpstr>
      <vt:lpstr>Prod CO2 (2)</vt:lpstr>
      <vt:lpstr>_fiscalType</vt:lpstr>
      <vt:lpstr>_nButane</vt:lpstr>
      <vt:lpstr>_nCO2</vt:lpstr>
      <vt:lpstr>_nElectricity</vt:lpstr>
      <vt:lpstr>_nGas</vt:lpstr>
      <vt:lpstr>_nOil</vt:lpstr>
      <vt:lpstr>_nPropane</vt:lpstr>
      <vt:lpstr>_nSulfur</vt:lpstr>
      <vt:lpstr>_pyexe</vt:lpstr>
      <vt:lpstr>_pymain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2023-11-28T12:16:41Z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